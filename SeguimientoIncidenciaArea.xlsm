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pivotCache/pivotCacheDefinition7.xml" ContentType="application/vnd.openxmlformats-officedocument.spreadsheetml.pivotCacheDefinition+xml"/>
  <Override PartName="/xl/pivotCache/pivotCacheRecords7.xml" ContentType="application/vnd.openxmlformats-officedocument.spreadsheetml.pivotCacheRecords+xml"/>
  <Override PartName="/xl/pivotCache/pivotCacheDefinition8.xml" ContentType="application/vnd.openxmlformats-officedocument.spreadsheetml.pivotCacheDefinition+xml"/>
  <Override PartName="/xl/pivotCache/pivotCacheRecords8.xml" ContentType="application/vnd.openxmlformats-officedocument.spreadsheetml.pivotCacheRecords+xml"/>
  <Override PartName="/xl/pivotCache/pivotCacheDefinition9.xml" ContentType="application/vnd.openxmlformats-officedocument.spreadsheetml.pivotCacheDefinition+xml"/>
  <Override PartName="/xl/pivotCache/pivotCacheRecords9.xml" ContentType="application/vnd.openxmlformats-officedocument.spreadsheetml.pivotCacheRecords+xml"/>
  <Override PartName="/xl/pivotCache/pivotCacheDefinition10.xml" ContentType="application/vnd.openxmlformats-officedocument.spreadsheetml.pivotCacheDefinition+xml"/>
  <Override PartName="/xl/pivotCache/pivotCacheRecords10.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imelineCaches/timelineCache1.xml" ContentType="application/vnd.ms-excel.timeline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1.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timelines/timeline1.xml" ContentType="application/vnd.ms-excel.timelin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tables/table1.xml" ContentType="application/vnd.openxmlformats-officedocument.spreadsheetml.table+xml"/>
  <Override PartName="/xl/queryTables/queryTable1.xml" ContentType="application/vnd.openxmlformats-officedocument.spreadsheetml.queryTable+xml"/>
  <Override PartName="/xl/pivotTables/pivotTable2.xml" ContentType="application/vnd.openxmlformats-officedocument.spreadsheetml.pivotTable+xml"/>
  <Override PartName="/xl/drawings/drawing3.xml" ContentType="application/vnd.openxmlformats-officedocument.drawing+xml"/>
  <Override PartName="/xl/slicers/slicer2.xml" ContentType="application/vnd.ms-excel.slicer+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pivotTables/pivotTable3.xml" ContentType="application/vnd.openxmlformats-officedocument.spreadsheetml.pivotTable+xml"/>
  <Override PartName="/xl/drawings/drawing4.xml" ContentType="application/vnd.openxmlformats-officedocument.drawing+xml"/>
  <Override PartName="/xl/slicers/slicer3.xml" ContentType="application/vnd.ms-excel.slicer+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pivotTables/pivotTable4.xml" ContentType="application/vnd.openxmlformats-officedocument.spreadsheetml.pivotTable+xml"/>
  <Override PartName="/xl/drawings/drawing5.xml" ContentType="application/vnd.openxmlformats-officedocument.drawing+xml"/>
  <Override PartName="/xl/slicers/slicer4.xml" ContentType="application/vnd.ms-excel.slicer+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tables/table2.xml" ContentType="application/vnd.openxmlformats-officedocument.spreadsheetml.table+xml"/>
  <Override PartName="/xl/queryTables/queryTable2.xml" ContentType="application/vnd.openxmlformats-officedocument.spreadsheetml.queryTable+xml"/>
  <Override PartName="/xl/pivotTables/pivotTable5.xml" ContentType="application/vnd.openxmlformats-officedocument.spreadsheetml.pivotTable+xml"/>
  <Override PartName="/xl/drawings/drawing6.xml" ContentType="application/vnd.openxmlformats-officedocument.drawing+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pivotTables/pivotTable6.xml" ContentType="application/vnd.openxmlformats-officedocument.spreadsheetml.pivotTable+xml"/>
  <Override PartName="/xl/drawings/drawing7.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pivotTables/pivotTable7.xml" ContentType="application/vnd.openxmlformats-officedocument.spreadsheetml.pivotTable+xml"/>
  <Override PartName="/xl/drawings/drawing8.xml" ContentType="application/vnd.openxmlformats-officedocument.drawing+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pivotTables/pivotTable8.xml" ContentType="application/vnd.openxmlformats-officedocument.spreadsheetml.pivotTable+xml"/>
  <Override PartName="/xl/drawings/drawing9.xml" ContentType="application/vnd.openxmlformats-officedocument.drawing+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pivotTables/pivotTable9.xml" ContentType="application/vnd.openxmlformats-officedocument.spreadsheetml.pivotTable+xml"/>
  <Override PartName="/xl/drawings/drawing10.xml" ContentType="application/vnd.openxmlformats-officedocument.drawing+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pivotTables/pivotTable10.xml" ContentType="application/vnd.openxmlformats-officedocument.spreadsheetml.pivotTable+xml"/>
  <Override PartName="/xl/drawings/drawing11.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pivotTables/pivotTable11.xml" ContentType="application/vnd.openxmlformats-officedocument.spreadsheetml.pivotTable+xml"/>
  <Override PartName="/xl/drawings/drawing12.xml" ContentType="application/vnd.openxmlformats-officedocument.drawing+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tables/table8.xml" ContentType="application/vnd.openxmlformats-officedocument.spreadsheetml.table+xml"/>
  <Override PartName="/xl/queryTables/queryTable8.xml" ContentType="application/vnd.openxmlformats-officedocument.spreadsheetml.queryTable+xml"/>
  <Override PartName="/xl/tables/table9.xml" ContentType="application/vnd.openxmlformats-officedocument.spreadsheetml.table+xml"/>
  <Override PartName="/xl/queryTables/queryTable9.xml" ContentType="application/vnd.openxmlformats-officedocument.spreadsheetml.queryTable+xml"/>
  <Override PartName="/xl/tables/table10.xml" ContentType="application/vnd.openxmlformats-officedocument.spreadsheetml.table+xml"/>
  <Override PartName="/xl/queryTables/queryTable10.xml" ContentType="application/vnd.openxmlformats-officedocument.spreadsheetml.query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628" codeName="{4D1C537B-E38A-612A-F078-A93A15B4B7F4}"/>
  <workbookPr codeName="ThisWorkbook" defaultThemeVersion="166925"/>
  <mc:AlternateContent xmlns:mc="http://schemas.openxmlformats.org/markup-compatibility/2006">
    <mc:Choice Requires="x15">
      <x15ac:absPath xmlns:x15ac="http://schemas.microsoft.com/office/spreadsheetml/2010/11/ac" url="C:\PERSONALES\Coronavirus\sources\Sergas\Datos_Covid_Portal_Sergas\"/>
    </mc:Choice>
  </mc:AlternateContent>
  <xr:revisionPtr revIDLastSave="0" documentId="13_ncr:1_{70774083-7C5E-4327-B19F-36F498D47F93}" xr6:coauthVersionLast="46" xr6:coauthVersionMax="46" xr10:uidLastSave="{00000000-0000-0000-0000-000000000000}"/>
  <bookViews>
    <workbookView xWindow="-28920" yWindow="15" windowWidth="29040" windowHeight="15840" tabRatio="768" activeTab="5" xr2:uid="{BFA5C829-FFEF-46B5-8DE3-A09920C9421F}"/>
  </bookViews>
  <sheets>
    <sheet name="GrafTotales" sheetId="28" r:id="rId1"/>
    <sheet name="Promedios" sheetId="37" r:id="rId2"/>
    <sheet name="IA" sheetId="38" r:id="rId3"/>
    <sheet name="EvolucionIncidencia" sheetId="36" r:id="rId4"/>
    <sheet name="TotalesIncDiario" sheetId="29" r:id="rId5"/>
    <sheet name="Camas_Hospital" sheetId="31" r:id="rId6"/>
    <sheet name="Ratios" sheetId="33" r:id="rId7"/>
    <sheet name="Fallecidos_Hospital" sheetId="30" r:id="rId8"/>
    <sheet name="GrafCoruna" sheetId="15" r:id="rId9"/>
    <sheet name="GrafFerrol" sheetId="17" r:id="rId10"/>
    <sheet name="GrafLugo" sheetId="21" r:id="rId11"/>
    <sheet name="GrafOurense" sheetId="19" r:id="rId12"/>
    <sheet name="GrafPontevedra" sheetId="23" r:id="rId13"/>
    <sheet name="GrafSantiago" sheetId="25" r:id="rId14"/>
    <sheet name="GrafVigo" sheetId="27" r:id="rId15"/>
    <sheet name="SeguimientoCoruna" sheetId="14" r:id="rId16"/>
    <sheet name="SeguimientoFerrol" sheetId="16" r:id="rId17"/>
    <sheet name="SeguimientoLugo" sheetId="20" r:id="rId18"/>
    <sheet name="SeguimientoOurense" sheetId="18" r:id="rId19"/>
    <sheet name="SeguimientoPontevedra" sheetId="22" r:id="rId20"/>
    <sheet name="SeguimientoSantiago" sheetId="24" r:id="rId21"/>
    <sheet name="SeguimientoVigo" sheetId="26" r:id="rId22"/>
    <sheet name="HistoricoCifrasTotales" sheetId="9" r:id="rId23"/>
    <sheet name="AreasSanitarias" sheetId="1" r:id="rId24"/>
    <sheet name="Poblacion" sheetId="3" r:id="rId25"/>
  </sheets>
  <definedNames>
    <definedName name="_xlcn.WorksheetConnection_SeguimientoIncidenciaArea.xlsmAreasSanitarias1" hidden="1">AreasSanitarias[]</definedName>
    <definedName name="_xlcn.WorksheetConnection_SeguimientoIncidenciaArea.xlsmDatosPoblacion1" hidden="1">DatosPoblacion[]</definedName>
    <definedName name="ExternalData_1" localSheetId="3" hidden="1">EvolucionIncidencia!$A$1:$T$521</definedName>
    <definedName name="ExternalData_1" localSheetId="7" hidden="1">Fallecidos_Hospital!$A$1:$O$521</definedName>
    <definedName name="ExternalData_1" localSheetId="22" hidden="1">HistoricoCifrasTotales!$A$1:$M$721</definedName>
    <definedName name="ExternalData_2" localSheetId="15" hidden="1">SeguimientoCoruna!$A$1:$W$66</definedName>
    <definedName name="ExternalData_3" localSheetId="16" hidden="1">SeguimientoFerrol!$A$1:$W$66</definedName>
    <definedName name="ExternalData_4" localSheetId="18" hidden="1">SeguimientoOurense!$A$1:$W$66</definedName>
    <definedName name="ExternalData_5" localSheetId="17" hidden="1">SeguimientoLugo!$A$1:$W$66</definedName>
    <definedName name="ExternalData_6" localSheetId="19" hidden="1">SeguimientoPontevedra!$A$1:$W$66</definedName>
    <definedName name="ExternalData_7" localSheetId="20" hidden="1">SeguimientoSantiago!$A$1:$W$66</definedName>
    <definedName name="ExternalData_8" localSheetId="21" hidden="1">SeguimientoVigo!$A$1:$W$66</definedName>
    <definedName name="NativeTimeline_Fecha">#N/A</definedName>
    <definedName name="Slicer_Area_Sanitaria">#N/A</definedName>
    <definedName name="Slicer_Area_Sanitaria1">#N/A</definedName>
    <definedName name="Slicer_Area_Sanitaria2">#N/A</definedName>
    <definedName name="Slicer_Area_Sanitaria3">#N/A</definedName>
  </definedNames>
  <calcPr calcId="191029"/>
  <pivotCaches>
    <pivotCache cacheId="48" r:id="rId26"/>
    <pivotCache cacheId="51" r:id="rId27"/>
    <pivotCache cacheId="54" r:id="rId28"/>
    <pivotCache cacheId="57" r:id="rId29"/>
    <pivotCache cacheId="60" r:id="rId30"/>
    <pivotCache cacheId="63" r:id="rId31"/>
    <pivotCache cacheId="66" r:id="rId32"/>
    <pivotCache cacheId="70" r:id="rId33"/>
    <pivotCache cacheId="75" r:id="rId34"/>
    <pivotCache cacheId="79" r:id="rId35"/>
  </pivotCaches>
  <extLst>
    <ext xmlns:x14="http://schemas.microsoft.com/office/spreadsheetml/2009/9/main" uri="{BBE1A952-AA13-448e-AADC-164F8A28A991}">
      <x14:slicerCaches>
        <x14:slicerCache r:id="rId36"/>
        <x14:slicerCache r:id="rId37"/>
        <x14:slicerCache r:id="rId38"/>
        <x14:slicerCache r:id="rId39"/>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40"/>
      </x15:timelineCacheRefs>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DatosPoblacion" name="DatosPoblacion" connection="WorksheetConnection_SeguimientoIncidenciaArea.xlsm!DatosPoblacion"/>
          <x15:modelTable id="AreasSanitarias" name="AreasSanitarias" connection="WorksheetConnection_SeguimientoIncidenciaArea.xlsm!AreasSanitarias"/>
        </x15:modelTables>
        <x15:modelRelationships>
          <x15:modelRelationship fromTable="DatosPoblacion" fromColumn="area_sanitaria" toTable="AreasSanitarias" toColumn="Clave"/>
        </x15:modelRelationship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U2" i="36" l="1"/>
  <c r="U3" i="36"/>
  <c r="U4" i="36"/>
  <c r="U5" i="36"/>
  <c r="U6" i="36"/>
  <c r="U7" i="36"/>
  <c r="U8" i="36"/>
  <c r="U9" i="36"/>
  <c r="U10" i="36"/>
  <c r="U11" i="36"/>
  <c r="U12" i="36"/>
  <c r="U13" i="36"/>
  <c r="U14" i="36"/>
  <c r="U15" i="36"/>
  <c r="U16" i="36"/>
  <c r="U17" i="36"/>
  <c r="U18" i="36"/>
  <c r="U19" i="36"/>
  <c r="U20" i="36"/>
  <c r="U21" i="36"/>
  <c r="U22" i="36"/>
  <c r="U23" i="36"/>
  <c r="U24" i="36"/>
  <c r="U25" i="36"/>
  <c r="U26" i="36"/>
  <c r="U27" i="36"/>
  <c r="U28" i="36"/>
  <c r="U29" i="36"/>
  <c r="U30" i="36"/>
  <c r="U31" i="36"/>
  <c r="U32" i="36"/>
  <c r="U33" i="36"/>
  <c r="U34" i="36"/>
  <c r="U35" i="36"/>
  <c r="U36" i="36"/>
  <c r="U37" i="36"/>
  <c r="U38" i="36"/>
  <c r="U39" i="36"/>
  <c r="U40" i="36"/>
  <c r="U41" i="36"/>
  <c r="U42" i="36"/>
  <c r="U43" i="36"/>
  <c r="U44" i="36"/>
  <c r="U45" i="36"/>
  <c r="U46" i="36"/>
  <c r="U47" i="36"/>
  <c r="U48" i="36"/>
  <c r="U49" i="36"/>
  <c r="U50" i="36"/>
  <c r="U51" i="36"/>
  <c r="U52" i="36"/>
  <c r="U53" i="36"/>
  <c r="U54" i="36"/>
  <c r="U55" i="36"/>
  <c r="U56" i="36"/>
  <c r="U57" i="36"/>
  <c r="U58" i="36"/>
  <c r="U59" i="36"/>
  <c r="U60" i="36"/>
  <c r="U61" i="36"/>
  <c r="U62" i="36"/>
  <c r="U63" i="36"/>
  <c r="U64" i="36"/>
  <c r="U65" i="36"/>
  <c r="U66" i="36"/>
  <c r="U67" i="36"/>
  <c r="U68" i="36"/>
  <c r="U69" i="36"/>
  <c r="U70" i="36"/>
  <c r="U71" i="36"/>
  <c r="U72" i="36"/>
  <c r="U73" i="36"/>
  <c r="U74" i="36"/>
  <c r="U75" i="36"/>
  <c r="U76" i="36"/>
  <c r="U77" i="36"/>
  <c r="U78" i="36"/>
  <c r="U79" i="36"/>
  <c r="U80" i="36"/>
  <c r="U81" i="36"/>
  <c r="U82" i="36"/>
  <c r="U83" i="36"/>
  <c r="U84" i="36"/>
  <c r="U85" i="36"/>
  <c r="U86" i="36"/>
  <c r="U87" i="36"/>
  <c r="U88" i="36"/>
  <c r="U89" i="36"/>
  <c r="U90" i="36"/>
  <c r="U91" i="36"/>
  <c r="U92" i="36"/>
  <c r="U93" i="36"/>
  <c r="U94" i="36"/>
  <c r="U95" i="36"/>
  <c r="U96" i="36"/>
  <c r="U97" i="36"/>
  <c r="U98" i="36"/>
  <c r="U99" i="36"/>
  <c r="U100" i="36"/>
  <c r="U101" i="36"/>
  <c r="U102" i="36"/>
  <c r="U103" i="36"/>
  <c r="U104" i="36"/>
  <c r="U105" i="36"/>
  <c r="U106" i="36"/>
  <c r="U107" i="36"/>
  <c r="U108" i="36"/>
  <c r="U109" i="36"/>
  <c r="U110" i="36"/>
  <c r="U111" i="36"/>
  <c r="U112" i="36"/>
  <c r="U113" i="36"/>
  <c r="U114" i="36"/>
  <c r="U115" i="36"/>
  <c r="U116" i="36"/>
  <c r="U117" i="36"/>
  <c r="U118" i="36"/>
  <c r="U119" i="36"/>
  <c r="U120" i="36"/>
  <c r="U121" i="36"/>
  <c r="U122" i="36"/>
  <c r="U123" i="36"/>
  <c r="U124" i="36"/>
  <c r="U125" i="36"/>
  <c r="U126" i="36"/>
  <c r="U127" i="36"/>
  <c r="U128" i="36"/>
  <c r="U129" i="36"/>
  <c r="U130" i="36"/>
  <c r="U131" i="36"/>
  <c r="U132" i="36"/>
  <c r="U133" i="36"/>
  <c r="U134" i="36"/>
  <c r="U135" i="36"/>
  <c r="U136" i="36"/>
  <c r="U137" i="36"/>
  <c r="U138" i="36"/>
  <c r="U139" i="36"/>
  <c r="U140" i="36"/>
  <c r="U141" i="36"/>
  <c r="U142" i="36"/>
  <c r="U143" i="36"/>
  <c r="U144" i="36"/>
  <c r="U145" i="36"/>
  <c r="U146" i="36"/>
  <c r="U147" i="36"/>
  <c r="U148" i="36"/>
  <c r="U149" i="36"/>
  <c r="U150" i="36"/>
  <c r="U151" i="36"/>
  <c r="U152" i="36"/>
  <c r="U153" i="36"/>
  <c r="U154" i="36"/>
  <c r="U155" i="36"/>
  <c r="U156" i="36"/>
  <c r="U157" i="36"/>
  <c r="U158" i="36"/>
  <c r="U159" i="36"/>
  <c r="U160" i="36"/>
  <c r="U161" i="36"/>
  <c r="U162" i="36"/>
  <c r="U163" i="36"/>
  <c r="U164" i="36"/>
  <c r="U165" i="36"/>
  <c r="U166" i="36"/>
  <c r="U167" i="36"/>
  <c r="U168" i="36"/>
  <c r="U169" i="36"/>
  <c r="U170" i="36"/>
  <c r="U171" i="36"/>
  <c r="U172" i="36"/>
  <c r="U173" i="36"/>
  <c r="U174" i="36"/>
  <c r="U175" i="36"/>
  <c r="U176" i="36"/>
  <c r="U177" i="36"/>
  <c r="U178" i="36"/>
  <c r="U179" i="36"/>
  <c r="U180" i="36"/>
  <c r="U181" i="36"/>
  <c r="U182" i="36"/>
  <c r="U183" i="36"/>
  <c r="U184" i="36"/>
  <c r="U185" i="36"/>
  <c r="U186" i="36"/>
  <c r="U187" i="36"/>
  <c r="U188" i="36"/>
  <c r="U189" i="36"/>
  <c r="U190" i="36"/>
  <c r="U191" i="36"/>
  <c r="U192" i="36"/>
  <c r="U193" i="36"/>
  <c r="U194" i="36"/>
  <c r="U195" i="36"/>
  <c r="U196" i="36"/>
  <c r="U197" i="36"/>
  <c r="U198" i="36"/>
  <c r="U199" i="36"/>
  <c r="U200" i="36"/>
  <c r="U201" i="36"/>
  <c r="U202" i="36"/>
  <c r="U203" i="36"/>
  <c r="U204" i="36"/>
  <c r="U205" i="36"/>
  <c r="U206" i="36"/>
  <c r="U207" i="36"/>
  <c r="U208" i="36"/>
  <c r="U209" i="36"/>
  <c r="U210" i="36"/>
  <c r="U211" i="36"/>
  <c r="U212" i="36"/>
  <c r="U213" i="36"/>
  <c r="U214" i="36"/>
  <c r="U215" i="36"/>
  <c r="U216" i="36"/>
  <c r="U217" i="36"/>
  <c r="U218" i="36"/>
  <c r="U219" i="36"/>
  <c r="U220" i="36"/>
  <c r="U221" i="36"/>
  <c r="U222" i="36"/>
  <c r="U223" i="36"/>
  <c r="U224" i="36"/>
  <c r="U225" i="36"/>
  <c r="U226" i="36"/>
  <c r="U227" i="36"/>
  <c r="U228" i="36"/>
  <c r="U229" i="36"/>
  <c r="U230" i="36"/>
  <c r="U231" i="36"/>
  <c r="U232" i="36"/>
  <c r="U233" i="36"/>
  <c r="U234" i="36"/>
  <c r="U235" i="36"/>
  <c r="U236" i="36"/>
  <c r="U237" i="36"/>
  <c r="U238" i="36"/>
  <c r="U239" i="36"/>
  <c r="U240" i="36"/>
  <c r="U241" i="36"/>
  <c r="U242" i="36"/>
  <c r="U243" i="36"/>
  <c r="U244" i="36"/>
  <c r="U245" i="36"/>
  <c r="U246" i="36"/>
  <c r="U247" i="36"/>
  <c r="U248" i="36"/>
  <c r="U249" i="36"/>
  <c r="U250" i="36"/>
  <c r="U251" i="36"/>
  <c r="U252" i="36"/>
  <c r="U253" i="36"/>
  <c r="U254" i="36"/>
  <c r="U255" i="36"/>
  <c r="U256" i="36"/>
  <c r="U257" i="36"/>
  <c r="U258" i="36"/>
  <c r="U259" i="36"/>
  <c r="U260" i="36"/>
  <c r="U261" i="36"/>
  <c r="U262" i="36"/>
  <c r="U263" i="36"/>
  <c r="U264" i="36"/>
  <c r="U265" i="36"/>
  <c r="U266" i="36"/>
  <c r="U267" i="36"/>
  <c r="U268" i="36"/>
  <c r="U269" i="36"/>
  <c r="U270" i="36"/>
  <c r="U271" i="36"/>
  <c r="U272" i="36"/>
  <c r="U273" i="36"/>
  <c r="U274" i="36"/>
  <c r="U275" i="36"/>
  <c r="U276" i="36"/>
  <c r="U277" i="36"/>
  <c r="U278" i="36"/>
  <c r="U279" i="36"/>
  <c r="U280" i="36"/>
  <c r="U281" i="36"/>
  <c r="U282" i="36"/>
  <c r="U283" i="36"/>
  <c r="U284" i="36"/>
  <c r="U285" i="36"/>
  <c r="U286" i="36"/>
  <c r="U287" i="36"/>
  <c r="U288" i="36"/>
  <c r="U289" i="36"/>
  <c r="U290" i="36"/>
  <c r="U291" i="36"/>
  <c r="U292" i="36"/>
  <c r="U293" i="36"/>
  <c r="U294" i="36"/>
  <c r="U295" i="36"/>
  <c r="U296" i="36"/>
  <c r="U297" i="36"/>
  <c r="U298" i="36"/>
  <c r="U299" i="36"/>
  <c r="U300" i="36"/>
  <c r="U301" i="36"/>
  <c r="U302" i="36"/>
  <c r="U303" i="36"/>
  <c r="U304" i="36"/>
  <c r="U305" i="36"/>
  <c r="U306" i="36"/>
  <c r="U307" i="36"/>
  <c r="U308" i="36"/>
  <c r="U309" i="36"/>
  <c r="U310" i="36"/>
  <c r="U311" i="36"/>
  <c r="U312" i="36"/>
  <c r="U313" i="36"/>
  <c r="U314" i="36"/>
  <c r="U315" i="36"/>
  <c r="U316" i="36"/>
  <c r="U317" i="36"/>
  <c r="U318" i="36"/>
  <c r="U319" i="36"/>
  <c r="U320" i="36"/>
  <c r="U321" i="36"/>
  <c r="U322" i="36"/>
  <c r="U323" i="36"/>
  <c r="U324" i="36"/>
  <c r="U325" i="36"/>
  <c r="U326" i="36"/>
  <c r="U327" i="36"/>
  <c r="U328" i="36"/>
  <c r="U329" i="36"/>
  <c r="U330" i="36"/>
  <c r="U331" i="36"/>
  <c r="U332" i="36"/>
  <c r="U333" i="36"/>
  <c r="U334" i="36"/>
  <c r="U335" i="36"/>
  <c r="U336" i="36"/>
  <c r="U337" i="36"/>
  <c r="U338" i="36"/>
  <c r="U339" i="36"/>
  <c r="U340" i="36"/>
  <c r="U341" i="36"/>
  <c r="U342" i="36"/>
  <c r="U343" i="36"/>
  <c r="U344" i="36"/>
  <c r="U345" i="36"/>
  <c r="U346" i="36"/>
  <c r="U347" i="36"/>
  <c r="U348" i="36"/>
  <c r="U349" i="36"/>
  <c r="U350" i="36"/>
  <c r="U351" i="36"/>
  <c r="U352" i="36"/>
  <c r="U353" i="36"/>
  <c r="U354" i="36"/>
  <c r="U355" i="36"/>
  <c r="U356" i="36"/>
  <c r="U357" i="36"/>
  <c r="U358" i="36"/>
  <c r="U359" i="36"/>
  <c r="U360" i="36"/>
  <c r="U361" i="36"/>
  <c r="U362" i="36"/>
  <c r="U363" i="36"/>
  <c r="U364" i="36"/>
  <c r="U365" i="36"/>
  <c r="U366" i="36"/>
  <c r="U367" i="36"/>
  <c r="U368" i="36"/>
  <c r="U369" i="36"/>
  <c r="U370" i="36"/>
  <c r="U371" i="36"/>
  <c r="U372" i="36"/>
  <c r="U373" i="36"/>
  <c r="U374" i="36"/>
  <c r="U375" i="36"/>
  <c r="U376" i="36"/>
  <c r="U377" i="36"/>
  <c r="U378" i="36"/>
  <c r="U379" i="36"/>
  <c r="U380" i="36"/>
  <c r="U381" i="36"/>
  <c r="U382" i="36"/>
  <c r="U383" i="36"/>
  <c r="U384" i="36"/>
  <c r="U385" i="36"/>
  <c r="U386" i="36"/>
  <c r="U387" i="36"/>
  <c r="U388" i="36"/>
  <c r="U389" i="36"/>
  <c r="U390" i="36"/>
  <c r="U391" i="36"/>
  <c r="U392" i="36"/>
  <c r="U393" i="36"/>
  <c r="U394" i="36"/>
  <c r="U395" i="36"/>
  <c r="U396" i="36"/>
  <c r="U397" i="36"/>
  <c r="U398" i="36"/>
  <c r="U399" i="36"/>
  <c r="U400" i="36"/>
  <c r="U401" i="36"/>
  <c r="U402" i="36"/>
  <c r="U403" i="36"/>
  <c r="U404" i="36"/>
  <c r="U405" i="36"/>
  <c r="U406" i="36"/>
  <c r="U407" i="36"/>
  <c r="U408" i="36"/>
  <c r="U409" i="36"/>
  <c r="U410" i="36"/>
  <c r="U411" i="36"/>
  <c r="U412" i="36"/>
  <c r="U413" i="36"/>
  <c r="U414" i="36"/>
  <c r="U415" i="36"/>
  <c r="U416" i="36"/>
  <c r="U417" i="36"/>
  <c r="U418" i="36"/>
  <c r="U419" i="36"/>
  <c r="U420" i="36"/>
  <c r="U421" i="36"/>
  <c r="U422" i="36"/>
  <c r="U423" i="36"/>
  <c r="U424" i="36"/>
  <c r="U425" i="36"/>
  <c r="U426" i="36"/>
  <c r="U427" i="36"/>
  <c r="U428" i="36"/>
  <c r="U429" i="36"/>
  <c r="U430" i="36"/>
  <c r="U431" i="36"/>
  <c r="U432" i="36"/>
  <c r="U433" i="36"/>
  <c r="U434" i="36"/>
  <c r="U435" i="36"/>
  <c r="U436" i="36"/>
  <c r="U437" i="36"/>
  <c r="U438" i="36"/>
  <c r="U439" i="36"/>
  <c r="U440" i="36"/>
  <c r="U441" i="36"/>
  <c r="U442" i="36"/>
  <c r="U443" i="36"/>
  <c r="U444" i="36"/>
  <c r="U445" i="36"/>
  <c r="U446" i="36"/>
  <c r="U447" i="36"/>
  <c r="U448" i="36"/>
  <c r="U449" i="36"/>
  <c r="U450" i="36"/>
  <c r="U451" i="36"/>
  <c r="U452" i="36"/>
  <c r="U453" i="36"/>
  <c r="U454" i="36"/>
  <c r="U455" i="36"/>
  <c r="U456" i="36"/>
  <c r="U457" i="36"/>
  <c r="U458" i="36"/>
  <c r="U459" i="36"/>
  <c r="U460" i="36"/>
  <c r="U461" i="36"/>
  <c r="U462" i="36"/>
  <c r="U463" i="36"/>
  <c r="U464" i="36"/>
  <c r="U465" i="36"/>
  <c r="U466" i="36"/>
  <c r="U467" i="36"/>
  <c r="U468" i="36"/>
  <c r="U469" i="36"/>
  <c r="U470" i="36"/>
  <c r="U471" i="36"/>
  <c r="U472" i="36"/>
  <c r="U473" i="36"/>
  <c r="U474" i="36"/>
  <c r="U475" i="36"/>
  <c r="U476" i="36"/>
  <c r="U477" i="36"/>
  <c r="U478" i="36"/>
  <c r="U479" i="36"/>
  <c r="U480" i="36"/>
  <c r="U481" i="36"/>
  <c r="U482" i="36"/>
  <c r="U483" i="36"/>
  <c r="U484" i="36"/>
  <c r="U485" i="36"/>
  <c r="U486" i="36"/>
  <c r="U487" i="36"/>
  <c r="U488" i="36"/>
  <c r="U489" i="36"/>
  <c r="U490" i="36"/>
  <c r="U491" i="36"/>
  <c r="U492" i="36"/>
  <c r="U493" i="36"/>
  <c r="U494" i="36"/>
  <c r="U495" i="36"/>
  <c r="U496" i="36"/>
  <c r="U497" i="36"/>
  <c r="U498" i="36"/>
  <c r="U499" i="36"/>
  <c r="U500" i="36"/>
  <c r="U501" i="36"/>
  <c r="U502" i="36"/>
  <c r="U503" i="36"/>
  <c r="U504" i="36"/>
  <c r="U505" i="36"/>
  <c r="U506" i="36"/>
  <c r="U507" i="36"/>
  <c r="U508" i="36"/>
  <c r="U509" i="36"/>
  <c r="U510" i="36"/>
  <c r="U511" i="36"/>
  <c r="U512" i="36"/>
  <c r="U513" i="36"/>
  <c r="U514" i="36"/>
  <c r="U515" i="36"/>
  <c r="U516" i="36"/>
  <c r="U517" i="36"/>
  <c r="U518" i="36"/>
  <c r="U519" i="36"/>
  <c r="U520" i="36"/>
  <c r="U521" i="36"/>
  <c r="V2" i="36"/>
  <c r="V3" i="36"/>
  <c r="V4" i="36"/>
  <c r="V5" i="36"/>
  <c r="V6" i="36"/>
  <c r="V7" i="36"/>
  <c r="V8" i="36"/>
  <c r="V9" i="36"/>
  <c r="V10" i="36"/>
  <c r="V11" i="36"/>
  <c r="V12" i="36"/>
  <c r="V13" i="36"/>
  <c r="V14" i="36"/>
  <c r="V15" i="36"/>
  <c r="V16" i="36"/>
  <c r="V17" i="36"/>
  <c r="V18" i="36"/>
  <c r="V19" i="36"/>
  <c r="V20" i="36"/>
  <c r="V21" i="36"/>
  <c r="V22" i="36"/>
  <c r="V23" i="36"/>
  <c r="V24" i="36"/>
  <c r="V25" i="36"/>
  <c r="V26" i="36"/>
  <c r="V27" i="36"/>
  <c r="V28" i="36"/>
  <c r="V29" i="36"/>
  <c r="V30" i="36"/>
  <c r="V31" i="36"/>
  <c r="V32" i="36"/>
  <c r="V33" i="36"/>
  <c r="V34" i="36"/>
  <c r="V35" i="36"/>
  <c r="V36" i="36"/>
  <c r="V37" i="36"/>
  <c r="V38" i="36"/>
  <c r="V39" i="36"/>
  <c r="V40" i="36"/>
  <c r="V41" i="36"/>
  <c r="V42" i="36"/>
  <c r="V43" i="36"/>
  <c r="V44" i="36"/>
  <c r="V45" i="36"/>
  <c r="V46" i="36"/>
  <c r="V47" i="36"/>
  <c r="V48" i="36"/>
  <c r="V49" i="36"/>
  <c r="V50" i="36"/>
  <c r="V51" i="36"/>
  <c r="V52" i="36"/>
  <c r="V53" i="36"/>
  <c r="V54" i="36"/>
  <c r="V55" i="36"/>
  <c r="V56" i="36"/>
  <c r="V57" i="36"/>
  <c r="V58" i="36"/>
  <c r="V59" i="36"/>
  <c r="V60" i="36"/>
  <c r="V61" i="36"/>
  <c r="V62" i="36"/>
  <c r="V63" i="36"/>
  <c r="V64" i="36"/>
  <c r="V65" i="36"/>
  <c r="V66" i="36"/>
  <c r="V67" i="36"/>
  <c r="V68" i="36"/>
  <c r="V69" i="36"/>
  <c r="V70" i="36"/>
  <c r="V71" i="36"/>
  <c r="V72" i="36"/>
  <c r="V73" i="36"/>
  <c r="V74" i="36"/>
  <c r="V75" i="36"/>
  <c r="V76" i="36"/>
  <c r="V77" i="36"/>
  <c r="V78" i="36"/>
  <c r="V79" i="36"/>
  <c r="V80" i="36"/>
  <c r="V81" i="36"/>
  <c r="V82" i="36"/>
  <c r="V83" i="36"/>
  <c r="V84" i="36"/>
  <c r="V85" i="36"/>
  <c r="V86" i="36"/>
  <c r="V87" i="36"/>
  <c r="V88" i="36"/>
  <c r="V89" i="36"/>
  <c r="V90" i="36"/>
  <c r="V91" i="36"/>
  <c r="V92" i="36"/>
  <c r="V93" i="36"/>
  <c r="V94" i="36"/>
  <c r="V95" i="36"/>
  <c r="V96" i="36"/>
  <c r="V97" i="36"/>
  <c r="V98" i="36"/>
  <c r="V99" i="36"/>
  <c r="V100" i="36"/>
  <c r="V101" i="36"/>
  <c r="V102" i="36"/>
  <c r="V103" i="36"/>
  <c r="V104" i="36"/>
  <c r="V105" i="36"/>
  <c r="V106" i="36"/>
  <c r="V107" i="36"/>
  <c r="V108" i="36"/>
  <c r="V109" i="36"/>
  <c r="V110" i="36"/>
  <c r="V111" i="36"/>
  <c r="V112" i="36"/>
  <c r="V113" i="36"/>
  <c r="V114" i="36"/>
  <c r="V115" i="36"/>
  <c r="V116" i="36"/>
  <c r="V117" i="36"/>
  <c r="V118" i="36"/>
  <c r="V119" i="36"/>
  <c r="V120" i="36"/>
  <c r="V121" i="36"/>
  <c r="V122" i="36"/>
  <c r="V123" i="36"/>
  <c r="V124" i="36"/>
  <c r="V125" i="36"/>
  <c r="V126" i="36"/>
  <c r="V127" i="36"/>
  <c r="V128" i="36"/>
  <c r="V129" i="36"/>
  <c r="V130" i="36"/>
  <c r="V131" i="36"/>
  <c r="V132" i="36"/>
  <c r="V133" i="36"/>
  <c r="V134" i="36"/>
  <c r="V135" i="36"/>
  <c r="V136" i="36"/>
  <c r="V137" i="36"/>
  <c r="V138" i="36"/>
  <c r="V139" i="36"/>
  <c r="V140" i="36"/>
  <c r="V141" i="36"/>
  <c r="V142" i="36"/>
  <c r="V143" i="36"/>
  <c r="V144" i="36"/>
  <c r="V145" i="36"/>
  <c r="V146" i="36"/>
  <c r="V147" i="36"/>
  <c r="V148" i="36"/>
  <c r="V149" i="36"/>
  <c r="V150" i="36"/>
  <c r="V151" i="36"/>
  <c r="V152" i="36"/>
  <c r="V153" i="36"/>
  <c r="V154" i="36"/>
  <c r="V155" i="36"/>
  <c r="V156" i="36"/>
  <c r="V157" i="36"/>
  <c r="V158" i="36"/>
  <c r="V159" i="36"/>
  <c r="V160" i="36"/>
  <c r="V161" i="36"/>
  <c r="V162" i="36"/>
  <c r="V163" i="36"/>
  <c r="V164" i="36"/>
  <c r="V165" i="36"/>
  <c r="V166" i="36"/>
  <c r="V167" i="36"/>
  <c r="V168" i="36"/>
  <c r="V169" i="36"/>
  <c r="V170" i="36"/>
  <c r="V171" i="36"/>
  <c r="V172" i="36"/>
  <c r="V173" i="36"/>
  <c r="V174" i="36"/>
  <c r="V175" i="36"/>
  <c r="V176" i="36"/>
  <c r="V177" i="36"/>
  <c r="V178" i="36"/>
  <c r="V179" i="36"/>
  <c r="V180" i="36"/>
  <c r="V181" i="36"/>
  <c r="V182" i="36"/>
  <c r="V183" i="36"/>
  <c r="V184" i="36"/>
  <c r="V185" i="36"/>
  <c r="V186" i="36"/>
  <c r="V187" i="36"/>
  <c r="V188" i="36"/>
  <c r="V189" i="36"/>
  <c r="V190" i="36"/>
  <c r="V191" i="36"/>
  <c r="V192" i="36"/>
  <c r="V193" i="36"/>
  <c r="V194" i="36"/>
  <c r="V195" i="36"/>
  <c r="V196" i="36"/>
  <c r="V197" i="36"/>
  <c r="V198" i="36"/>
  <c r="V199" i="36"/>
  <c r="V200" i="36"/>
  <c r="V201" i="36"/>
  <c r="V202" i="36"/>
  <c r="V203" i="36"/>
  <c r="V204" i="36"/>
  <c r="V205" i="36"/>
  <c r="V206" i="36"/>
  <c r="V207" i="36"/>
  <c r="V208" i="36"/>
  <c r="V209" i="36"/>
  <c r="V210" i="36"/>
  <c r="V211" i="36"/>
  <c r="V212" i="36"/>
  <c r="V213" i="36"/>
  <c r="V214" i="36"/>
  <c r="V215" i="36"/>
  <c r="V216" i="36"/>
  <c r="V217" i="36"/>
  <c r="V218" i="36"/>
  <c r="V219" i="36"/>
  <c r="V220" i="36"/>
  <c r="V221" i="36"/>
  <c r="V222" i="36"/>
  <c r="V223" i="36"/>
  <c r="V224" i="36"/>
  <c r="V225" i="36"/>
  <c r="V226" i="36"/>
  <c r="V227" i="36"/>
  <c r="V228" i="36"/>
  <c r="V229" i="36"/>
  <c r="V230" i="36"/>
  <c r="V231" i="36"/>
  <c r="V232" i="36"/>
  <c r="V233" i="36"/>
  <c r="V234" i="36"/>
  <c r="V235" i="36"/>
  <c r="V236" i="36"/>
  <c r="V237" i="36"/>
  <c r="V238" i="36"/>
  <c r="V239" i="36"/>
  <c r="V240" i="36"/>
  <c r="V241" i="36"/>
  <c r="V242" i="36"/>
  <c r="V243" i="36"/>
  <c r="V244" i="36"/>
  <c r="V245" i="36"/>
  <c r="V246" i="36"/>
  <c r="V247" i="36"/>
  <c r="V248" i="36"/>
  <c r="V249" i="36"/>
  <c r="V250" i="36"/>
  <c r="V251" i="36"/>
  <c r="V252" i="36"/>
  <c r="V253" i="36"/>
  <c r="V254" i="36"/>
  <c r="V255" i="36"/>
  <c r="V256" i="36"/>
  <c r="V257" i="36"/>
  <c r="V258" i="36"/>
  <c r="V259" i="36"/>
  <c r="V260" i="36"/>
  <c r="V261" i="36"/>
  <c r="V262" i="36"/>
  <c r="V263" i="36"/>
  <c r="V264" i="36"/>
  <c r="V265" i="36"/>
  <c r="V266" i="36"/>
  <c r="V267" i="36"/>
  <c r="V268" i="36"/>
  <c r="V269" i="36"/>
  <c r="V270" i="36"/>
  <c r="V271" i="36"/>
  <c r="V272" i="36"/>
  <c r="V273" i="36"/>
  <c r="V274" i="36"/>
  <c r="V275" i="36"/>
  <c r="V276" i="36"/>
  <c r="V277" i="36"/>
  <c r="V278" i="36"/>
  <c r="V279" i="36"/>
  <c r="V280" i="36"/>
  <c r="V281" i="36"/>
  <c r="V282" i="36"/>
  <c r="V283" i="36"/>
  <c r="V284" i="36"/>
  <c r="V285" i="36"/>
  <c r="V286" i="36"/>
  <c r="V287" i="36"/>
  <c r="V288" i="36"/>
  <c r="V289" i="36"/>
  <c r="V290" i="36"/>
  <c r="V291" i="36"/>
  <c r="V292" i="36"/>
  <c r="V293" i="36"/>
  <c r="V294" i="36"/>
  <c r="V295" i="36"/>
  <c r="V296" i="36"/>
  <c r="V297" i="36"/>
  <c r="V298" i="36"/>
  <c r="V299" i="36"/>
  <c r="V300" i="36"/>
  <c r="V301" i="36"/>
  <c r="V302" i="36"/>
  <c r="V303" i="36"/>
  <c r="V304" i="36"/>
  <c r="V305" i="36"/>
  <c r="V306" i="36"/>
  <c r="V307" i="36"/>
  <c r="V308" i="36"/>
  <c r="V309" i="36"/>
  <c r="V310" i="36"/>
  <c r="V311" i="36"/>
  <c r="V312" i="36"/>
  <c r="V313" i="36"/>
  <c r="V314" i="36"/>
  <c r="V315" i="36"/>
  <c r="V316" i="36"/>
  <c r="V317" i="36"/>
  <c r="V318" i="36"/>
  <c r="V319" i="36"/>
  <c r="V320" i="36"/>
  <c r="V321" i="36"/>
  <c r="V322" i="36"/>
  <c r="V323" i="36"/>
  <c r="V324" i="36"/>
  <c r="V325" i="36"/>
  <c r="V326" i="36"/>
  <c r="V327" i="36"/>
  <c r="V328" i="36"/>
  <c r="V329" i="36"/>
  <c r="V330" i="36"/>
  <c r="V331" i="36"/>
  <c r="V332" i="36"/>
  <c r="V333" i="36"/>
  <c r="V334" i="36"/>
  <c r="V335" i="36"/>
  <c r="V336" i="36"/>
  <c r="V337" i="36"/>
  <c r="V338" i="36"/>
  <c r="V339" i="36"/>
  <c r="V340" i="36"/>
  <c r="V341" i="36"/>
  <c r="V342" i="36"/>
  <c r="V343" i="36"/>
  <c r="V344" i="36"/>
  <c r="V345" i="36"/>
  <c r="V346" i="36"/>
  <c r="V347" i="36"/>
  <c r="V348" i="36"/>
  <c r="V349" i="36"/>
  <c r="V350" i="36"/>
  <c r="V351" i="36"/>
  <c r="V352" i="36"/>
  <c r="V353" i="36"/>
  <c r="V354" i="36"/>
  <c r="V355" i="36"/>
  <c r="V356" i="36"/>
  <c r="V357" i="36"/>
  <c r="V358" i="36"/>
  <c r="V359" i="36"/>
  <c r="V360" i="36"/>
  <c r="V361" i="36"/>
  <c r="V362" i="36"/>
  <c r="V363" i="36"/>
  <c r="V364" i="36"/>
  <c r="V365" i="36"/>
  <c r="V366" i="36"/>
  <c r="V367" i="36"/>
  <c r="V368" i="36"/>
  <c r="V369" i="36"/>
  <c r="V370" i="36"/>
  <c r="V371" i="36"/>
  <c r="V372" i="36"/>
  <c r="V373" i="36"/>
  <c r="V374" i="36"/>
  <c r="V375" i="36"/>
  <c r="V376" i="36"/>
  <c r="V377" i="36"/>
  <c r="V378" i="36"/>
  <c r="V379" i="36"/>
  <c r="V380" i="36"/>
  <c r="V381" i="36"/>
  <c r="V382" i="36"/>
  <c r="V383" i="36"/>
  <c r="V384" i="36"/>
  <c r="V385" i="36"/>
  <c r="V386" i="36"/>
  <c r="V387" i="36"/>
  <c r="V388" i="36"/>
  <c r="V389" i="36"/>
  <c r="V390" i="36"/>
  <c r="V391" i="36"/>
  <c r="V392" i="36"/>
  <c r="V393" i="36"/>
  <c r="V394" i="36"/>
  <c r="V395" i="36"/>
  <c r="V396" i="36"/>
  <c r="V397" i="36"/>
  <c r="V398" i="36"/>
  <c r="V399" i="36"/>
  <c r="V400" i="36"/>
  <c r="V401" i="36"/>
  <c r="V402" i="36"/>
  <c r="V403" i="36"/>
  <c r="V404" i="36"/>
  <c r="V405" i="36"/>
  <c r="V406" i="36"/>
  <c r="V407" i="36"/>
  <c r="V408" i="36"/>
  <c r="V409" i="36"/>
  <c r="V410" i="36"/>
  <c r="V411" i="36"/>
  <c r="V412" i="36"/>
  <c r="V413" i="36"/>
  <c r="V414" i="36"/>
  <c r="V415" i="36"/>
  <c r="V416" i="36"/>
  <c r="V417" i="36"/>
  <c r="V418" i="36"/>
  <c r="V419" i="36"/>
  <c r="V420" i="36"/>
  <c r="V421" i="36"/>
  <c r="V422" i="36"/>
  <c r="V423" i="36"/>
  <c r="V424" i="36"/>
  <c r="V425" i="36"/>
  <c r="V426" i="36"/>
  <c r="V427" i="36"/>
  <c r="V428" i="36"/>
  <c r="V429" i="36"/>
  <c r="V430" i="36"/>
  <c r="V431" i="36"/>
  <c r="V432" i="36"/>
  <c r="V433" i="36"/>
  <c r="V434" i="36"/>
  <c r="V435" i="36"/>
  <c r="V436" i="36"/>
  <c r="V437" i="36"/>
  <c r="V438" i="36"/>
  <c r="V439" i="36"/>
  <c r="V440" i="36"/>
  <c r="V441" i="36"/>
  <c r="V442" i="36"/>
  <c r="V443" i="36"/>
  <c r="V444" i="36"/>
  <c r="V445" i="36"/>
  <c r="V446" i="36"/>
  <c r="V447" i="36"/>
  <c r="V448" i="36"/>
  <c r="V449" i="36"/>
  <c r="V450" i="36"/>
  <c r="V451" i="36"/>
  <c r="V452" i="36"/>
  <c r="V453" i="36"/>
  <c r="V454" i="36"/>
  <c r="V455" i="36"/>
  <c r="V456" i="36"/>
  <c r="V457" i="36"/>
  <c r="V458" i="36"/>
  <c r="V459" i="36"/>
  <c r="V460" i="36"/>
  <c r="V461" i="36"/>
  <c r="V462" i="36"/>
  <c r="V463" i="36"/>
  <c r="V464" i="36"/>
  <c r="V465" i="36"/>
  <c r="V466" i="36"/>
  <c r="V467" i="36"/>
  <c r="V468" i="36"/>
  <c r="V469" i="36"/>
  <c r="V470" i="36"/>
  <c r="V471" i="36"/>
  <c r="V472" i="36"/>
  <c r="V473" i="36"/>
  <c r="V474" i="36"/>
  <c r="V475" i="36"/>
  <c r="V476" i="36"/>
  <c r="V477" i="36"/>
  <c r="V478" i="36"/>
  <c r="V479" i="36"/>
  <c r="V480" i="36"/>
  <c r="V481" i="36"/>
  <c r="V482" i="36"/>
  <c r="V483" i="36"/>
  <c r="V484" i="36"/>
  <c r="V485" i="36"/>
  <c r="V486" i="36"/>
  <c r="V487" i="36"/>
  <c r="V488" i="36"/>
  <c r="V489" i="36"/>
  <c r="V490" i="36"/>
  <c r="V491" i="36"/>
  <c r="V492" i="36"/>
  <c r="V493" i="36"/>
  <c r="V494" i="36"/>
  <c r="V495" i="36"/>
  <c r="V496" i="36"/>
  <c r="V497" i="36"/>
  <c r="V498" i="36"/>
  <c r="V499" i="36"/>
  <c r="V500" i="36"/>
  <c r="V501" i="36"/>
  <c r="V502" i="36"/>
  <c r="V503" i="36"/>
  <c r="V504" i="36"/>
  <c r="V505" i="36"/>
  <c r="V506" i="36"/>
  <c r="V507" i="36"/>
  <c r="V508" i="36"/>
  <c r="V509" i="36"/>
  <c r="V510" i="36"/>
  <c r="V511" i="36"/>
  <c r="V512" i="36"/>
  <c r="V513" i="36"/>
  <c r="V514" i="36"/>
  <c r="V515" i="36"/>
  <c r="V516" i="36"/>
  <c r="V517" i="36"/>
  <c r="V518" i="36"/>
  <c r="V519" i="36"/>
  <c r="V520" i="36"/>
  <c r="V521" i="36"/>
  <c r="W2" i="36"/>
  <c r="W3" i="36"/>
  <c r="W4" i="36"/>
  <c r="W5" i="36"/>
  <c r="W6" i="36"/>
  <c r="W7" i="36"/>
  <c r="W8" i="36"/>
  <c r="W9" i="36"/>
  <c r="W10" i="36"/>
  <c r="W11" i="36"/>
  <c r="W12" i="36"/>
  <c r="W13" i="36"/>
  <c r="W14" i="36"/>
  <c r="W15" i="36"/>
  <c r="W16" i="36"/>
  <c r="W17" i="36"/>
  <c r="W18" i="36"/>
  <c r="W19" i="36"/>
  <c r="W20" i="36"/>
  <c r="W21" i="36"/>
  <c r="W22" i="36"/>
  <c r="W23" i="36"/>
  <c r="W24" i="36"/>
  <c r="W25" i="36"/>
  <c r="W26" i="36"/>
  <c r="W27" i="36"/>
  <c r="W28" i="36"/>
  <c r="W29" i="36"/>
  <c r="W30" i="36"/>
  <c r="W31" i="36"/>
  <c r="W32" i="36"/>
  <c r="W33" i="36"/>
  <c r="W34" i="36"/>
  <c r="W35" i="36"/>
  <c r="W36" i="36"/>
  <c r="W37" i="36"/>
  <c r="W38" i="36"/>
  <c r="W39" i="36"/>
  <c r="W40" i="36"/>
  <c r="W41" i="36"/>
  <c r="W42" i="36"/>
  <c r="W43" i="36"/>
  <c r="W44" i="36"/>
  <c r="W45" i="36"/>
  <c r="W46" i="36"/>
  <c r="W47" i="36"/>
  <c r="W48" i="36"/>
  <c r="W49" i="36"/>
  <c r="W50" i="36"/>
  <c r="W51" i="36"/>
  <c r="W52" i="36"/>
  <c r="W53" i="36"/>
  <c r="W54" i="36"/>
  <c r="W55" i="36"/>
  <c r="W56" i="36"/>
  <c r="W57" i="36"/>
  <c r="W58" i="36"/>
  <c r="W59" i="36"/>
  <c r="W60" i="36"/>
  <c r="W61" i="36"/>
  <c r="W62" i="36"/>
  <c r="W63" i="36"/>
  <c r="W64" i="36"/>
  <c r="W65" i="36"/>
  <c r="W66" i="36"/>
  <c r="W67" i="36"/>
  <c r="W68" i="36"/>
  <c r="W69" i="36"/>
  <c r="W70" i="36"/>
  <c r="W71" i="36"/>
  <c r="W72" i="36"/>
  <c r="W73" i="36"/>
  <c r="W74" i="36"/>
  <c r="W75" i="36"/>
  <c r="W76" i="36"/>
  <c r="W77" i="36"/>
  <c r="W78" i="36"/>
  <c r="W79" i="36"/>
  <c r="W80" i="36"/>
  <c r="W81" i="36"/>
  <c r="W82" i="36"/>
  <c r="W83" i="36"/>
  <c r="W84" i="36"/>
  <c r="W85" i="36"/>
  <c r="W86" i="36"/>
  <c r="W87" i="36"/>
  <c r="W88" i="36"/>
  <c r="W89" i="36"/>
  <c r="W90" i="36"/>
  <c r="W91" i="36"/>
  <c r="W92" i="36"/>
  <c r="W93" i="36"/>
  <c r="W94" i="36"/>
  <c r="W95" i="36"/>
  <c r="W96" i="36"/>
  <c r="W97" i="36"/>
  <c r="W98" i="36"/>
  <c r="W99" i="36"/>
  <c r="W100" i="36"/>
  <c r="W101" i="36"/>
  <c r="W102" i="36"/>
  <c r="W103" i="36"/>
  <c r="W104" i="36"/>
  <c r="W105" i="36"/>
  <c r="W106" i="36"/>
  <c r="W107" i="36"/>
  <c r="W108" i="36"/>
  <c r="W109" i="36"/>
  <c r="W110" i="36"/>
  <c r="W111" i="36"/>
  <c r="W112" i="36"/>
  <c r="W113" i="36"/>
  <c r="W114" i="36"/>
  <c r="W115" i="36"/>
  <c r="W116" i="36"/>
  <c r="W117" i="36"/>
  <c r="W118" i="36"/>
  <c r="W119" i="36"/>
  <c r="W120" i="36"/>
  <c r="W121" i="36"/>
  <c r="W122" i="36"/>
  <c r="W123" i="36"/>
  <c r="W124" i="36"/>
  <c r="W125" i="36"/>
  <c r="W126" i="36"/>
  <c r="W127" i="36"/>
  <c r="W128" i="36"/>
  <c r="W129" i="36"/>
  <c r="W130" i="36"/>
  <c r="W131" i="36"/>
  <c r="W132" i="36"/>
  <c r="W133" i="36"/>
  <c r="W134" i="36"/>
  <c r="W135" i="36"/>
  <c r="W136" i="36"/>
  <c r="W137" i="36"/>
  <c r="W138" i="36"/>
  <c r="W139" i="36"/>
  <c r="W140" i="36"/>
  <c r="W141" i="36"/>
  <c r="W142" i="36"/>
  <c r="W143" i="36"/>
  <c r="W144" i="36"/>
  <c r="W145" i="36"/>
  <c r="W146" i="36"/>
  <c r="W147" i="36"/>
  <c r="W148" i="36"/>
  <c r="W149" i="36"/>
  <c r="W150" i="36"/>
  <c r="W151" i="36"/>
  <c r="W152" i="36"/>
  <c r="W153" i="36"/>
  <c r="W154" i="36"/>
  <c r="W155" i="36"/>
  <c r="W156" i="36"/>
  <c r="W157" i="36"/>
  <c r="W158" i="36"/>
  <c r="W159" i="36"/>
  <c r="W160" i="36"/>
  <c r="W161" i="36"/>
  <c r="W162" i="36"/>
  <c r="W163" i="36"/>
  <c r="W164" i="36"/>
  <c r="W165" i="36"/>
  <c r="W166" i="36"/>
  <c r="W167" i="36"/>
  <c r="W168" i="36"/>
  <c r="W169" i="36"/>
  <c r="W170" i="36"/>
  <c r="W171" i="36"/>
  <c r="W172" i="36"/>
  <c r="W173" i="36"/>
  <c r="W174" i="36"/>
  <c r="W175" i="36"/>
  <c r="W176" i="36"/>
  <c r="W177" i="36"/>
  <c r="W178" i="36"/>
  <c r="W179" i="36"/>
  <c r="W180" i="36"/>
  <c r="W181" i="36"/>
  <c r="W182" i="36"/>
  <c r="W183" i="36"/>
  <c r="W184" i="36"/>
  <c r="W185" i="36"/>
  <c r="W186" i="36"/>
  <c r="W187" i="36"/>
  <c r="W188" i="36"/>
  <c r="W189" i="36"/>
  <c r="W190" i="36"/>
  <c r="W191" i="36"/>
  <c r="W192" i="36"/>
  <c r="W193" i="36"/>
  <c r="W194" i="36"/>
  <c r="W195" i="36"/>
  <c r="W196" i="36"/>
  <c r="W197" i="36"/>
  <c r="W198" i="36"/>
  <c r="W199" i="36"/>
  <c r="W200" i="36"/>
  <c r="W201" i="36"/>
  <c r="W202" i="36"/>
  <c r="W203" i="36"/>
  <c r="W204" i="36"/>
  <c r="W205" i="36"/>
  <c r="W206" i="36"/>
  <c r="W207" i="36"/>
  <c r="W208" i="36"/>
  <c r="W209" i="36"/>
  <c r="W210" i="36"/>
  <c r="W211" i="36"/>
  <c r="W212" i="36"/>
  <c r="W213" i="36"/>
  <c r="W214" i="36"/>
  <c r="W215" i="36"/>
  <c r="W216" i="36"/>
  <c r="W217" i="36"/>
  <c r="W218" i="36"/>
  <c r="W219" i="36"/>
  <c r="W220" i="36"/>
  <c r="W221" i="36"/>
  <c r="W222" i="36"/>
  <c r="W223" i="36"/>
  <c r="W224" i="36"/>
  <c r="W225" i="36"/>
  <c r="W226" i="36"/>
  <c r="W227" i="36"/>
  <c r="W228" i="36"/>
  <c r="W229" i="36"/>
  <c r="W230" i="36"/>
  <c r="W231" i="36"/>
  <c r="W232" i="36"/>
  <c r="W233" i="36"/>
  <c r="W234" i="36"/>
  <c r="W235" i="36"/>
  <c r="W236" i="36"/>
  <c r="W237" i="36"/>
  <c r="W238" i="36"/>
  <c r="W239" i="36"/>
  <c r="W240" i="36"/>
  <c r="W241" i="36"/>
  <c r="W242" i="36"/>
  <c r="W243" i="36"/>
  <c r="W244" i="36"/>
  <c r="W245" i="36"/>
  <c r="W246" i="36"/>
  <c r="W247" i="36"/>
  <c r="W248" i="36"/>
  <c r="W249" i="36"/>
  <c r="W250" i="36"/>
  <c r="W251" i="36"/>
  <c r="W252" i="36"/>
  <c r="W253" i="36"/>
  <c r="W254" i="36"/>
  <c r="W255" i="36"/>
  <c r="W256" i="36"/>
  <c r="W257" i="36"/>
  <c r="W258" i="36"/>
  <c r="W259" i="36"/>
  <c r="W260" i="36"/>
  <c r="W261" i="36"/>
  <c r="W262" i="36"/>
  <c r="W263" i="36"/>
  <c r="W264" i="36"/>
  <c r="W265" i="36"/>
  <c r="W266" i="36"/>
  <c r="W267" i="36"/>
  <c r="W268" i="36"/>
  <c r="W269" i="36"/>
  <c r="W270" i="36"/>
  <c r="W271" i="36"/>
  <c r="W272" i="36"/>
  <c r="W273" i="36"/>
  <c r="W274" i="36"/>
  <c r="W275" i="36"/>
  <c r="W276" i="36"/>
  <c r="W277" i="36"/>
  <c r="W278" i="36"/>
  <c r="W279" i="36"/>
  <c r="W280" i="36"/>
  <c r="W281" i="36"/>
  <c r="W282" i="36"/>
  <c r="W283" i="36"/>
  <c r="W284" i="36"/>
  <c r="W285" i="36"/>
  <c r="W286" i="36"/>
  <c r="W287" i="36"/>
  <c r="W288" i="36"/>
  <c r="W289" i="36"/>
  <c r="W290" i="36"/>
  <c r="W291" i="36"/>
  <c r="W292" i="36"/>
  <c r="W293" i="36"/>
  <c r="W294" i="36"/>
  <c r="W295" i="36"/>
  <c r="W296" i="36"/>
  <c r="W297" i="36"/>
  <c r="W298" i="36"/>
  <c r="W299" i="36"/>
  <c r="W300" i="36"/>
  <c r="W301" i="36"/>
  <c r="W302" i="36"/>
  <c r="W303" i="36"/>
  <c r="W304" i="36"/>
  <c r="W305" i="36"/>
  <c r="W306" i="36"/>
  <c r="W307" i="36"/>
  <c r="W308" i="36"/>
  <c r="W309" i="36"/>
  <c r="W310" i="36"/>
  <c r="W311" i="36"/>
  <c r="W312" i="36"/>
  <c r="W313" i="36"/>
  <c r="W314" i="36"/>
  <c r="W315" i="36"/>
  <c r="W316" i="36"/>
  <c r="W317" i="36"/>
  <c r="W318" i="36"/>
  <c r="W319" i="36"/>
  <c r="W320" i="36"/>
  <c r="W321" i="36"/>
  <c r="W322" i="36"/>
  <c r="W323" i="36"/>
  <c r="W324" i="36"/>
  <c r="W325" i="36"/>
  <c r="W326" i="36"/>
  <c r="W327" i="36"/>
  <c r="W328" i="36"/>
  <c r="W329" i="36"/>
  <c r="W330" i="36"/>
  <c r="W331" i="36"/>
  <c r="W332" i="36"/>
  <c r="W333" i="36"/>
  <c r="W334" i="36"/>
  <c r="W335" i="36"/>
  <c r="W336" i="36"/>
  <c r="W337" i="36"/>
  <c r="W338" i="36"/>
  <c r="W339" i="36"/>
  <c r="W340" i="36"/>
  <c r="W341" i="36"/>
  <c r="W342" i="36"/>
  <c r="W343" i="36"/>
  <c r="W344" i="36"/>
  <c r="W345" i="36"/>
  <c r="W346" i="36"/>
  <c r="W347" i="36"/>
  <c r="W348" i="36"/>
  <c r="W349" i="36"/>
  <c r="W350" i="36"/>
  <c r="W351" i="36"/>
  <c r="W352" i="36"/>
  <c r="W353" i="36"/>
  <c r="W354" i="36"/>
  <c r="W355" i="36"/>
  <c r="W356" i="36"/>
  <c r="W357" i="36"/>
  <c r="W358" i="36"/>
  <c r="W359" i="36"/>
  <c r="W360" i="36"/>
  <c r="W361" i="36"/>
  <c r="W362" i="36"/>
  <c r="W363" i="36"/>
  <c r="W364" i="36"/>
  <c r="W365" i="36"/>
  <c r="W366" i="36"/>
  <c r="W367" i="36"/>
  <c r="W368" i="36"/>
  <c r="W369" i="36"/>
  <c r="W370" i="36"/>
  <c r="W371" i="36"/>
  <c r="W372" i="36"/>
  <c r="W373" i="36"/>
  <c r="W374" i="36"/>
  <c r="W375" i="36"/>
  <c r="W376" i="36"/>
  <c r="W377" i="36"/>
  <c r="W378" i="36"/>
  <c r="W379" i="36"/>
  <c r="W380" i="36"/>
  <c r="W381" i="36"/>
  <c r="W382" i="36"/>
  <c r="W383" i="36"/>
  <c r="W384" i="36"/>
  <c r="W385" i="36"/>
  <c r="W386" i="36"/>
  <c r="W387" i="36"/>
  <c r="W388" i="36"/>
  <c r="W389" i="36"/>
  <c r="W390" i="36"/>
  <c r="W391" i="36"/>
  <c r="W392" i="36"/>
  <c r="W393" i="36"/>
  <c r="W394" i="36"/>
  <c r="W395" i="36"/>
  <c r="W396" i="36"/>
  <c r="W397" i="36"/>
  <c r="W398" i="36"/>
  <c r="W399" i="36"/>
  <c r="W400" i="36"/>
  <c r="W401" i="36"/>
  <c r="W402" i="36"/>
  <c r="W403" i="36"/>
  <c r="W404" i="36"/>
  <c r="W405" i="36"/>
  <c r="W406" i="36"/>
  <c r="W407" i="36"/>
  <c r="W408" i="36"/>
  <c r="W409" i="36"/>
  <c r="W410" i="36"/>
  <c r="W411" i="36"/>
  <c r="W412" i="36"/>
  <c r="W413" i="36"/>
  <c r="W414" i="36"/>
  <c r="W415" i="36"/>
  <c r="W416" i="36"/>
  <c r="W417" i="36"/>
  <c r="W418" i="36"/>
  <c r="W419" i="36"/>
  <c r="W420" i="36"/>
  <c r="W421" i="36"/>
  <c r="W422" i="36"/>
  <c r="W423" i="36"/>
  <c r="W424" i="36"/>
  <c r="W425" i="36"/>
  <c r="W426" i="36"/>
  <c r="W427" i="36"/>
  <c r="W428" i="36"/>
  <c r="W429" i="36"/>
  <c r="W430" i="36"/>
  <c r="W431" i="36"/>
  <c r="W432" i="36"/>
  <c r="W433" i="36"/>
  <c r="W434" i="36"/>
  <c r="W435" i="36"/>
  <c r="W436" i="36"/>
  <c r="W437" i="36"/>
  <c r="W438" i="36"/>
  <c r="W439" i="36"/>
  <c r="W440" i="36"/>
  <c r="W441" i="36"/>
  <c r="W442" i="36"/>
  <c r="W443" i="36"/>
  <c r="W444" i="36"/>
  <c r="W445" i="36"/>
  <c r="W446" i="36"/>
  <c r="W447" i="36"/>
  <c r="W448" i="36"/>
  <c r="W449" i="36"/>
  <c r="W450" i="36"/>
  <c r="W451" i="36"/>
  <c r="W452" i="36"/>
  <c r="W453" i="36"/>
  <c r="W454" i="36"/>
  <c r="W455" i="36"/>
  <c r="W456" i="36"/>
  <c r="W457" i="36"/>
  <c r="W458" i="36"/>
  <c r="W459" i="36"/>
  <c r="W460" i="36"/>
  <c r="W461" i="36"/>
  <c r="W462" i="36"/>
  <c r="W463" i="36"/>
  <c r="W464" i="36"/>
  <c r="W465" i="36"/>
  <c r="W466" i="36"/>
  <c r="W467" i="36"/>
  <c r="W468" i="36"/>
  <c r="W469" i="36"/>
  <c r="W470" i="36"/>
  <c r="W471" i="36"/>
  <c r="W472" i="36"/>
  <c r="W473" i="36"/>
  <c r="W474" i="36"/>
  <c r="W475" i="36"/>
  <c r="W476" i="36"/>
  <c r="W477" i="36"/>
  <c r="W478" i="36"/>
  <c r="W479" i="36"/>
  <c r="W480" i="36"/>
  <c r="W481" i="36"/>
  <c r="W482" i="36"/>
  <c r="W483" i="36"/>
  <c r="W484" i="36"/>
  <c r="W485" i="36"/>
  <c r="W486" i="36"/>
  <c r="W487" i="36"/>
  <c r="W488" i="36"/>
  <c r="W489" i="36"/>
  <c r="W490" i="36"/>
  <c r="W491" i="36"/>
  <c r="W492" i="36"/>
  <c r="W493" i="36"/>
  <c r="W494" i="36"/>
  <c r="W495" i="36"/>
  <c r="W496" i="36"/>
  <c r="W497" i="36"/>
  <c r="W498" i="36"/>
  <c r="W499" i="36"/>
  <c r="W500" i="36"/>
  <c r="W501" i="36"/>
  <c r="W502" i="36"/>
  <c r="W503" i="36"/>
  <c r="W504" i="36"/>
  <c r="W505" i="36"/>
  <c r="W506" i="36"/>
  <c r="W507" i="36"/>
  <c r="W508" i="36"/>
  <c r="W509" i="36"/>
  <c r="W510" i="36"/>
  <c r="W511" i="36"/>
  <c r="W512" i="36"/>
  <c r="W513" i="36"/>
  <c r="W514" i="36"/>
  <c r="W515" i="36"/>
  <c r="W516" i="36"/>
  <c r="W517" i="36"/>
  <c r="W518" i="36"/>
  <c r="W519" i="36"/>
  <c r="W520" i="36"/>
  <c r="W521" i="36"/>
  <c r="X2" i="36"/>
  <c r="X3" i="36"/>
  <c r="X4" i="36"/>
  <c r="X5" i="36"/>
  <c r="X6" i="36"/>
  <c r="X7" i="36"/>
  <c r="X8" i="36"/>
  <c r="X9" i="36"/>
  <c r="X10" i="36"/>
  <c r="X11" i="36"/>
  <c r="X12" i="36"/>
  <c r="X13" i="36"/>
  <c r="X14" i="36"/>
  <c r="X15" i="36"/>
  <c r="X16" i="36"/>
  <c r="X17" i="36"/>
  <c r="X18" i="36"/>
  <c r="X19" i="36"/>
  <c r="X20" i="36"/>
  <c r="X21" i="36"/>
  <c r="X22" i="36"/>
  <c r="X23" i="36"/>
  <c r="X24" i="36"/>
  <c r="X25" i="36"/>
  <c r="X26" i="36"/>
  <c r="X27" i="36"/>
  <c r="X28" i="36"/>
  <c r="X29" i="36"/>
  <c r="X30" i="36"/>
  <c r="X31" i="36"/>
  <c r="X32" i="36"/>
  <c r="X33" i="36"/>
  <c r="X34" i="36"/>
  <c r="X35" i="36"/>
  <c r="X36" i="36"/>
  <c r="X37" i="36"/>
  <c r="X38" i="36"/>
  <c r="X39" i="36"/>
  <c r="X40" i="36"/>
  <c r="X41" i="36"/>
  <c r="X42" i="36"/>
  <c r="X43" i="36"/>
  <c r="X44" i="36"/>
  <c r="X45" i="36"/>
  <c r="X46" i="36"/>
  <c r="X47" i="36"/>
  <c r="X48" i="36"/>
  <c r="X49" i="36"/>
  <c r="X50" i="36"/>
  <c r="X51" i="36"/>
  <c r="X52" i="36"/>
  <c r="X53" i="36"/>
  <c r="X54" i="36"/>
  <c r="X55" i="36"/>
  <c r="X56" i="36"/>
  <c r="X57" i="36"/>
  <c r="X58" i="36"/>
  <c r="X59" i="36"/>
  <c r="X60" i="36"/>
  <c r="X61" i="36"/>
  <c r="X62" i="36"/>
  <c r="X63" i="36"/>
  <c r="X64" i="36"/>
  <c r="X65" i="36"/>
  <c r="X66" i="36"/>
  <c r="X67" i="36"/>
  <c r="X68" i="36"/>
  <c r="X69" i="36"/>
  <c r="X70" i="36"/>
  <c r="X71" i="36"/>
  <c r="X72" i="36"/>
  <c r="X73" i="36"/>
  <c r="X74" i="36"/>
  <c r="X75" i="36"/>
  <c r="X76" i="36"/>
  <c r="X77" i="36"/>
  <c r="X78" i="36"/>
  <c r="X79" i="36"/>
  <c r="X80" i="36"/>
  <c r="X81" i="36"/>
  <c r="X82" i="36"/>
  <c r="X83" i="36"/>
  <c r="X84" i="36"/>
  <c r="X85" i="36"/>
  <c r="X86" i="36"/>
  <c r="X87" i="36"/>
  <c r="X88" i="36"/>
  <c r="X89" i="36"/>
  <c r="X90" i="36"/>
  <c r="X91" i="36"/>
  <c r="X92" i="36"/>
  <c r="X93" i="36"/>
  <c r="X94" i="36"/>
  <c r="X95" i="36"/>
  <c r="X96" i="36"/>
  <c r="X97" i="36"/>
  <c r="X98" i="36"/>
  <c r="X99" i="36"/>
  <c r="X100" i="36"/>
  <c r="X101" i="36"/>
  <c r="X102" i="36"/>
  <c r="X103" i="36"/>
  <c r="X104" i="36"/>
  <c r="X105" i="36"/>
  <c r="X106" i="36"/>
  <c r="X107" i="36"/>
  <c r="X108" i="36"/>
  <c r="X109" i="36"/>
  <c r="X110" i="36"/>
  <c r="X111" i="36"/>
  <c r="X112" i="36"/>
  <c r="X113" i="36"/>
  <c r="X114" i="36"/>
  <c r="X115" i="36"/>
  <c r="X116" i="36"/>
  <c r="X117" i="36"/>
  <c r="X118" i="36"/>
  <c r="X119" i="36"/>
  <c r="X120" i="36"/>
  <c r="X121" i="36"/>
  <c r="X122" i="36"/>
  <c r="X123" i="36"/>
  <c r="X124" i="36"/>
  <c r="X125" i="36"/>
  <c r="X126" i="36"/>
  <c r="X127" i="36"/>
  <c r="X128" i="36"/>
  <c r="X129" i="36"/>
  <c r="X130" i="36"/>
  <c r="X131" i="36"/>
  <c r="X132" i="36"/>
  <c r="X133" i="36"/>
  <c r="X134" i="36"/>
  <c r="X135" i="36"/>
  <c r="X136" i="36"/>
  <c r="X137" i="36"/>
  <c r="X138" i="36"/>
  <c r="X139" i="36"/>
  <c r="X140" i="36"/>
  <c r="X141" i="36"/>
  <c r="X142" i="36"/>
  <c r="X143" i="36"/>
  <c r="X144" i="36"/>
  <c r="X145" i="36"/>
  <c r="X146" i="36"/>
  <c r="X147" i="36"/>
  <c r="X148" i="36"/>
  <c r="X149" i="36"/>
  <c r="X150" i="36"/>
  <c r="X151" i="36"/>
  <c r="X152" i="36"/>
  <c r="X153" i="36"/>
  <c r="X154" i="36"/>
  <c r="X155" i="36"/>
  <c r="X156" i="36"/>
  <c r="X157" i="36"/>
  <c r="X158" i="36"/>
  <c r="X159" i="36"/>
  <c r="X160" i="36"/>
  <c r="X161" i="36"/>
  <c r="X162" i="36"/>
  <c r="X163" i="36"/>
  <c r="X164" i="36"/>
  <c r="X165" i="36"/>
  <c r="X166" i="36"/>
  <c r="X167" i="36"/>
  <c r="X168" i="36"/>
  <c r="X169" i="36"/>
  <c r="X170" i="36"/>
  <c r="X171" i="36"/>
  <c r="X172" i="36"/>
  <c r="X173" i="36"/>
  <c r="X174" i="36"/>
  <c r="X175" i="36"/>
  <c r="X176" i="36"/>
  <c r="X177" i="36"/>
  <c r="X178" i="36"/>
  <c r="X179" i="36"/>
  <c r="X180" i="36"/>
  <c r="X181" i="36"/>
  <c r="X182" i="36"/>
  <c r="X183" i="36"/>
  <c r="X184" i="36"/>
  <c r="X185" i="36"/>
  <c r="X186" i="36"/>
  <c r="X187" i="36"/>
  <c r="X188" i="36"/>
  <c r="X189" i="36"/>
  <c r="X190" i="36"/>
  <c r="X191" i="36"/>
  <c r="X192" i="36"/>
  <c r="X193" i="36"/>
  <c r="X194" i="36"/>
  <c r="X195" i="36"/>
  <c r="X196" i="36"/>
  <c r="X197" i="36"/>
  <c r="X198" i="36"/>
  <c r="X199" i="36"/>
  <c r="X200" i="36"/>
  <c r="X201" i="36"/>
  <c r="X202" i="36"/>
  <c r="X203" i="36"/>
  <c r="X204" i="36"/>
  <c r="X205" i="36"/>
  <c r="X206" i="36"/>
  <c r="X207" i="36"/>
  <c r="X208" i="36"/>
  <c r="X209" i="36"/>
  <c r="X210" i="36"/>
  <c r="X211" i="36"/>
  <c r="X212" i="36"/>
  <c r="X213" i="36"/>
  <c r="X214" i="36"/>
  <c r="X215" i="36"/>
  <c r="X216" i="36"/>
  <c r="X217" i="36"/>
  <c r="X218" i="36"/>
  <c r="X219" i="36"/>
  <c r="X220" i="36"/>
  <c r="X221" i="36"/>
  <c r="X222" i="36"/>
  <c r="X223" i="36"/>
  <c r="X224" i="36"/>
  <c r="X225" i="36"/>
  <c r="X226" i="36"/>
  <c r="X227" i="36"/>
  <c r="X228" i="36"/>
  <c r="X229" i="36"/>
  <c r="X230" i="36"/>
  <c r="X231" i="36"/>
  <c r="X232" i="36"/>
  <c r="X233" i="36"/>
  <c r="X234" i="36"/>
  <c r="X235" i="36"/>
  <c r="X236" i="36"/>
  <c r="X237" i="36"/>
  <c r="X238" i="36"/>
  <c r="X239" i="36"/>
  <c r="X240" i="36"/>
  <c r="X241" i="36"/>
  <c r="X242" i="36"/>
  <c r="X243" i="36"/>
  <c r="X244" i="36"/>
  <c r="X245" i="36"/>
  <c r="X246" i="36"/>
  <c r="X247" i="36"/>
  <c r="X248" i="36"/>
  <c r="X249" i="36"/>
  <c r="X250" i="36"/>
  <c r="X251" i="36"/>
  <c r="X252" i="36"/>
  <c r="X253" i="36"/>
  <c r="X254" i="36"/>
  <c r="X255" i="36"/>
  <c r="X256" i="36"/>
  <c r="X257" i="36"/>
  <c r="X258" i="36"/>
  <c r="X259" i="36"/>
  <c r="X260" i="36"/>
  <c r="X261" i="36"/>
  <c r="X262" i="36"/>
  <c r="X263" i="36"/>
  <c r="X264" i="36"/>
  <c r="X265" i="36"/>
  <c r="X266" i="36"/>
  <c r="X267" i="36"/>
  <c r="X268" i="36"/>
  <c r="X269" i="36"/>
  <c r="X270" i="36"/>
  <c r="X271" i="36"/>
  <c r="X272" i="36"/>
  <c r="X273" i="36"/>
  <c r="X274" i="36"/>
  <c r="X275" i="36"/>
  <c r="X276" i="36"/>
  <c r="X277" i="36"/>
  <c r="X278" i="36"/>
  <c r="X279" i="36"/>
  <c r="X280" i="36"/>
  <c r="X281" i="36"/>
  <c r="X282" i="36"/>
  <c r="X283" i="36"/>
  <c r="X284" i="36"/>
  <c r="X285" i="36"/>
  <c r="X286" i="36"/>
  <c r="X287" i="36"/>
  <c r="X288" i="36"/>
  <c r="X289" i="36"/>
  <c r="X290" i="36"/>
  <c r="X291" i="36"/>
  <c r="X292" i="36"/>
  <c r="X293" i="36"/>
  <c r="X294" i="36"/>
  <c r="X295" i="36"/>
  <c r="X296" i="36"/>
  <c r="X297" i="36"/>
  <c r="X298" i="36"/>
  <c r="X299" i="36"/>
  <c r="X300" i="36"/>
  <c r="X301" i="36"/>
  <c r="X302" i="36"/>
  <c r="X303" i="36"/>
  <c r="X304" i="36"/>
  <c r="X305" i="36"/>
  <c r="X306" i="36"/>
  <c r="X307" i="36"/>
  <c r="X308" i="36"/>
  <c r="X309" i="36"/>
  <c r="X310" i="36"/>
  <c r="X311" i="36"/>
  <c r="X312" i="36"/>
  <c r="X313" i="36"/>
  <c r="X314" i="36"/>
  <c r="X315" i="36"/>
  <c r="X316" i="36"/>
  <c r="X317" i="36"/>
  <c r="X318" i="36"/>
  <c r="X319" i="36"/>
  <c r="X320" i="36"/>
  <c r="X321" i="36"/>
  <c r="X322" i="36"/>
  <c r="X323" i="36"/>
  <c r="X324" i="36"/>
  <c r="X325" i="36"/>
  <c r="X326" i="36"/>
  <c r="X327" i="36"/>
  <c r="X328" i="36"/>
  <c r="X329" i="36"/>
  <c r="X330" i="36"/>
  <c r="X331" i="36"/>
  <c r="X332" i="36"/>
  <c r="X333" i="36"/>
  <c r="X334" i="36"/>
  <c r="X335" i="36"/>
  <c r="X336" i="36"/>
  <c r="X337" i="36"/>
  <c r="X338" i="36"/>
  <c r="X339" i="36"/>
  <c r="X340" i="36"/>
  <c r="X341" i="36"/>
  <c r="X342" i="36"/>
  <c r="X343" i="36"/>
  <c r="X344" i="36"/>
  <c r="X345" i="36"/>
  <c r="X346" i="36"/>
  <c r="X347" i="36"/>
  <c r="X348" i="36"/>
  <c r="X349" i="36"/>
  <c r="X350" i="36"/>
  <c r="X351" i="36"/>
  <c r="X352" i="36"/>
  <c r="X353" i="36"/>
  <c r="X354" i="36"/>
  <c r="X355" i="36"/>
  <c r="X356" i="36"/>
  <c r="X357" i="36"/>
  <c r="X358" i="36"/>
  <c r="X359" i="36"/>
  <c r="X360" i="36"/>
  <c r="X361" i="36"/>
  <c r="X362" i="36"/>
  <c r="X363" i="36"/>
  <c r="X364" i="36"/>
  <c r="X365" i="36"/>
  <c r="X366" i="36"/>
  <c r="X367" i="36"/>
  <c r="X368" i="36"/>
  <c r="X369" i="36"/>
  <c r="X370" i="36"/>
  <c r="X371" i="36"/>
  <c r="X372" i="36"/>
  <c r="X373" i="36"/>
  <c r="X374" i="36"/>
  <c r="X375" i="36"/>
  <c r="X376" i="36"/>
  <c r="X377" i="36"/>
  <c r="X378" i="36"/>
  <c r="X379" i="36"/>
  <c r="X380" i="36"/>
  <c r="X381" i="36"/>
  <c r="X382" i="36"/>
  <c r="X383" i="36"/>
  <c r="X384" i="36"/>
  <c r="X385" i="36"/>
  <c r="X386" i="36"/>
  <c r="X387" i="36"/>
  <c r="X388" i="36"/>
  <c r="X389" i="36"/>
  <c r="X390" i="36"/>
  <c r="X391" i="36"/>
  <c r="X392" i="36"/>
  <c r="X393" i="36"/>
  <c r="X394" i="36"/>
  <c r="X395" i="36"/>
  <c r="X396" i="36"/>
  <c r="X397" i="36"/>
  <c r="X398" i="36"/>
  <c r="X399" i="36"/>
  <c r="X400" i="36"/>
  <c r="X401" i="36"/>
  <c r="X402" i="36"/>
  <c r="X403" i="36"/>
  <c r="X404" i="36"/>
  <c r="X405" i="36"/>
  <c r="X406" i="36"/>
  <c r="X407" i="36"/>
  <c r="X408" i="36"/>
  <c r="X409" i="36"/>
  <c r="X410" i="36"/>
  <c r="X411" i="36"/>
  <c r="X412" i="36"/>
  <c r="X413" i="36"/>
  <c r="X414" i="36"/>
  <c r="X415" i="36"/>
  <c r="X416" i="36"/>
  <c r="X417" i="36"/>
  <c r="X418" i="36"/>
  <c r="X419" i="36"/>
  <c r="X420" i="36"/>
  <c r="X421" i="36"/>
  <c r="X422" i="36"/>
  <c r="X423" i="36"/>
  <c r="X424" i="36"/>
  <c r="X425" i="36"/>
  <c r="X426" i="36"/>
  <c r="X427" i="36"/>
  <c r="X428" i="36"/>
  <c r="X429" i="36"/>
  <c r="X430" i="36"/>
  <c r="X431" i="36"/>
  <c r="X432" i="36"/>
  <c r="X433" i="36"/>
  <c r="X434" i="36"/>
  <c r="X435" i="36"/>
  <c r="X436" i="36"/>
  <c r="X437" i="36"/>
  <c r="X438" i="36"/>
  <c r="X439" i="36"/>
  <c r="X440" i="36"/>
  <c r="X441" i="36"/>
  <c r="X442" i="36"/>
  <c r="X443" i="36"/>
  <c r="X444" i="36"/>
  <c r="X445" i="36"/>
  <c r="X446" i="36"/>
  <c r="X447" i="36"/>
  <c r="X448" i="36"/>
  <c r="X449" i="36"/>
  <c r="X450" i="36"/>
  <c r="X451" i="36"/>
  <c r="X452" i="36"/>
  <c r="X453" i="36"/>
  <c r="X454" i="36"/>
  <c r="X455" i="36"/>
  <c r="X456" i="36"/>
  <c r="X457" i="36"/>
  <c r="X458" i="36"/>
  <c r="X459" i="36"/>
  <c r="X460" i="36"/>
  <c r="X461" i="36"/>
  <c r="X462" i="36"/>
  <c r="X463" i="36"/>
  <c r="X464" i="36"/>
  <c r="X465" i="36"/>
  <c r="X466" i="36"/>
  <c r="X467" i="36"/>
  <c r="X468" i="36"/>
  <c r="X469" i="36"/>
  <c r="X470" i="36"/>
  <c r="X471" i="36"/>
  <c r="X472" i="36"/>
  <c r="X473" i="36"/>
  <c r="X474" i="36"/>
  <c r="X475" i="36"/>
  <c r="X476" i="36"/>
  <c r="X477" i="36"/>
  <c r="X478" i="36"/>
  <c r="X479" i="36"/>
  <c r="X480" i="36"/>
  <c r="X481" i="36"/>
  <c r="X482" i="36"/>
  <c r="X483" i="36"/>
  <c r="X484" i="36"/>
  <c r="X485" i="36"/>
  <c r="X486" i="36"/>
  <c r="X487" i="36"/>
  <c r="X488" i="36"/>
  <c r="X489" i="36"/>
  <c r="X490" i="36"/>
  <c r="X491" i="36"/>
  <c r="X492" i="36"/>
  <c r="X493" i="36"/>
  <c r="X494" i="36"/>
  <c r="X495" i="36"/>
  <c r="X496" i="36"/>
  <c r="X497" i="36"/>
  <c r="X498" i="36"/>
  <c r="X499" i="36"/>
  <c r="X500" i="36"/>
  <c r="X501" i="36"/>
  <c r="X502" i="36"/>
  <c r="X503" i="36"/>
  <c r="X504" i="36"/>
  <c r="X505" i="36"/>
  <c r="X506" i="36"/>
  <c r="X507" i="36"/>
  <c r="X508" i="36"/>
  <c r="X509" i="36"/>
  <c r="X510" i="36"/>
  <c r="X511" i="36"/>
  <c r="X512" i="36"/>
  <c r="X513" i="36"/>
  <c r="X514" i="36"/>
  <c r="X515" i="36"/>
  <c r="X516" i="36"/>
  <c r="X517" i="36"/>
  <c r="X518" i="36"/>
  <c r="X519" i="36"/>
  <c r="X520" i="36"/>
  <c r="X521" i="36"/>
  <c r="Y2" i="36"/>
  <c r="Y3" i="36"/>
  <c r="Y4" i="36"/>
  <c r="Y5" i="36"/>
  <c r="Y6" i="36"/>
  <c r="Y7" i="36"/>
  <c r="Y8" i="36"/>
  <c r="Y9" i="36"/>
  <c r="Y10" i="36"/>
  <c r="Y11" i="36"/>
  <c r="Y12" i="36"/>
  <c r="Y13" i="36"/>
  <c r="Y14" i="36"/>
  <c r="Y15" i="36"/>
  <c r="Y16" i="36"/>
  <c r="Y17" i="36"/>
  <c r="Y18" i="36"/>
  <c r="Y19" i="36"/>
  <c r="Y20" i="36"/>
  <c r="Y21" i="36"/>
  <c r="Y22" i="36"/>
  <c r="Y23" i="36"/>
  <c r="Y24" i="36"/>
  <c r="Y25" i="36"/>
  <c r="Y26" i="36"/>
  <c r="Y27" i="36"/>
  <c r="Y28" i="36"/>
  <c r="Y29" i="36"/>
  <c r="Y30" i="36"/>
  <c r="Y31" i="36"/>
  <c r="Y32" i="36"/>
  <c r="Y33" i="36"/>
  <c r="Y34" i="36"/>
  <c r="Y35" i="36"/>
  <c r="Y36" i="36"/>
  <c r="Y37" i="36"/>
  <c r="Y38" i="36"/>
  <c r="Y39" i="36"/>
  <c r="Y40" i="36"/>
  <c r="Y41" i="36"/>
  <c r="Y42" i="36"/>
  <c r="Y43" i="36"/>
  <c r="Y44" i="36"/>
  <c r="Y45" i="36"/>
  <c r="Y46" i="36"/>
  <c r="Y47" i="36"/>
  <c r="Y48" i="36"/>
  <c r="Y49" i="36"/>
  <c r="Y50" i="36"/>
  <c r="Y51" i="36"/>
  <c r="Y52" i="36"/>
  <c r="Y53" i="36"/>
  <c r="Y54" i="36"/>
  <c r="Y55" i="36"/>
  <c r="Y56" i="36"/>
  <c r="Y57" i="36"/>
  <c r="Y58" i="36"/>
  <c r="Y59" i="36"/>
  <c r="Y60" i="36"/>
  <c r="Y61" i="36"/>
  <c r="Y62" i="36"/>
  <c r="Y63" i="36"/>
  <c r="Y64" i="36"/>
  <c r="Y65" i="36"/>
  <c r="Y66" i="36"/>
  <c r="Y67" i="36"/>
  <c r="Y68" i="36"/>
  <c r="Y69" i="36"/>
  <c r="Y70" i="36"/>
  <c r="Y71" i="36"/>
  <c r="Y72" i="36"/>
  <c r="Y73" i="36"/>
  <c r="Y74" i="36"/>
  <c r="Y75" i="36"/>
  <c r="Y76" i="36"/>
  <c r="Y77" i="36"/>
  <c r="Y78" i="36"/>
  <c r="Y79" i="36"/>
  <c r="Y80" i="36"/>
  <c r="Y81" i="36"/>
  <c r="Y82" i="36"/>
  <c r="Y83" i="36"/>
  <c r="Y84" i="36"/>
  <c r="Y85" i="36"/>
  <c r="Y86" i="36"/>
  <c r="Y87" i="36"/>
  <c r="Y88" i="36"/>
  <c r="Y89" i="36"/>
  <c r="Y90" i="36"/>
  <c r="Y91" i="36"/>
  <c r="Y92" i="36"/>
  <c r="Y93" i="36"/>
  <c r="Y94" i="36"/>
  <c r="Y95" i="36"/>
  <c r="Y96" i="36"/>
  <c r="Y97" i="36"/>
  <c r="Y98" i="36"/>
  <c r="Y99" i="36"/>
  <c r="Y100" i="36"/>
  <c r="Y101" i="36"/>
  <c r="Y102" i="36"/>
  <c r="Y103" i="36"/>
  <c r="Y104" i="36"/>
  <c r="Y105" i="36"/>
  <c r="Y106" i="36"/>
  <c r="Y107" i="36"/>
  <c r="Y108" i="36"/>
  <c r="Y109" i="36"/>
  <c r="Y110" i="36"/>
  <c r="Y111" i="36"/>
  <c r="Y112" i="36"/>
  <c r="Y113" i="36"/>
  <c r="Y114" i="36"/>
  <c r="Y115" i="36"/>
  <c r="Y116" i="36"/>
  <c r="Y117" i="36"/>
  <c r="Y118" i="36"/>
  <c r="Y119" i="36"/>
  <c r="Y120" i="36"/>
  <c r="Y121" i="36"/>
  <c r="Y122" i="36"/>
  <c r="Y123" i="36"/>
  <c r="Y124" i="36"/>
  <c r="Y125" i="36"/>
  <c r="Y126" i="36"/>
  <c r="Y127" i="36"/>
  <c r="Y128" i="36"/>
  <c r="Y129" i="36"/>
  <c r="Y130" i="36"/>
  <c r="Y131" i="36"/>
  <c r="Y132" i="36"/>
  <c r="Y133" i="36"/>
  <c r="Y134" i="36"/>
  <c r="Y135" i="36"/>
  <c r="Y136" i="36"/>
  <c r="Y137" i="36"/>
  <c r="Y138" i="36"/>
  <c r="Y139" i="36"/>
  <c r="Y140" i="36"/>
  <c r="Y141" i="36"/>
  <c r="Y142" i="36"/>
  <c r="Y143" i="36"/>
  <c r="Y144" i="36"/>
  <c r="Y145" i="36"/>
  <c r="Y146" i="36"/>
  <c r="Y147" i="36"/>
  <c r="Y148" i="36"/>
  <c r="Y149" i="36"/>
  <c r="Y150" i="36"/>
  <c r="Y151" i="36"/>
  <c r="Y152" i="36"/>
  <c r="Y153" i="36"/>
  <c r="Y154" i="36"/>
  <c r="Y155" i="36"/>
  <c r="Y156" i="36"/>
  <c r="Y157" i="36"/>
  <c r="Y158" i="36"/>
  <c r="Y159" i="36"/>
  <c r="Y160" i="36"/>
  <c r="Y161" i="36"/>
  <c r="Y162" i="36"/>
  <c r="Y163" i="36"/>
  <c r="Y164" i="36"/>
  <c r="Y165" i="36"/>
  <c r="Y166" i="36"/>
  <c r="Y167" i="36"/>
  <c r="Y168" i="36"/>
  <c r="Y169" i="36"/>
  <c r="Y170" i="36"/>
  <c r="Y171" i="36"/>
  <c r="Y172" i="36"/>
  <c r="Y173" i="36"/>
  <c r="Y174" i="36"/>
  <c r="Y175" i="36"/>
  <c r="Y176" i="36"/>
  <c r="Y177" i="36"/>
  <c r="Y178" i="36"/>
  <c r="Y179" i="36"/>
  <c r="Y180" i="36"/>
  <c r="Y181" i="36"/>
  <c r="Y182" i="36"/>
  <c r="Y183" i="36"/>
  <c r="Y184" i="36"/>
  <c r="Y185" i="36"/>
  <c r="Y186" i="36"/>
  <c r="Y187" i="36"/>
  <c r="Y188" i="36"/>
  <c r="Y189" i="36"/>
  <c r="Y190" i="36"/>
  <c r="Y191" i="36"/>
  <c r="Y192" i="36"/>
  <c r="Y193" i="36"/>
  <c r="Y194" i="36"/>
  <c r="Y195" i="36"/>
  <c r="Y196" i="36"/>
  <c r="Y197" i="36"/>
  <c r="Y198" i="36"/>
  <c r="Y199" i="36"/>
  <c r="Y200" i="36"/>
  <c r="Y201" i="36"/>
  <c r="Y202" i="36"/>
  <c r="Y203" i="36"/>
  <c r="Y204" i="36"/>
  <c r="Y205" i="36"/>
  <c r="Y206" i="36"/>
  <c r="Y207" i="36"/>
  <c r="Y208" i="36"/>
  <c r="Y209" i="36"/>
  <c r="Y210" i="36"/>
  <c r="Y211" i="36"/>
  <c r="Y212" i="36"/>
  <c r="Y213" i="36"/>
  <c r="Y214" i="36"/>
  <c r="Y215" i="36"/>
  <c r="Y216" i="36"/>
  <c r="Y217" i="36"/>
  <c r="Y218" i="36"/>
  <c r="Y219" i="36"/>
  <c r="Y220" i="36"/>
  <c r="Y221" i="36"/>
  <c r="Y222" i="36"/>
  <c r="Y223" i="36"/>
  <c r="Y224" i="36"/>
  <c r="Y225" i="36"/>
  <c r="Y226" i="36"/>
  <c r="Y227" i="36"/>
  <c r="Y228" i="36"/>
  <c r="Y229" i="36"/>
  <c r="Y230" i="36"/>
  <c r="Y231" i="36"/>
  <c r="Y232" i="36"/>
  <c r="Y233" i="36"/>
  <c r="Y234" i="36"/>
  <c r="Y235" i="36"/>
  <c r="Y236" i="36"/>
  <c r="Y237" i="36"/>
  <c r="Y238" i="36"/>
  <c r="Y239" i="36"/>
  <c r="Y240" i="36"/>
  <c r="Y241" i="36"/>
  <c r="Y242" i="36"/>
  <c r="Y243" i="36"/>
  <c r="Y244" i="36"/>
  <c r="Y245" i="36"/>
  <c r="Y246" i="36"/>
  <c r="Y247" i="36"/>
  <c r="Y248" i="36"/>
  <c r="Y249" i="36"/>
  <c r="Y250" i="36"/>
  <c r="Y251" i="36"/>
  <c r="Y252" i="36"/>
  <c r="Y253" i="36"/>
  <c r="Y254" i="36"/>
  <c r="Y255" i="36"/>
  <c r="Y256" i="36"/>
  <c r="Y257" i="36"/>
  <c r="Y258" i="36"/>
  <c r="Y259" i="36"/>
  <c r="Y260" i="36"/>
  <c r="Y261" i="36"/>
  <c r="Y262" i="36"/>
  <c r="Y263" i="36"/>
  <c r="Y264" i="36"/>
  <c r="Y265" i="36"/>
  <c r="Y266" i="36"/>
  <c r="Y267" i="36"/>
  <c r="Y268" i="36"/>
  <c r="Y269" i="36"/>
  <c r="Y270" i="36"/>
  <c r="Y271" i="36"/>
  <c r="Y272" i="36"/>
  <c r="Y273" i="36"/>
  <c r="Y274" i="36"/>
  <c r="Y275" i="36"/>
  <c r="Y276" i="36"/>
  <c r="Y277" i="36"/>
  <c r="Y278" i="36"/>
  <c r="Y279" i="36"/>
  <c r="Y280" i="36"/>
  <c r="Y281" i="36"/>
  <c r="Y282" i="36"/>
  <c r="Y283" i="36"/>
  <c r="Y284" i="36"/>
  <c r="Y285" i="36"/>
  <c r="Y286" i="36"/>
  <c r="Y287" i="36"/>
  <c r="Y288" i="36"/>
  <c r="Y289" i="36"/>
  <c r="Y290" i="36"/>
  <c r="Y291" i="36"/>
  <c r="Y292" i="36"/>
  <c r="Y293" i="36"/>
  <c r="Y294" i="36"/>
  <c r="Y295" i="36"/>
  <c r="Y296" i="36"/>
  <c r="Y297" i="36"/>
  <c r="Y298" i="36"/>
  <c r="Y299" i="36"/>
  <c r="Y300" i="36"/>
  <c r="Y301" i="36"/>
  <c r="Y302" i="36"/>
  <c r="Y303" i="36"/>
  <c r="Y304" i="36"/>
  <c r="Y305" i="36"/>
  <c r="Y306" i="36"/>
  <c r="Y307" i="36"/>
  <c r="Y308" i="36"/>
  <c r="Y309" i="36"/>
  <c r="Y310" i="36"/>
  <c r="Y311" i="36"/>
  <c r="Y312" i="36"/>
  <c r="Y313" i="36"/>
  <c r="Y314" i="36"/>
  <c r="Y315" i="36"/>
  <c r="Y316" i="36"/>
  <c r="Y317" i="36"/>
  <c r="Y318" i="36"/>
  <c r="Y319" i="36"/>
  <c r="Y320" i="36"/>
  <c r="Y321" i="36"/>
  <c r="Y322" i="36"/>
  <c r="Y323" i="36"/>
  <c r="Y324" i="36"/>
  <c r="Y325" i="36"/>
  <c r="Y326" i="36"/>
  <c r="Y327" i="36"/>
  <c r="Y328" i="36"/>
  <c r="Y329" i="36"/>
  <c r="Y330" i="36"/>
  <c r="Y331" i="36"/>
  <c r="Y332" i="36"/>
  <c r="Y333" i="36"/>
  <c r="Y334" i="36"/>
  <c r="Y335" i="36"/>
  <c r="Y336" i="36"/>
  <c r="Y337" i="36"/>
  <c r="Y338" i="36"/>
  <c r="Y339" i="36"/>
  <c r="Y340" i="36"/>
  <c r="Y341" i="36"/>
  <c r="Y342" i="36"/>
  <c r="Y343" i="36"/>
  <c r="Y344" i="36"/>
  <c r="Y345" i="36"/>
  <c r="Y346" i="36"/>
  <c r="Y347" i="36"/>
  <c r="Y348" i="36"/>
  <c r="Y349" i="36"/>
  <c r="Y350" i="36"/>
  <c r="Y351" i="36"/>
  <c r="Y352" i="36"/>
  <c r="Y353" i="36"/>
  <c r="Y354" i="36"/>
  <c r="Y355" i="36"/>
  <c r="Y356" i="36"/>
  <c r="Y357" i="36"/>
  <c r="Y358" i="36"/>
  <c r="Y359" i="36"/>
  <c r="Y360" i="36"/>
  <c r="Y361" i="36"/>
  <c r="Y362" i="36"/>
  <c r="Y363" i="36"/>
  <c r="Y364" i="36"/>
  <c r="Y365" i="36"/>
  <c r="Y366" i="36"/>
  <c r="Y367" i="36"/>
  <c r="Y368" i="36"/>
  <c r="Y369" i="36"/>
  <c r="Y370" i="36"/>
  <c r="Y371" i="36"/>
  <c r="Y372" i="36"/>
  <c r="Y373" i="36"/>
  <c r="Y374" i="36"/>
  <c r="Y375" i="36"/>
  <c r="Y376" i="36"/>
  <c r="Y377" i="36"/>
  <c r="Y378" i="36"/>
  <c r="Y379" i="36"/>
  <c r="Y380" i="36"/>
  <c r="Y381" i="36"/>
  <c r="Y382" i="36"/>
  <c r="Y383" i="36"/>
  <c r="Y384" i="36"/>
  <c r="Y385" i="36"/>
  <c r="Y386" i="36"/>
  <c r="Y387" i="36"/>
  <c r="Y388" i="36"/>
  <c r="Y389" i="36"/>
  <c r="Y390" i="36"/>
  <c r="Y391" i="36"/>
  <c r="Y392" i="36"/>
  <c r="Y393" i="36"/>
  <c r="Y394" i="36"/>
  <c r="Y395" i="36"/>
  <c r="Y396" i="36"/>
  <c r="Y397" i="36"/>
  <c r="Y398" i="36"/>
  <c r="Y399" i="36"/>
  <c r="Y400" i="36"/>
  <c r="Y401" i="36"/>
  <c r="Y402" i="36"/>
  <c r="Y403" i="36"/>
  <c r="Y404" i="36"/>
  <c r="Y405" i="36"/>
  <c r="Y406" i="36"/>
  <c r="Y407" i="36"/>
  <c r="Y408" i="36"/>
  <c r="Y409" i="36"/>
  <c r="Y410" i="36"/>
  <c r="Y411" i="36"/>
  <c r="Y412" i="36"/>
  <c r="Y413" i="36"/>
  <c r="Y414" i="36"/>
  <c r="Y415" i="36"/>
  <c r="Y416" i="36"/>
  <c r="Y417" i="36"/>
  <c r="Y418" i="36"/>
  <c r="Y419" i="36"/>
  <c r="Y420" i="36"/>
  <c r="Y421" i="36"/>
  <c r="Y422" i="36"/>
  <c r="Y423" i="36"/>
  <c r="Y424" i="36"/>
  <c r="Y425" i="36"/>
  <c r="Y426" i="36"/>
  <c r="Y427" i="36"/>
  <c r="Y428" i="36"/>
  <c r="Y429" i="36"/>
  <c r="Y430" i="36"/>
  <c r="Y431" i="36"/>
  <c r="Y432" i="36"/>
  <c r="Y433" i="36"/>
  <c r="Y434" i="36"/>
  <c r="Y435" i="36"/>
  <c r="Y436" i="36"/>
  <c r="Y437" i="36"/>
  <c r="Y438" i="36"/>
  <c r="Y439" i="36"/>
  <c r="Y440" i="36"/>
  <c r="Y441" i="36"/>
  <c r="Y442" i="36"/>
  <c r="Y443" i="36"/>
  <c r="Y444" i="36"/>
  <c r="Y445" i="36"/>
  <c r="Y446" i="36"/>
  <c r="Y447" i="36"/>
  <c r="Y448" i="36"/>
  <c r="Y449" i="36"/>
  <c r="Y450" i="36"/>
  <c r="Y451" i="36"/>
  <c r="Y452" i="36"/>
  <c r="Y453" i="36"/>
  <c r="Y454" i="36"/>
  <c r="Y455" i="36"/>
  <c r="Y456" i="36"/>
  <c r="Y457" i="36"/>
  <c r="Y458" i="36"/>
  <c r="Y459" i="36"/>
  <c r="Y460" i="36"/>
  <c r="Y461" i="36"/>
  <c r="Y462" i="36"/>
  <c r="Y463" i="36"/>
  <c r="Y464" i="36"/>
  <c r="Y465" i="36"/>
  <c r="Y466" i="36"/>
  <c r="Y467" i="36"/>
  <c r="Y468" i="36"/>
  <c r="Y469" i="36"/>
  <c r="Y470" i="36"/>
  <c r="Y471" i="36"/>
  <c r="Y472" i="36"/>
  <c r="Y473" i="36"/>
  <c r="Y474" i="36"/>
  <c r="Y475" i="36"/>
  <c r="Y476" i="36"/>
  <c r="Y477" i="36"/>
  <c r="Y478" i="36"/>
  <c r="Y479" i="36"/>
  <c r="Y480" i="36"/>
  <c r="Y481" i="36"/>
  <c r="Y482" i="36"/>
  <c r="Y483" i="36"/>
  <c r="Y484" i="36"/>
  <c r="Y485" i="36"/>
  <c r="Y486" i="36"/>
  <c r="Y487" i="36"/>
  <c r="Y488" i="36"/>
  <c r="Y489" i="36"/>
  <c r="Y490" i="36"/>
  <c r="Y491" i="36"/>
  <c r="Y492" i="36"/>
  <c r="Y493" i="36"/>
  <c r="Y494" i="36"/>
  <c r="Y495" i="36"/>
  <c r="Y496" i="36"/>
  <c r="Y497" i="36"/>
  <c r="Y498" i="36"/>
  <c r="Y499" i="36"/>
  <c r="Y500" i="36"/>
  <c r="Y501" i="36"/>
  <c r="Y502" i="36"/>
  <c r="Y503" i="36"/>
  <c r="Y504" i="36"/>
  <c r="Y505" i="36"/>
  <c r="Y506" i="36"/>
  <c r="Y507" i="36"/>
  <c r="Y508" i="36"/>
  <c r="Y509" i="36"/>
  <c r="Y510" i="36"/>
  <c r="Y511" i="36"/>
  <c r="Y512" i="36"/>
  <c r="Y513" i="36"/>
  <c r="Y514" i="36"/>
  <c r="Y515" i="36"/>
  <c r="Y516" i="36"/>
  <c r="Y517" i="36"/>
  <c r="Y518" i="36"/>
  <c r="Y519" i="36"/>
  <c r="Y520" i="36"/>
  <c r="Y521" i="36"/>
  <c r="Z2" i="36"/>
  <c r="Z3" i="36"/>
  <c r="Z4" i="36"/>
  <c r="Z5" i="36"/>
  <c r="Z6" i="36"/>
  <c r="Z7" i="36"/>
  <c r="Z8" i="36"/>
  <c r="Z9" i="36"/>
  <c r="Z10" i="36"/>
  <c r="Z11" i="36"/>
  <c r="Z12" i="36"/>
  <c r="Z13" i="36"/>
  <c r="Z14" i="36"/>
  <c r="Z15" i="36"/>
  <c r="Z16" i="36"/>
  <c r="Z17" i="36"/>
  <c r="Z18" i="36"/>
  <c r="Z19" i="36"/>
  <c r="Z20" i="36"/>
  <c r="Z21" i="36"/>
  <c r="Z22" i="36"/>
  <c r="Z23" i="36"/>
  <c r="Z24" i="36"/>
  <c r="Z25" i="36"/>
  <c r="Z26" i="36"/>
  <c r="Z27" i="36"/>
  <c r="Z28" i="36"/>
  <c r="Z29" i="36"/>
  <c r="Z30" i="36"/>
  <c r="Z31" i="36"/>
  <c r="Z32" i="36"/>
  <c r="Z33" i="36"/>
  <c r="Z34" i="36"/>
  <c r="Z35" i="36"/>
  <c r="Z36" i="36"/>
  <c r="Z37" i="36"/>
  <c r="Z38" i="36"/>
  <c r="Z39" i="36"/>
  <c r="Z40" i="36"/>
  <c r="Z41" i="36"/>
  <c r="Z42" i="36"/>
  <c r="Z43" i="36"/>
  <c r="Z44" i="36"/>
  <c r="Z45" i="36"/>
  <c r="Z46" i="36"/>
  <c r="Z47" i="36"/>
  <c r="Z48" i="36"/>
  <c r="Z49" i="36"/>
  <c r="Z50" i="36"/>
  <c r="Z51" i="36"/>
  <c r="Z52" i="36"/>
  <c r="Z53" i="36"/>
  <c r="Z54" i="36"/>
  <c r="Z55" i="36"/>
  <c r="Z56" i="36"/>
  <c r="Z57" i="36"/>
  <c r="Z58" i="36"/>
  <c r="Z59" i="36"/>
  <c r="Z60" i="36"/>
  <c r="Z61" i="36"/>
  <c r="Z62" i="36"/>
  <c r="Z63" i="36"/>
  <c r="Z64" i="36"/>
  <c r="Z65" i="36"/>
  <c r="Z66" i="36"/>
  <c r="Z67" i="36"/>
  <c r="Z68" i="36"/>
  <c r="Z69" i="36"/>
  <c r="Z70" i="36"/>
  <c r="Z71" i="36"/>
  <c r="Z72" i="36"/>
  <c r="Z73" i="36"/>
  <c r="Z74" i="36"/>
  <c r="Z75" i="36"/>
  <c r="Z76" i="36"/>
  <c r="Z77" i="36"/>
  <c r="Z78" i="36"/>
  <c r="Z79" i="36"/>
  <c r="Z80" i="36"/>
  <c r="Z81" i="36"/>
  <c r="Z82" i="36"/>
  <c r="Z83" i="36"/>
  <c r="Z84" i="36"/>
  <c r="Z85" i="36"/>
  <c r="Z86" i="36"/>
  <c r="Z87" i="36"/>
  <c r="Z88" i="36"/>
  <c r="Z89" i="36"/>
  <c r="Z90" i="36"/>
  <c r="Z91" i="36"/>
  <c r="Z92" i="36"/>
  <c r="Z93" i="36"/>
  <c r="Z94" i="36"/>
  <c r="Z95" i="36"/>
  <c r="Z96" i="36"/>
  <c r="Z97" i="36"/>
  <c r="Z98" i="36"/>
  <c r="Z99" i="36"/>
  <c r="Z100" i="36"/>
  <c r="Z101" i="36"/>
  <c r="Z102" i="36"/>
  <c r="Z103" i="36"/>
  <c r="Z104" i="36"/>
  <c r="Z105" i="36"/>
  <c r="Z106" i="36"/>
  <c r="Z107" i="36"/>
  <c r="Z108" i="36"/>
  <c r="Z109" i="36"/>
  <c r="Z110" i="36"/>
  <c r="Z111" i="36"/>
  <c r="Z112" i="36"/>
  <c r="Z113" i="36"/>
  <c r="Z114" i="36"/>
  <c r="Z115" i="36"/>
  <c r="Z116" i="36"/>
  <c r="Z117" i="36"/>
  <c r="Z118" i="36"/>
  <c r="Z119" i="36"/>
  <c r="Z120" i="36"/>
  <c r="Z121" i="36"/>
  <c r="Z122" i="36"/>
  <c r="Z123" i="36"/>
  <c r="Z124" i="36"/>
  <c r="Z125" i="36"/>
  <c r="Z126" i="36"/>
  <c r="Z127" i="36"/>
  <c r="Z128" i="36"/>
  <c r="Z129" i="36"/>
  <c r="Z130" i="36"/>
  <c r="Z131" i="36"/>
  <c r="Z132" i="36"/>
  <c r="Z133" i="36"/>
  <c r="Z134" i="36"/>
  <c r="Z135" i="36"/>
  <c r="Z136" i="36"/>
  <c r="Z137" i="36"/>
  <c r="Z138" i="36"/>
  <c r="Z139" i="36"/>
  <c r="Z140" i="36"/>
  <c r="Z141" i="36"/>
  <c r="Z142" i="36"/>
  <c r="Z143" i="36"/>
  <c r="Z144" i="36"/>
  <c r="Z145" i="36"/>
  <c r="Z146" i="36"/>
  <c r="Z147" i="36"/>
  <c r="Z148" i="36"/>
  <c r="Z149" i="36"/>
  <c r="Z150" i="36"/>
  <c r="Z151" i="36"/>
  <c r="Z152" i="36"/>
  <c r="Z153" i="36"/>
  <c r="Z154" i="36"/>
  <c r="Z155" i="36"/>
  <c r="Z156" i="36"/>
  <c r="Z157" i="36"/>
  <c r="Z158" i="36"/>
  <c r="Z159" i="36"/>
  <c r="Z160" i="36"/>
  <c r="Z161" i="36"/>
  <c r="Z162" i="36"/>
  <c r="Z163" i="36"/>
  <c r="Z164" i="36"/>
  <c r="Z165" i="36"/>
  <c r="Z166" i="36"/>
  <c r="Z167" i="36"/>
  <c r="Z168" i="36"/>
  <c r="Z169" i="36"/>
  <c r="Z170" i="36"/>
  <c r="Z171" i="36"/>
  <c r="Z172" i="36"/>
  <c r="Z173" i="36"/>
  <c r="Z174" i="36"/>
  <c r="Z175" i="36"/>
  <c r="Z176" i="36"/>
  <c r="Z177" i="36"/>
  <c r="Z178" i="36"/>
  <c r="Z179" i="36"/>
  <c r="Z180" i="36"/>
  <c r="Z181" i="36"/>
  <c r="Z182" i="36"/>
  <c r="Z183" i="36"/>
  <c r="Z184" i="36"/>
  <c r="Z185" i="36"/>
  <c r="Z186" i="36"/>
  <c r="Z187" i="36"/>
  <c r="Z188" i="36"/>
  <c r="Z189" i="36"/>
  <c r="Z190" i="36"/>
  <c r="Z191" i="36"/>
  <c r="Z192" i="36"/>
  <c r="Z193" i="36"/>
  <c r="Z194" i="36"/>
  <c r="Z195" i="36"/>
  <c r="Z196" i="36"/>
  <c r="Z197" i="36"/>
  <c r="Z198" i="36"/>
  <c r="Z199" i="36"/>
  <c r="Z200" i="36"/>
  <c r="Z201" i="36"/>
  <c r="Z202" i="36"/>
  <c r="Z203" i="36"/>
  <c r="Z204" i="36"/>
  <c r="Z205" i="36"/>
  <c r="Z206" i="36"/>
  <c r="Z207" i="36"/>
  <c r="Z208" i="36"/>
  <c r="Z209" i="36"/>
  <c r="Z210" i="36"/>
  <c r="Z211" i="36"/>
  <c r="Z212" i="36"/>
  <c r="Z213" i="36"/>
  <c r="Z214" i="36"/>
  <c r="Z215" i="36"/>
  <c r="Z216" i="36"/>
  <c r="Z217" i="36"/>
  <c r="Z218" i="36"/>
  <c r="Z219" i="36"/>
  <c r="Z220" i="36"/>
  <c r="Z221" i="36"/>
  <c r="Z222" i="36"/>
  <c r="Z223" i="36"/>
  <c r="Z224" i="36"/>
  <c r="Z225" i="36"/>
  <c r="Z226" i="36"/>
  <c r="Z227" i="36"/>
  <c r="Z228" i="36"/>
  <c r="Z229" i="36"/>
  <c r="Z230" i="36"/>
  <c r="Z231" i="36"/>
  <c r="Z232" i="36"/>
  <c r="Z233" i="36"/>
  <c r="Z234" i="36"/>
  <c r="Z235" i="36"/>
  <c r="Z236" i="36"/>
  <c r="Z237" i="36"/>
  <c r="Z238" i="36"/>
  <c r="Z239" i="36"/>
  <c r="Z240" i="36"/>
  <c r="Z241" i="36"/>
  <c r="Z242" i="36"/>
  <c r="Z243" i="36"/>
  <c r="Z244" i="36"/>
  <c r="Z245" i="36"/>
  <c r="Z246" i="36"/>
  <c r="Z247" i="36"/>
  <c r="Z248" i="36"/>
  <c r="Z249" i="36"/>
  <c r="Z250" i="36"/>
  <c r="Z251" i="36"/>
  <c r="Z252" i="36"/>
  <c r="Z253" i="36"/>
  <c r="Z254" i="36"/>
  <c r="Z255" i="36"/>
  <c r="Z256" i="36"/>
  <c r="Z257" i="36"/>
  <c r="Z258" i="36"/>
  <c r="Z259" i="36"/>
  <c r="Z260" i="36"/>
  <c r="Z261" i="36"/>
  <c r="Z262" i="36"/>
  <c r="Z263" i="36"/>
  <c r="Z264" i="36"/>
  <c r="Z265" i="36"/>
  <c r="Z266" i="36"/>
  <c r="Z267" i="36"/>
  <c r="Z268" i="36"/>
  <c r="Z269" i="36"/>
  <c r="Z270" i="36"/>
  <c r="Z271" i="36"/>
  <c r="Z272" i="36"/>
  <c r="Z273" i="36"/>
  <c r="Z274" i="36"/>
  <c r="Z275" i="36"/>
  <c r="Z276" i="36"/>
  <c r="Z277" i="36"/>
  <c r="Z278" i="36"/>
  <c r="Z279" i="36"/>
  <c r="Z280" i="36"/>
  <c r="Z281" i="36"/>
  <c r="Z282" i="36"/>
  <c r="Z283" i="36"/>
  <c r="Z284" i="36"/>
  <c r="Z285" i="36"/>
  <c r="Z286" i="36"/>
  <c r="Z287" i="36"/>
  <c r="Z288" i="36"/>
  <c r="Z289" i="36"/>
  <c r="Z290" i="36"/>
  <c r="Z291" i="36"/>
  <c r="Z292" i="36"/>
  <c r="Z293" i="36"/>
  <c r="Z294" i="36"/>
  <c r="Z295" i="36"/>
  <c r="Z296" i="36"/>
  <c r="Z297" i="36"/>
  <c r="Z298" i="36"/>
  <c r="Z299" i="36"/>
  <c r="Z300" i="36"/>
  <c r="Z301" i="36"/>
  <c r="Z302" i="36"/>
  <c r="Z303" i="36"/>
  <c r="Z304" i="36"/>
  <c r="Z305" i="36"/>
  <c r="Z306" i="36"/>
  <c r="Z307" i="36"/>
  <c r="Z308" i="36"/>
  <c r="Z309" i="36"/>
  <c r="Z310" i="36"/>
  <c r="Z311" i="36"/>
  <c r="Z312" i="36"/>
  <c r="Z313" i="36"/>
  <c r="Z314" i="36"/>
  <c r="Z315" i="36"/>
  <c r="Z316" i="36"/>
  <c r="Z317" i="36"/>
  <c r="Z318" i="36"/>
  <c r="Z319" i="36"/>
  <c r="Z320" i="36"/>
  <c r="Z321" i="36"/>
  <c r="Z322" i="36"/>
  <c r="Z323" i="36"/>
  <c r="Z324" i="36"/>
  <c r="Z325" i="36"/>
  <c r="Z326" i="36"/>
  <c r="Z327" i="36"/>
  <c r="Z328" i="36"/>
  <c r="Z329" i="36"/>
  <c r="Z330" i="36"/>
  <c r="Z331" i="36"/>
  <c r="Z332" i="36"/>
  <c r="Z333" i="36"/>
  <c r="Z334" i="36"/>
  <c r="Z335" i="36"/>
  <c r="Z336" i="36"/>
  <c r="Z337" i="36"/>
  <c r="Z338" i="36"/>
  <c r="Z339" i="36"/>
  <c r="Z340" i="36"/>
  <c r="Z341" i="36"/>
  <c r="Z342" i="36"/>
  <c r="Z343" i="36"/>
  <c r="Z344" i="36"/>
  <c r="Z345" i="36"/>
  <c r="Z346" i="36"/>
  <c r="Z347" i="36"/>
  <c r="Z348" i="36"/>
  <c r="Z349" i="36"/>
  <c r="Z350" i="36"/>
  <c r="Z351" i="36"/>
  <c r="Z352" i="36"/>
  <c r="Z353" i="36"/>
  <c r="Z354" i="36"/>
  <c r="Z355" i="36"/>
  <c r="Z356" i="36"/>
  <c r="Z357" i="36"/>
  <c r="Z358" i="36"/>
  <c r="Z359" i="36"/>
  <c r="Z360" i="36"/>
  <c r="Z361" i="36"/>
  <c r="Z362" i="36"/>
  <c r="Z363" i="36"/>
  <c r="Z364" i="36"/>
  <c r="Z365" i="36"/>
  <c r="Z366" i="36"/>
  <c r="Z367" i="36"/>
  <c r="Z368" i="36"/>
  <c r="Z369" i="36"/>
  <c r="Z370" i="36"/>
  <c r="Z371" i="36"/>
  <c r="Z372" i="36"/>
  <c r="Z373" i="36"/>
  <c r="Z374" i="36"/>
  <c r="Z375" i="36"/>
  <c r="Z376" i="36"/>
  <c r="Z377" i="36"/>
  <c r="Z378" i="36"/>
  <c r="Z379" i="36"/>
  <c r="Z380" i="36"/>
  <c r="Z381" i="36"/>
  <c r="Z382" i="36"/>
  <c r="Z383" i="36"/>
  <c r="Z384" i="36"/>
  <c r="Z385" i="36"/>
  <c r="Z386" i="36"/>
  <c r="Z387" i="36"/>
  <c r="Z388" i="36"/>
  <c r="Z389" i="36"/>
  <c r="Z390" i="36"/>
  <c r="Z391" i="36"/>
  <c r="Z392" i="36"/>
  <c r="Z393" i="36"/>
  <c r="Z394" i="36"/>
  <c r="Z395" i="36"/>
  <c r="Z396" i="36"/>
  <c r="Z397" i="36"/>
  <c r="Z398" i="36"/>
  <c r="Z399" i="36"/>
  <c r="Z400" i="36"/>
  <c r="Z401" i="36"/>
  <c r="Z402" i="36"/>
  <c r="Z403" i="36"/>
  <c r="Z404" i="36"/>
  <c r="Z405" i="36"/>
  <c r="Z406" i="36"/>
  <c r="Z407" i="36"/>
  <c r="Z408" i="36"/>
  <c r="Z409" i="36"/>
  <c r="Z410" i="36"/>
  <c r="Z411" i="36"/>
  <c r="Z412" i="36"/>
  <c r="Z413" i="36"/>
  <c r="Z414" i="36"/>
  <c r="Z415" i="36"/>
  <c r="Z416" i="36"/>
  <c r="Z417" i="36"/>
  <c r="Z418" i="36"/>
  <c r="Z419" i="36"/>
  <c r="Z420" i="36"/>
  <c r="Z421" i="36"/>
  <c r="Z422" i="36"/>
  <c r="Z423" i="36"/>
  <c r="Z424" i="36"/>
  <c r="Z425" i="36"/>
  <c r="Z426" i="36"/>
  <c r="Z427" i="36"/>
  <c r="Z428" i="36"/>
  <c r="Z429" i="36"/>
  <c r="Z430" i="36"/>
  <c r="Z431" i="36"/>
  <c r="Z432" i="36"/>
  <c r="Z433" i="36"/>
  <c r="Z434" i="36"/>
  <c r="Z435" i="36"/>
  <c r="Z436" i="36"/>
  <c r="Z437" i="36"/>
  <c r="Z438" i="36"/>
  <c r="Z439" i="36"/>
  <c r="Z440" i="36"/>
  <c r="Z441" i="36"/>
  <c r="Z442" i="36"/>
  <c r="Z443" i="36"/>
  <c r="Z444" i="36"/>
  <c r="Z445" i="36"/>
  <c r="Z446" i="36"/>
  <c r="Z447" i="36"/>
  <c r="Z448" i="36"/>
  <c r="Z449" i="36"/>
  <c r="Z450" i="36"/>
  <c r="Z451" i="36"/>
  <c r="Z452" i="36"/>
  <c r="Z453" i="36"/>
  <c r="Z454" i="36"/>
  <c r="Z455" i="36"/>
  <c r="Z456" i="36"/>
  <c r="Z457" i="36"/>
  <c r="Z458" i="36"/>
  <c r="Z459" i="36"/>
  <c r="Z460" i="36"/>
  <c r="Z461" i="36"/>
  <c r="Z462" i="36"/>
  <c r="Z463" i="36"/>
  <c r="Z464" i="36"/>
  <c r="Z465" i="36"/>
  <c r="Z466" i="36"/>
  <c r="Z467" i="36"/>
  <c r="Z468" i="36"/>
  <c r="Z469" i="36"/>
  <c r="Z470" i="36"/>
  <c r="Z471" i="36"/>
  <c r="Z472" i="36"/>
  <c r="Z473" i="36"/>
  <c r="Z474" i="36"/>
  <c r="Z475" i="36"/>
  <c r="Z476" i="36"/>
  <c r="Z477" i="36"/>
  <c r="Z478" i="36"/>
  <c r="Z479" i="36"/>
  <c r="Z480" i="36"/>
  <c r="Z481" i="36"/>
  <c r="Z482" i="36"/>
  <c r="Z483" i="36"/>
  <c r="Z484" i="36"/>
  <c r="Z485" i="36"/>
  <c r="Z486" i="36"/>
  <c r="Z487" i="36"/>
  <c r="Z488" i="36"/>
  <c r="Z489" i="36"/>
  <c r="Z490" i="36"/>
  <c r="Z491" i="36"/>
  <c r="Z492" i="36"/>
  <c r="Z493" i="36"/>
  <c r="Z494" i="36"/>
  <c r="Z495" i="36"/>
  <c r="Z496" i="36"/>
  <c r="Z497" i="36"/>
  <c r="Z498" i="36"/>
  <c r="Z499" i="36"/>
  <c r="Z500" i="36"/>
  <c r="Z501" i="36"/>
  <c r="Z502" i="36"/>
  <c r="Z503" i="36"/>
  <c r="Z504" i="36"/>
  <c r="Z505" i="36"/>
  <c r="Z506" i="36"/>
  <c r="Z507" i="36"/>
  <c r="Z508" i="36"/>
  <c r="Z509" i="36"/>
  <c r="Z510" i="36"/>
  <c r="Z511" i="36"/>
  <c r="Z512" i="36"/>
  <c r="Z513" i="36"/>
  <c r="Z514" i="36"/>
  <c r="Z515" i="36"/>
  <c r="Z516" i="36"/>
  <c r="Z517" i="36"/>
  <c r="Z518" i="36"/>
  <c r="Z519" i="36"/>
  <c r="Z520" i="36"/>
  <c r="Z521" i="36"/>
  <c r="AA2" i="36"/>
  <c r="AA3" i="36"/>
  <c r="AA4" i="36"/>
  <c r="AA5" i="36"/>
  <c r="AA6" i="36"/>
  <c r="AA7" i="36"/>
  <c r="AA8" i="36"/>
  <c r="AA9" i="36"/>
  <c r="AA10" i="36"/>
  <c r="AA11" i="36"/>
  <c r="AA12" i="36"/>
  <c r="AA13" i="36"/>
  <c r="AA14" i="36"/>
  <c r="AA15" i="36"/>
  <c r="AA16" i="36"/>
  <c r="AA17" i="36"/>
  <c r="AA18" i="36"/>
  <c r="AA19" i="36"/>
  <c r="AA20" i="36"/>
  <c r="AA21" i="36"/>
  <c r="AA22" i="36"/>
  <c r="AA23" i="36"/>
  <c r="AA24" i="36"/>
  <c r="AA25" i="36"/>
  <c r="AA26" i="36"/>
  <c r="AA27" i="36"/>
  <c r="AA28" i="36"/>
  <c r="AA29" i="36"/>
  <c r="AA30" i="36"/>
  <c r="AA31" i="36"/>
  <c r="AA32" i="36"/>
  <c r="AA33" i="36"/>
  <c r="AA34" i="36"/>
  <c r="AA35" i="36"/>
  <c r="AA36" i="36"/>
  <c r="AA37" i="36"/>
  <c r="AA38" i="36"/>
  <c r="AA39" i="36"/>
  <c r="AA40" i="36"/>
  <c r="AA41" i="36"/>
  <c r="AA42" i="36"/>
  <c r="AA43" i="36"/>
  <c r="AA44" i="36"/>
  <c r="AA45" i="36"/>
  <c r="AA46" i="36"/>
  <c r="AA47" i="36"/>
  <c r="AA48" i="36"/>
  <c r="AA49" i="36"/>
  <c r="AA50" i="36"/>
  <c r="AA51" i="36"/>
  <c r="AA52" i="36"/>
  <c r="AA53" i="36"/>
  <c r="AA54" i="36"/>
  <c r="AA55" i="36"/>
  <c r="AA56" i="36"/>
  <c r="AA57" i="36"/>
  <c r="AA58" i="36"/>
  <c r="AA59" i="36"/>
  <c r="AA60" i="36"/>
  <c r="AA61" i="36"/>
  <c r="AA62" i="36"/>
  <c r="AA63" i="36"/>
  <c r="AA64" i="36"/>
  <c r="AA65" i="36"/>
  <c r="AA66" i="36"/>
  <c r="AA67" i="36"/>
  <c r="AA68" i="36"/>
  <c r="AA69" i="36"/>
  <c r="AA70" i="36"/>
  <c r="AA71" i="36"/>
  <c r="AA72" i="36"/>
  <c r="AA73" i="36"/>
  <c r="AA74" i="36"/>
  <c r="AA75" i="36"/>
  <c r="AA76" i="36"/>
  <c r="AA77" i="36"/>
  <c r="AA78" i="36"/>
  <c r="AA79" i="36"/>
  <c r="AA80" i="36"/>
  <c r="AA81" i="36"/>
  <c r="AA82" i="36"/>
  <c r="AA83" i="36"/>
  <c r="AA84" i="36"/>
  <c r="AA85" i="36"/>
  <c r="AA86" i="36"/>
  <c r="AA87" i="36"/>
  <c r="AA88" i="36"/>
  <c r="AA89" i="36"/>
  <c r="AA90" i="36"/>
  <c r="AA91" i="36"/>
  <c r="AA92" i="36"/>
  <c r="AA93" i="36"/>
  <c r="AA94" i="36"/>
  <c r="AA95" i="36"/>
  <c r="AA96" i="36"/>
  <c r="AA97" i="36"/>
  <c r="AA98" i="36"/>
  <c r="AA99" i="36"/>
  <c r="AA100" i="36"/>
  <c r="AA101" i="36"/>
  <c r="AA102" i="36"/>
  <c r="AA103" i="36"/>
  <c r="AA104" i="36"/>
  <c r="AA105" i="36"/>
  <c r="AA106" i="36"/>
  <c r="AA107" i="36"/>
  <c r="AA108" i="36"/>
  <c r="AA109" i="36"/>
  <c r="AA110" i="36"/>
  <c r="AA111" i="36"/>
  <c r="AA112" i="36"/>
  <c r="AA113" i="36"/>
  <c r="AA114" i="36"/>
  <c r="AA115" i="36"/>
  <c r="AA116" i="36"/>
  <c r="AA117" i="36"/>
  <c r="AA118" i="36"/>
  <c r="AA119" i="36"/>
  <c r="AA120" i="36"/>
  <c r="AA121" i="36"/>
  <c r="AA122" i="36"/>
  <c r="AA123" i="36"/>
  <c r="AA124" i="36"/>
  <c r="AA125" i="36"/>
  <c r="AA126" i="36"/>
  <c r="AA127" i="36"/>
  <c r="AA128" i="36"/>
  <c r="AA129" i="36"/>
  <c r="AA130" i="36"/>
  <c r="AA131" i="36"/>
  <c r="AA132" i="36"/>
  <c r="AA133" i="36"/>
  <c r="AA134" i="36"/>
  <c r="AA135" i="36"/>
  <c r="AA136" i="36"/>
  <c r="AA137" i="36"/>
  <c r="AA138" i="36"/>
  <c r="AA139" i="36"/>
  <c r="AA140" i="36"/>
  <c r="AA141" i="36"/>
  <c r="AA142" i="36"/>
  <c r="AA143" i="36"/>
  <c r="AA144" i="36"/>
  <c r="AA145" i="36"/>
  <c r="AA146" i="36"/>
  <c r="AA147" i="36"/>
  <c r="AA148" i="36"/>
  <c r="AA149" i="36"/>
  <c r="AA150" i="36"/>
  <c r="AA151" i="36"/>
  <c r="AA152" i="36"/>
  <c r="AA153" i="36"/>
  <c r="AA154" i="36"/>
  <c r="AA155" i="36"/>
  <c r="AA156" i="36"/>
  <c r="AA157" i="36"/>
  <c r="AA158" i="36"/>
  <c r="AA159" i="36"/>
  <c r="AA160" i="36"/>
  <c r="AA161" i="36"/>
  <c r="AA162" i="36"/>
  <c r="AA163" i="36"/>
  <c r="AA164" i="36"/>
  <c r="AA165" i="36"/>
  <c r="AA166" i="36"/>
  <c r="AA167" i="36"/>
  <c r="AA168" i="36"/>
  <c r="AA169" i="36"/>
  <c r="AA170" i="36"/>
  <c r="AA171" i="36"/>
  <c r="AA172" i="36"/>
  <c r="AA173" i="36"/>
  <c r="AA174" i="36"/>
  <c r="AA175" i="36"/>
  <c r="AA176" i="36"/>
  <c r="AA177" i="36"/>
  <c r="AA178" i="36"/>
  <c r="AA179" i="36"/>
  <c r="AA180" i="36"/>
  <c r="AA181" i="36"/>
  <c r="AA182" i="36"/>
  <c r="AA183" i="36"/>
  <c r="AA184" i="36"/>
  <c r="AA185" i="36"/>
  <c r="AA186" i="36"/>
  <c r="AA187" i="36"/>
  <c r="AA188" i="36"/>
  <c r="AA189" i="36"/>
  <c r="AA190" i="36"/>
  <c r="AA191" i="36"/>
  <c r="AA192" i="36"/>
  <c r="AA193" i="36"/>
  <c r="AA194" i="36"/>
  <c r="AA195" i="36"/>
  <c r="AA196" i="36"/>
  <c r="AA197" i="36"/>
  <c r="AA198" i="36"/>
  <c r="AA199" i="36"/>
  <c r="AA200" i="36"/>
  <c r="AA201" i="36"/>
  <c r="AA202" i="36"/>
  <c r="AA203" i="36"/>
  <c r="AA204" i="36"/>
  <c r="AA205" i="36"/>
  <c r="AA206" i="36"/>
  <c r="AA207" i="36"/>
  <c r="AA208" i="36"/>
  <c r="AA209" i="36"/>
  <c r="AA210" i="36"/>
  <c r="AA211" i="36"/>
  <c r="AA212" i="36"/>
  <c r="AA213" i="36"/>
  <c r="AA214" i="36"/>
  <c r="AA215" i="36"/>
  <c r="AA216" i="36"/>
  <c r="AA217" i="36"/>
  <c r="AA218" i="36"/>
  <c r="AA219" i="36"/>
  <c r="AA220" i="36"/>
  <c r="AA221" i="36"/>
  <c r="AA222" i="36"/>
  <c r="AA223" i="36"/>
  <c r="AA224" i="36"/>
  <c r="AA225" i="36"/>
  <c r="AA226" i="36"/>
  <c r="AA227" i="36"/>
  <c r="AA228" i="36"/>
  <c r="AA229" i="36"/>
  <c r="AA230" i="36"/>
  <c r="AA231" i="36"/>
  <c r="AA232" i="36"/>
  <c r="AA233" i="36"/>
  <c r="AA234" i="36"/>
  <c r="AA235" i="36"/>
  <c r="AA236" i="36"/>
  <c r="AA237" i="36"/>
  <c r="AA238" i="36"/>
  <c r="AA239" i="36"/>
  <c r="AA240" i="36"/>
  <c r="AA241" i="36"/>
  <c r="AA242" i="36"/>
  <c r="AA243" i="36"/>
  <c r="AA244" i="36"/>
  <c r="AA245" i="36"/>
  <c r="AA246" i="36"/>
  <c r="AA247" i="36"/>
  <c r="AA248" i="36"/>
  <c r="AA249" i="36"/>
  <c r="AA250" i="36"/>
  <c r="AA251" i="36"/>
  <c r="AA252" i="36"/>
  <c r="AA253" i="36"/>
  <c r="AA254" i="36"/>
  <c r="AA255" i="36"/>
  <c r="AA256" i="36"/>
  <c r="AA257" i="36"/>
  <c r="AA258" i="36"/>
  <c r="AA259" i="36"/>
  <c r="AA260" i="36"/>
  <c r="AA261" i="36"/>
  <c r="AA262" i="36"/>
  <c r="AA263" i="36"/>
  <c r="AA264" i="36"/>
  <c r="AA265" i="36"/>
  <c r="AA266" i="36"/>
  <c r="AA267" i="36"/>
  <c r="AA268" i="36"/>
  <c r="AA269" i="36"/>
  <c r="AA270" i="36"/>
  <c r="AA271" i="36"/>
  <c r="AA272" i="36"/>
  <c r="AA273" i="36"/>
  <c r="AA274" i="36"/>
  <c r="AA275" i="36"/>
  <c r="AA276" i="36"/>
  <c r="AA277" i="36"/>
  <c r="AA278" i="36"/>
  <c r="AA279" i="36"/>
  <c r="AA280" i="36"/>
  <c r="AA281" i="36"/>
  <c r="AA282" i="36"/>
  <c r="AA283" i="36"/>
  <c r="AA284" i="36"/>
  <c r="AA285" i="36"/>
  <c r="AA286" i="36"/>
  <c r="AA287" i="36"/>
  <c r="AA288" i="36"/>
  <c r="AA289" i="36"/>
  <c r="AA290" i="36"/>
  <c r="AA291" i="36"/>
  <c r="AA292" i="36"/>
  <c r="AA293" i="36"/>
  <c r="AA294" i="36"/>
  <c r="AA295" i="36"/>
  <c r="AA296" i="36"/>
  <c r="AA297" i="36"/>
  <c r="AA298" i="36"/>
  <c r="AA299" i="36"/>
  <c r="AA300" i="36"/>
  <c r="AA301" i="36"/>
  <c r="AA302" i="36"/>
  <c r="AA303" i="36"/>
  <c r="AA304" i="36"/>
  <c r="AA305" i="36"/>
  <c r="AA306" i="36"/>
  <c r="AA307" i="36"/>
  <c r="AA308" i="36"/>
  <c r="AA309" i="36"/>
  <c r="AA310" i="36"/>
  <c r="AA311" i="36"/>
  <c r="AA312" i="36"/>
  <c r="AA313" i="36"/>
  <c r="AA314" i="36"/>
  <c r="AA315" i="36"/>
  <c r="AA316" i="36"/>
  <c r="AA317" i="36"/>
  <c r="AA318" i="36"/>
  <c r="AA319" i="36"/>
  <c r="AA320" i="36"/>
  <c r="AA321" i="36"/>
  <c r="AA322" i="36"/>
  <c r="AA323" i="36"/>
  <c r="AA324" i="36"/>
  <c r="AA325" i="36"/>
  <c r="AA326" i="36"/>
  <c r="AA327" i="36"/>
  <c r="AA328" i="36"/>
  <c r="AA329" i="36"/>
  <c r="AA330" i="36"/>
  <c r="AA331" i="36"/>
  <c r="AA332" i="36"/>
  <c r="AA333" i="36"/>
  <c r="AA334" i="36"/>
  <c r="AA335" i="36"/>
  <c r="AA336" i="36"/>
  <c r="AA337" i="36"/>
  <c r="AA338" i="36"/>
  <c r="AA339" i="36"/>
  <c r="AA340" i="36"/>
  <c r="AA341" i="36"/>
  <c r="AA342" i="36"/>
  <c r="AA343" i="36"/>
  <c r="AA344" i="36"/>
  <c r="AA345" i="36"/>
  <c r="AA346" i="36"/>
  <c r="AA347" i="36"/>
  <c r="AA348" i="36"/>
  <c r="AA349" i="36"/>
  <c r="AA350" i="36"/>
  <c r="AA351" i="36"/>
  <c r="AA352" i="36"/>
  <c r="AA353" i="36"/>
  <c r="AA354" i="36"/>
  <c r="AA355" i="36"/>
  <c r="AA356" i="36"/>
  <c r="AA357" i="36"/>
  <c r="AA358" i="36"/>
  <c r="AA359" i="36"/>
  <c r="AA360" i="36"/>
  <c r="AA361" i="36"/>
  <c r="AA362" i="36"/>
  <c r="AA363" i="36"/>
  <c r="AA364" i="36"/>
  <c r="AA365" i="36"/>
  <c r="AA366" i="36"/>
  <c r="AA367" i="36"/>
  <c r="AA368" i="36"/>
  <c r="AA369" i="36"/>
  <c r="AA370" i="36"/>
  <c r="AA371" i="36"/>
  <c r="AA372" i="36"/>
  <c r="AA373" i="36"/>
  <c r="AA374" i="36"/>
  <c r="AA375" i="36"/>
  <c r="AA376" i="36"/>
  <c r="AA377" i="36"/>
  <c r="AA378" i="36"/>
  <c r="AA379" i="36"/>
  <c r="AA380" i="36"/>
  <c r="AA381" i="36"/>
  <c r="AA382" i="36"/>
  <c r="AA383" i="36"/>
  <c r="AA384" i="36"/>
  <c r="AA385" i="36"/>
  <c r="AA386" i="36"/>
  <c r="AA387" i="36"/>
  <c r="AA388" i="36"/>
  <c r="AA389" i="36"/>
  <c r="AA390" i="36"/>
  <c r="AA391" i="36"/>
  <c r="AA392" i="36"/>
  <c r="AA393" i="36"/>
  <c r="AA394" i="36"/>
  <c r="AA395" i="36"/>
  <c r="AA396" i="36"/>
  <c r="AA397" i="36"/>
  <c r="AA398" i="36"/>
  <c r="AA399" i="36"/>
  <c r="AA400" i="36"/>
  <c r="AA401" i="36"/>
  <c r="AA402" i="36"/>
  <c r="AA403" i="36"/>
  <c r="AA404" i="36"/>
  <c r="AA405" i="36"/>
  <c r="AA406" i="36"/>
  <c r="AA407" i="36"/>
  <c r="AA408" i="36"/>
  <c r="AA409" i="36"/>
  <c r="AA410" i="36"/>
  <c r="AA411" i="36"/>
  <c r="AA412" i="36"/>
  <c r="AA413" i="36"/>
  <c r="AA414" i="36"/>
  <c r="AA415" i="36"/>
  <c r="AA416" i="36"/>
  <c r="AA417" i="36"/>
  <c r="AA418" i="36"/>
  <c r="AA419" i="36"/>
  <c r="AA420" i="36"/>
  <c r="AA421" i="36"/>
  <c r="AA422" i="36"/>
  <c r="AA423" i="36"/>
  <c r="AA424" i="36"/>
  <c r="AA425" i="36"/>
  <c r="AA426" i="36"/>
  <c r="AA427" i="36"/>
  <c r="AA428" i="36"/>
  <c r="AA429" i="36"/>
  <c r="AA430" i="36"/>
  <c r="AA431" i="36"/>
  <c r="AA432" i="36"/>
  <c r="AA433" i="36"/>
  <c r="AA434" i="36"/>
  <c r="AA435" i="36"/>
  <c r="AA436" i="36"/>
  <c r="AA437" i="36"/>
  <c r="AA438" i="36"/>
  <c r="AA439" i="36"/>
  <c r="AA440" i="36"/>
  <c r="AA441" i="36"/>
  <c r="AA442" i="36"/>
  <c r="AA443" i="36"/>
  <c r="AA444" i="36"/>
  <c r="AA445" i="36"/>
  <c r="AA446" i="36"/>
  <c r="AA447" i="36"/>
  <c r="AA448" i="36"/>
  <c r="AA449" i="36"/>
  <c r="AA450" i="36"/>
  <c r="AA451" i="36"/>
  <c r="AA452" i="36"/>
  <c r="AA453" i="36"/>
  <c r="AA454" i="36"/>
  <c r="AA455" i="36"/>
  <c r="AA456" i="36"/>
  <c r="AA457" i="36"/>
  <c r="AA458" i="36"/>
  <c r="AA459" i="36"/>
  <c r="AA460" i="36"/>
  <c r="AA461" i="36"/>
  <c r="AA462" i="36"/>
  <c r="AA463" i="36"/>
  <c r="AA464" i="36"/>
  <c r="AA465" i="36"/>
  <c r="AA466" i="36"/>
  <c r="AA467" i="36"/>
  <c r="AA468" i="36"/>
  <c r="AA469" i="36"/>
  <c r="AA470" i="36"/>
  <c r="AA471" i="36"/>
  <c r="AA472" i="36"/>
  <c r="AA473" i="36"/>
  <c r="AA474" i="36"/>
  <c r="AA475" i="36"/>
  <c r="AA476" i="36"/>
  <c r="AA477" i="36"/>
  <c r="AA478" i="36"/>
  <c r="AA479" i="36"/>
  <c r="AA480" i="36"/>
  <c r="AA481" i="36"/>
  <c r="AA482" i="36"/>
  <c r="AA483" i="36"/>
  <c r="AA484" i="36"/>
  <c r="AA485" i="36"/>
  <c r="AA486" i="36"/>
  <c r="AA487" i="36"/>
  <c r="AA488" i="36"/>
  <c r="AA489" i="36"/>
  <c r="AA490" i="36"/>
  <c r="AA491" i="36"/>
  <c r="AA492" i="36"/>
  <c r="AA493" i="36"/>
  <c r="AA494" i="36"/>
  <c r="AA495" i="36"/>
  <c r="AA496" i="36"/>
  <c r="AA497" i="36"/>
  <c r="AA498" i="36"/>
  <c r="AA499" i="36"/>
  <c r="AA500" i="36"/>
  <c r="AA501" i="36"/>
  <c r="AA502" i="36"/>
  <c r="AA503" i="36"/>
  <c r="AA504" i="36"/>
  <c r="AA505" i="36"/>
  <c r="AA506" i="36"/>
  <c r="AA507" i="36"/>
  <c r="AA508" i="36"/>
  <c r="AA509" i="36"/>
  <c r="AA510" i="36"/>
  <c r="AA511" i="36"/>
  <c r="AA512" i="36"/>
  <c r="AA513" i="36"/>
  <c r="AA514" i="36"/>
  <c r="AA515" i="36"/>
  <c r="AA516" i="36"/>
  <c r="AA517" i="36"/>
  <c r="AA518" i="36"/>
  <c r="AA519" i="36"/>
  <c r="AA520" i="36"/>
  <c r="AA521" i="36"/>
  <c r="AB2" i="36"/>
  <c r="AB3" i="36"/>
  <c r="AB4" i="36"/>
  <c r="AB5" i="36"/>
  <c r="AB6" i="36"/>
  <c r="AB7" i="36"/>
  <c r="AB8" i="36"/>
  <c r="AB9" i="36"/>
  <c r="AB10" i="36"/>
  <c r="AB11" i="36"/>
  <c r="AB12" i="36"/>
  <c r="AB13" i="36"/>
  <c r="AB14" i="36"/>
  <c r="AB15" i="36"/>
  <c r="AB16" i="36"/>
  <c r="AB17" i="36"/>
  <c r="AB18" i="36"/>
  <c r="AB19" i="36"/>
  <c r="AB20" i="36"/>
  <c r="AB21" i="36"/>
  <c r="AB22" i="36"/>
  <c r="AB23" i="36"/>
  <c r="AB24" i="36"/>
  <c r="AB25" i="36"/>
  <c r="AB26" i="36"/>
  <c r="AB27" i="36"/>
  <c r="AB28" i="36"/>
  <c r="AB29" i="36"/>
  <c r="AB30" i="36"/>
  <c r="AB31" i="36"/>
  <c r="AB32" i="36"/>
  <c r="AB33" i="36"/>
  <c r="AB34" i="36"/>
  <c r="AB35" i="36"/>
  <c r="AB36" i="36"/>
  <c r="AB37" i="36"/>
  <c r="AB38" i="36"/>
  <c r="AB39" i="36"/>
  <c r="AB40" i="36"/>
  <c r="AB41" i="36"/>
  <c r="AB42" i="36"/>
  <c r="AB43" i="36"/>
  <c r="AB44" i="36"/>
  <c r="AB45" i="36"/>
  <c r="AB46" i="36"/>
  <c r="AB47" i="36"/>
  <c r="AB48" i="36"/>
  <c r="AB49" i="36"/>
  <c r="AB50" i="36"/>
  <c r="AB51" i="36"/>
  <c r="AB52" i="36"/>
  <c r="AB53" i="36"/>
  <c r="AB54" i="36"/>
  <c r="AB55" i="36"/>
  <c r="AB56" i="36"/>
  <c r="AB57" i="36"/>
  <c r="AB58" i="36"/>
  <c r="AB59" i="36"/>
  <c r="AB60" i="36"/>
  <c r="AB61" i="36"/>
  <c r="AB62" i="36"/>
  <c r="AB63" i="36"/>
  <c r="AB64" i="36"/>
  <c r="AB65" i="36"/>
  <c r="AB66" i="36"/>
  <c r="AB67" i="36"/>
  <c r="AB68" i="36"/>
  <c r="AB69" i="36"/>
  <c r="AB70" i="36"/>
  <c r="AB71" i="36"/>
  <c r="AB72" i="36"/>
  <c r="AB73" i="36"/>
  <c r="AB74" i="36"/>
  <c r="AB75" i="36"/>
  <c r="AB76" i="36"/>
  <c r="AB77" i="36"/>
  <c r="AB78" i="36"/>
  <c r="AB79" i="36"/>
  <c r="AB80" i="36"/>
  <c r="AB81" i="36"/>
  <c r="AB82" i="36"/>
  <c r="AB83" i="36"/>
  <c r="AB84" i="36"/>
  <c r="AB85" i="36"/>
  <c r="AB86" i="36"/>
  <c r="AB87" i="36"/>
  <c r="AB88" i="36"/>
  <c r="AB89" i="36"/>
  <c r="AB90" i="36"/>
  <c r="AB91" i="36"/>
  <c r="AB92" i="36"/>
  <c r="AB93" i="36"/>
  <c r="AB94" i="36"/>
  <c r="AB95" i="36"/>
  <c r="AB96" i="36"/>
  <c r="AB97" i="36"/>
  <c r="AB98" i="36"/>
  <c r="AB99" i="36"/>
  <c r="AB100" i="36"/>
  <c r="AB101" i="36"/>
  <c r="AB102" i="36"/>
  <c r="AB103" i="36"/>
  <c r="AB104" i="36"/>
  <c r="AB105" i="36"/>
  <c r="AB106" i="36"/>
  <c r="AB107" i="36"/>
  <c r="AB108" i="36"/>
  <c r="AB109" i="36"/>
  <c r="AB110" i="36"/>
  <c r="AB111" i="36"/>
  <c r="AB112" i="36"/>
  <c r="AB113" i="36"/>
  <c r="AB114" i="36"/>
  <c r="AB115" i="36"/>
  <c r="AB116" i="36"/>
  <c r="AB117" i="36"/>
  <c r="AB118" i="36"/>
  <c r="AB119" i="36"/>
  <c r="AB120" i="36"/>
  <c r="AB121" i="36"/>
  <c r="AB122" i="36"/>
  <c r="AB123" i="36"/>
  <c r="AB124" i="36"/>
  <c r="AB125" i="36"/>
  <c r="AB126" i="36"/>
  <c r="AB127" i="36"/>
  <c r="AB128" i="36"/>
  <c r="AB129" i="36"/>
  <c r="AB130" i="36"/>
  <c r="AB131" i="36"/>
  <c r="AB132" i="36"/>
  <c r="AB133" i="36"/>
  <c r="AB134" i="36"/>
  <c r="AB135" i="36"/>
  <c r="AB136" i="36"/>
  <c r="AB137" i="36"/>
  <c r="AB138" i="36"/>
  <c r="AB139" i="36"/>
  <c r="AB140" i="36"/>
  <c r="AB141" i="36"/>
  <c r="AB142" i="36"/>
  <c r="AB143" i="36"/>
  <c r="AB144" i="36"/>
  <c r="AB145" i="36"/>
  <c r="AB146" i="36"/>
  <c r="AB147" i="36"/>
  <c r="AB148" i="36"/>
  <c r="AB149" i="36"/>
  <c r="AB150" i="36"/>
  <c r="AB151" i="36"/>
  <c r="AB152" i="36"/>
  <c r="AB153" i="36"/>
  <c r="AB154" i="36"/>
  <c r="AB155" i="36"/>
  <c r="AB156" i="36"/>
  <c r="AB157" i="36"/>
  <c r="AB158" i="36"/>
  <c r="AB159" i="36"/>
  <c r="AB160" i="36"/>
  <c r="AB161" i="36"/>
  <c r="AB162" i="36"/>
  <c r="AB163" i="36"/>
  <c r="AB164" i="36"/>
  <c r="AB165" i="36"/>
  <c r="AB166" i="36"/>
  <c r="AB167" i="36"/>
  <c r="AB168" i="36"/>
  <c r="AB169" i="36"/>
  <c r="AB170" i="36"/>
  <c r="AB171" i="36"/>
  <c r="AB172" i="36"/>
  <c r="AB173" i="36"/>
  <c r="AB174" i="36"/>
  <c r="AB175" i="36"/>
  <c r="AB176" i="36"/>
  <c r="AB177" i="36"/>
  <c r="AB178" i="36"/>
  <c r="AB179" i="36"/>
  <c r="AB180" i="36"/>
  <c r="AB181" i="36"/>
  <c r="AB182" i="36"/>
  <c r="AB183" i="36"/>
  <c r="AB184" i="36"/>
  <c r="AB185" i="36"/>
  <c r="AB186" i="36"/>
  <c r="AB187" i="36"/>
  <c r="AB188" i="36"/>
  <c r="AB189" i="36"/>
  <c r="AB190" i="36"/>
  <c r="AB191" i="36"/>
  <c r="AB192" i="36"/>
  <c r="AB193" i="36"/>
  <c r="AB194" i="36"/>
  <c r="AB195" i="36"/>
  <c r="AB196" i="36"/>
  <c r="AB197" i="36"/>
  <c r="AB198" i="36"/>
  <c r="AB199" i="36"/>
  <c r="AB200" i="36"/>
  <c r="AB201" i="36"/>
  <c r="AB202" i="36"/>
  <c r="AB203" i="36"/>
  <c r="AB204" i="36"/>
  <c r="AB205" i="36"/>
  <c r="AB206" i="36"/>
  <c r="AB207" i="36"/>
  <c r="AB208" i="36"/>
  <c r="AB209" i="36"/>
  <c r="AB210" i="36"/>
  <c r="AB211" i="36"/>
  <c r="AB212" i="36"/>
  <c r="AB213" i="36"/>
  <c r="AB214" i="36"/>
  <c r="AB215" i="36"/>
  <c r="AB216" i="36"/>
  <c r="AB217" i="36"/>
  <c r="AB218" i="36"/>
  <c r="AB219" i="36"/>
  <c r="AB220" i="36"/>
  <c r="AB221" i="36"/>
  <c r="AB222" i="36"/>
  <c r="AB223" i="36"/>
  <c r="AB224" i="36"/>
  <c r="AB225" i="36"/>
  <c r="AB226" i="36"/>
  <c r="AB227" i="36"/>
  <c r="AB228" i="36"/>
  <c r="AB229" i="36"/>
  <c r="AB230" i="36"/>
  <c r="AB231" i="36"/>
  <c r="AB232" i="36"/>
  <c r="AB233" i="36"/>
  <c r="AB234" i="36"/>
  <c r="AB235" i="36"/>
  <c r="AB236" i="36"/>
  <c r="AB237" i="36"/>
  <c r="AB238" i="36"/>
  <c r="AB239" i="36"/>
  <c r="AB240" i="36"/>
  <c r="AB241" i="36"/>
  <c r="AB242" i="36"/>
  <c r="AB243" i="36"/>
  <c r="AB244" i="36"/>
  <c r="AB245" i="36"/>
  <c r="AB246" i="36"/>
  <c r="AB247" i="36"/>
  <c r="AB248" i="36"/>
  <c r="AB249" i="36"/>
  <c r="AB250" i="36"/>
  <c r="AB251" i="36"/>
  <c r="AB252" i="36"/>
  <c r="AB253" i="36"/>
  <c r="AB254" i="36"/>
  <c r="AB255" i="36"/>
  <c r="AB256" i="36"/>
  <c r="AB257" i="36"/>
  <c r="AB258" i="36"/>
  <c r="AB259" i="36"/>
  <c r="AB260" i="36"/>
  <c r="AB261" i="36"/>
  <c r="AB262" i="36"/>
  <c r="AB263" i="36"/>
  <c r="AB264" i="36"/>
  <c r="AB265" i="36"/>
  <c r="AB266" i="36"/>
  <c r="AB267" i="36"/>
  <c r="AB268" i="36"/>
  <c r="AB269" i="36"/>
  <c r="AB270" i="36"/>
  <c r="AB271" i="36"/>
  <c r="AB272" i="36"/>
  <c r="AB273" i="36"/>
  <c r="AB274" i="36"/>
  <c r="AB275" i="36"/>
  <c r="AB276" i="36"/>
  <c r="AB277" i="36"/>
  <c r="AB278" i="36"/>
  <c r="AB279" i="36"/>
  <c r="AB280" i="36"/>
  <c r="AB281" i="36"/>
  <c r="AB282" i="36"/>
  <c r="AB283" i="36"/>
  <c r="AB284" i="36"/>
  <c r="AB285" i="36"/>
  <c r="AB286" i="36"/>
  <c r="AB287" i="36"/>
  <c r="AB288" i="36"/>
  <c r="AB289" i="36"/>
  <c r="AB290" i="36"/>
  <c r="AB291" i="36"/>
  <c r="AB292" i="36"/>
  <c r="AB293" i="36"/>
  <c r="AB294" i="36"/>
  <c r="AB295" i="36"/>
  <c r="AB296" i="36"/>
  <c r="AB297" i="36"/>
  <c r="AB298" i="36"/>
  <c r="AB299" i="36"/>
  <c r="AB300" i="36"/>
  <c r="AB301" i="36"/>
  <c r="AB302" i="36"/>
  <c r="AB303" i="36"/>
  <c r="AB304" i="36"/>
  <c r="AB305" i="36"/>
  <c r="AB306" i="36"/>
  <c r="AB307" i="36"/>
  <c r="AB308" i="36"/>
  <c r="AB309" i="36"/>
  <c r="AB310" i="36"/>
  <c r="AB311" i="36"/>
  <c r="AB312" i="36"/>
  <c r="AB313" i="36"/>
  <c r="AB314" i="36"/>
  <c r="AB315" i="36"/>
  <c r="AB316" i="36"/>
  <c r="AB317" i="36"/>
  <c r="AB318" i="36"/>
  <c r="AB319" i="36"/>
  <c r="AB320" i="36"/>
  <c r="AB321" i="36"/>
  <c r="AB322" i="36"/>
  <c r="AB323" i="36"/>
  <c r="AB324" i="36"/>
  <c r="AB325" i="36"/>
  <c r="AB326" i="36"/>
  <c r="AB327" i="36"/>
  <c r="AB328" i="36"/>
  <c r="AB329" i="36"/>
  <c r="AB330" i="36"/>
  <c r="AB331" i="36"/>
  <c r="AB332" i="36"/>
  <c r="AB333" i="36"/>
  <c r="AB334" i="36"/>
  <c r="AB335" i="36"/>
  <c r="AB336" i="36"/>
  <c r="AB337" i="36"/>
  <c r="AB338" i="36"/>
  <c r="AB339" i="36"/>
  <c r="AB340" i="36"/>
  <c r="AB341" i="36"/>
  <c r="AB342" i="36"/>
  <c r="AB343" i="36"/>
  <c r="AB344" i="36"/>
  <c r="AB345" i="36"/>
  <c r="AB346" i="36"/>
  <c r="AB347" i="36"/>
  <c r="AB348" i="36"/>
  <c r="AB349" i="36"/>
  <c r="AB350" i="36"/>
  <c r="AB351" i="36"/>
  <c r="AB352" i="36"/>
  <c r="AB353" i="36"/>
  <c r="AB354" i="36"/>
  <c r="AB355" i="36"/>
  <c r="AB356" i="36"/>
  <c r="AB357" i="36"/>
  <c r="AB358" i="36"/>
  <c r="AB359" i="36"/>
  <c r="AB360" i="36"/>
  <c r="AB361" i="36"/>
  <c r="AB362" i="36"/>
  <c r="AB363" i="36"/>
  <c r="AB364" i="36"/>
  <c r="AB365" i="36"/>
  <c r="AB366" i="36"/>
  <c r="AB367" i="36"/>
  <c r="AB368" i="36"/>
  <c r="AB369" i="36"/>
  <c r="AB370" i="36"/>
  <c r="AB371" i="36"/>
  <c r="AB372" i="36"/>
  <c r="AB373" i="36"/>
  <c r="AB374" i="36"/>
  <c r="AB375" i="36"/>
  <c r="AB376" i="36"/>
  <c r="AB377" i="36"/>
  <c r="AB378" i="36"/>
  <c r="AB379" i="36"/>
  <c r="AB380" i="36"/>
  <c r="AB381" i="36"/>
  <c r="AB382" i="36"/>
  <c r="AB383" i="36"/>
  <c r="AB384" i="36"/>
  <c r="AB385" i="36"/>
  <c r="AB386" i="36"/>
  <c r="AB387" i="36"/>
  <c r="AB388" i="36"/>
  <c r="AB389" i="36"/>
  <c r="AB390" i="36"/>
  <c r="AB391" i="36"/>
  <c r="AB392" i="36"/>
  <c r="AB393" i="36"/>
  <c r="AB394" i="36"/>
  <c r="AB395" i="36"/>
  <c r="AB396" i="36"/>
  <c r="AB397" i="36"/>
  <c r="AB398" i="36"/>
  <c r="AB399" i="36"/>
  <c r="AB400" i="36"/>
  <c r="AB401" i="36"/>
  <c r="AB402" i="36"/>
  <c r="AB403" i="36"/>
  <c r="AB404" i="36"/>
  <c r="AB405" i="36"/>
  <c r="AB406" i="36"/>
  <c r="AB407" i="36"/>
  <c r="AB408" i="36"/>
  <c r="AB409" i="36"/>
  <c r="AB410" i="36"/>
  <c r="AB411" i="36"/>
  <c r="AB412" i="36"/>
  <c r="AB413" i="36"/>
  <c r="AB414" i="36"/>
  <c r="AB415" i="36"/>
  <c r="AB416" i="36"/>
  <c r="AB417" i="36"/>
  <c r="AB418" i="36"/>
  <c r="AB419" i="36"/>
  <c r="AB420" i="36"/>
  <c r="AB421" i="36"/>
  <c r="AB422" i="36"/>
  <c r="AB423" i="36"/>
  <c r="AB424" i="36"/>
  <c r="AB425" i="36"/>
  <c r="AB426" i="36"/>
  <c r="AB427" i="36"/>
  <c r="AB428" i="36"/>
  <c r="AB429" i="36"/>
  <c r="AB430" i="36"/>
  <c r="AB431" i="36"/>
  <c r="AB432" i="36"/>
  <c r="AB433" i="36"/>
  <c r="AB434" i="36"/>
  <c r="AB435" i="36"/>
  <c r="AB436" i="36"/>
  <c r="AB437" i="36"/>
  <c r="AB438" i="36"/>
  <c r="AB439" i="36"/>
  <c r="AB440" i="36"/>
  <c r="AB441" i="36"/>
  <c r="AB442" i="36"/>
  <c r="AB443" i="36"/>
  <c r="AB444" i="36"/>
  <c r="AB445" i="36"/>
  <c r="AB446" i="36"/>
  <c r="AB447" i="36"/>
  <c r="AB448" i="36"/>
  <c r="AB449" i="36"/>
  <c r="AB450" i="36"/>
  <c r="AB451" i="36"/>
  <c r="AB452" i="36"/>
  <c r="AB453" i="36"/>
  <c r="AB454" i="36"/>
  <c r="AB455" i="36"/>
  <c r="AB456" i="36"/>
  <c r="AB457" i="36"/>
  <c r="AB458" i="36"/>
  <c r="AB459" i="36"/>
  <c r="AB460" i="36"/>
  <c r="AB461" i="36"/>
  <c r="AB462" i="36"/>
  <c r="AB463" i="36"/>
  <c r="AB464" i="36"/>
  <c r="AB465" i="36"/>
  <c r="AB466" i="36"/>
  <c r="AB467" i="36"/>
  <c r="AB468" i="36"/>
  <c r="AB469" i="36"/>
  <c r="AB470" i="36"/>
  <c r="AB471" i="36"/>
  <c r="AB472" i="36"/>
  <c r="AB473" i="36"/>
  <c r="AB474" i="36"/>
  <c r="AB475" i="36"/>
  <c r="AB476" i="36"/>
  <c r="AB477" i="36"/>
  <c r="AB478" i="36"/>
  <c r="AB479" i="36"/>
  <c r="AB480" i="36"/>
  <c r="AB481" i="36"/>
  <c r="AB482" i="36"/>
  <c r="AB483" i="36"/>
  <c r="AB484" i="36"/>
  <c r="AB485" i="36"/>
  <c r="AB486" i="36"/>
  <c r="AB487" i="36"/>
  <c r="AB488" i="36"/>
  <c r="AB489" i="36"/>
  <c r="AB490" i="36"/>
  <c r="AB491" i="36"/>
  <c r="AB492" i="36"/>
  <c r="AB493" i="36"/>
  <c r="AB494" i="36"/>
  <c r="AB495" i="36"/>
  <c r="AB496" i="36"/>
  <c r="AB497" i="36"/>
  <c r="AB498" i="36"/>
  <c r="AB499" i="36"/>
  <c r="AB500" i="36"/>
  <c r="AB501" i="36"/>
  <c r="AB502" i="36"/>
  <c r="AB503" i="36"/>
  <c r="AB504" i="36"/>
  <c r="AB505" i="36"/>
  <c r="AB506" i="36"/>
  <c r="AB507" i="36"/>
  <c r="AB508" i="36"/>
  <c r="AB509" i="36"/>
  <c r="AB510" i="36"/>
  <c r="AB511" i="36"/>
  <c r="AB512" i="36"/>
  <c r="AB513" i="36"/>
  <c r="AB514" i="36"/>
  <c r="AB515" i="36"/>
  <c r="AB516" i="36"/>
  <c r="AB517" i="36"/>
  <c r="AB518" i="36"/>
  <c r="AB519" i="36"/>
  <c r="AB520" i="36"/>
  <c r="AB521" i="36"/>
  <c r="M2" i="3"/>
  <c r="J76" i="15"/>
  <c r="J83" i="15"/>
  <c r="K19" i="37" a="1"/>
  <c r="R16" i="37"/>
  <c r="P16" i="37" s="1"/>
  <c r="B19" i="37" a="1"/>
  <c r="I16" i="37"/>
  <c r="G16" i="37"/>
  <c r="K6" i="37" a="1"/>
  <c r="K6" i="37" s="1"/>
  <c r="R3" i="37"/>
  <c r="P3" i="37" s="1"/>
  <c r="I3" i="37"/>
  <c r="G3" i="37"/>
  <c r="B6" i="37" a="1"/>
  <c r="B6" i="37" s="1"/>
  <c r="K2" i="3"/>
  <c r="K3" i="3"/>
  <c r="K4" i="3"/>
  <c r="K5" i="3"/>
  <c r="K6" i="3"/>
  <c r="K7" i="3"/>
  <c r="K8" i="3"/>
  <c r="G75" i="29"/>
  <c r="I83" i="15"/>
  <c r="I76" i="15"/>
  <c r="K83" i="15" l="1"/>
  <c r="K76" i="15"/>
  <c r="N24" i="37"/>
  <c r="D20" i="37"/>
  <c r="I6" i="37"/>
  <c r="O20" i="37"/>
  <c r="O7" i="37"/>
  <c r="P8" i="37"/>
  <c r="Q9" i="37"/>
  <c r="R10" i="37"/>
  <c r="L12" i="37"/>
  <c r="M13" i="37"/>
  <c r="O6" i="37"/>
  <c r="P9" i="37"/>
  <c r="O8" i="37"/>
  <c r="L13" i="37"/>
  <c r="N7" i="37"/>
  <c r="R11" i="37"/>
  <c r="Q10" i="37"/>
  <c r="N6" i="37"/>
  <c r="P6" i="37"/>
  <c r="F13" i="37"/>
  <c r="C10" i="37"/>
  <c r="G26" i="37"/>
  <c r="P25" i="37"/>
  <c r="H6" i="37"/>
  <c r="D11" i="37"/>
  <c r="H7" i="37"/>
  <c r="E21" i="37"/>
  <c r="R22" i="37"/>
  <c r="M6" i="37"/>
  <c r="R12" i="37"/>
  <c r="Q11" i="37"/>
  <c r="P10" i="37"/>
  <c r="O9" i="37"/>
  <c r="N8" i="37"/>
  <c r="M7" i="37"/>
  <c r="C24" i="37"/>
  <c r="F26" i="37"/>
  <c r="D25" i="37"/>
  <c r="H23" i="37"/>
  <c r="F22" i="37"/>
  <c r="D21" i="37"/>
  <c r="L26" i="37"/>
  <c r="Q26" i="37"/>
  <c r="O25" i="37"/>
  <c r="M24" i="37"/>
  <c r="Q22" i="37"/>
  <c r="O21" i="37"/>
  <c r="M20" i="37"/>
  <c r="E12" i="37"/>
  <c r="I8" i="37"/>
  <c r="E25" i="37"/>
  <c r="R26" i="37"/>
  <c r="N20" i="37"/>
  <c r="G6" i="37"/>
  <c r="E13" i="37"/>
  <c r="D12" i="37"/>
  <c r="C11" i="37"/>
  <c r="I9" i="37"/>
  <c r="H8" i="37"/>
  <c r="G7" i="37"/>
  <c r="F6" i="37"/>
  <c r="D13" i="37"/>
  <c r="C12" i="37"/>
  <c r="I10" i="37"/>
  <c r="H9" i="37"/>
  <c r="G8" i="37"/>
  <c r="F7" i="37"/>
  <c r="R13" i="37"/>
  <c r="Q12" i="37"/>
  <c r="P11" i="37"/>
  <c r="O10" i="37"/>
  <c r="N9" i="37"/>
  <c r="M8" i="37"/>
  <c r="L7" i="37"/>
  <c r="C23" i="37"/>
  <c r="E26" i="37"/>
  <c r="I24" i="37"/>
  <c r="G23" i="37"/>
  <c r="E22" i="37"/>
  <c r="I20" i="37"/>
  <c r="L25" i="37"/>
  <c r="P26" i="37"/>
  <c r="N25" i="37"/>
  <c r="R23" i="37"/>
  <c r="P22" i="37"/>
  <c r="N21" i="37"/>
  <c r="C25" i="37"/>
  <c r="I23" i="37"/>
  <c r="G22" i="37"/>
  <c r="P21" i="37"/>
  <c r="E6" i="37"/>
  <c r="C13" i="37"/>
  <c r="I11" i="37"/>
  <c r="H10" i="37"/>
  <c r="G9" i="37"/>
  <c r="F8" i="37"/>
  <c r="E7" i="37"/>
  <c r="L6" i="37"/>
  <c r="Q13" i="37"/>
  <c r="P12" i="37"/>
  <c r="O11" i="37"/>
  <c r="N10" i="37"/>
  <c r="M9" i="37"/>
  <c r="L8" i="37"/>
  <c r="C22" i="37"/>
  <c r="D26" i="37"/>
  <c r="H24" i="37"/>
  <c r="F23" i="37"/>
  <c r="D22" i="37"/>
  <c r="H20" i="37"/>
  <c r="L24" i="37"/>
  <c r="O26" i="37"/>
  <c r="M25" i="37"/>
  <c r="Q23" i="37"/>
  <c r="O22" i="37"/>
  <c r="M21" i="37"/>
  <c r="D6" i="37"/>
  <c r="I12" i="37"/>
  <c r="H11" i="37"/>
  <c r="G10" i="37"/>
  <c r="F9" i="37"/>
  <c r="E8" i="37"/>
  <c r="D7" i="37"/>
  <c r="R6" i="37"/>
  <c r="P13" i="37"/>
  <c r="O12" i="37"/>
  <c r="N11" i="37"/>
  <c r="M10" i="37"/>
  <c r="L9" i="37"/>
  <c r="R7" i="37"/>
  <c r="C21" i="37"/>
  <c r="I25" i="37"/>
  <c r="G24" i="37"/>
  <c r="E23" i="37"/>
  <c r="I21" i="37"/>
  <c r="G20" i="37"/>
  <c r="L23" i="37"/>
  <c r="N26" i="37"/>
  <c r="R24" i="37"/>
  <c r="P23" i="37"/>
  <c r="N22" i="37"/>
  <c r="R20" i="37"/>
  <c r="C20" i="37"/>
  <c r="H25" i="37"/>
  <c r="F24" i="37"/>
  <c r="D23" i="37"/>
  <c r="H21" i="37"/>
  <c r="F20" i="37"/>
  <c r="L22" i="37"/>
  <c r="M26" i="37"/>
  <c r="Q24" i="37"/>
  <c r="O23" i="37"/>
  <c r="M22" i="37"/>
  <c r="Q20" i="37"/>
  <c r="I13" i="37"/>
  <c r="H12" i="37"/>
  <c r="G11" i="37"/>
  <c r="F10" i="37"/>
  <c r="E9" i="37"/>
  <c r="D8" i="37"/>
  <c r="C7" i="37"/>
  <c r="Q6" i="37"/>
  <c r="O13" i="37"/>
  <c r="N12" i="37"/>
  <c r="M11" i="37"/>
  <c r="L10" i="37"/>
  <c r="R8" i="37"/>
  <c r="Q7" i="37"/>
  <c r="C6" i="37"/>
  <c r="H13" i="37"/>
  <c r="G12" i="37"/>
  <c r="F11" i="37"/>
  <c r="E10" i="37"/>
  <c r="D9" i="37"/>
  <c r="C8" i="37"/>
  <c r="N13" i="37"/>
  <c r="M12" i="37"/>
  <c r="L11" i="37"/>
  <c r="R9" i="37"/>
  <c r="Q8" i="37"/>
  <c r="P7" i="37"/>
  <c r="I26" i="37"/>
  <c r="G25" i="37"/>
  <c r="E24" i="37"/>
  <c r="I22" i="37"/>
  <c r="G21" i="37"/>
  <c r="E20" i="37"/>
  <c r="L21" i="37"/>
  <c r="R25" i="37"/>
  <c r="P24" i="37"/>
  <c r="N23" i="37"/>
  <c r="R21" i="37"/>
  <c r="P20" i="37"/>
  <c r="G13" i="37"/>
  <c r="F12" i="37"/>
  <c r="E11" i="37"/>
  <c r="D10" i="37"/>
  <c r="C9" i="37"/>
  <c r="I7" i="37"/>
  <c r="C26" i="37"/>
  <c r="H26" i="37"/>
  <c r="F25" i="37"/>
  <c r="D24" i="37"/>
  <c r="H22" i="37"/>
  <c r="F21" i="37"/>
  <c r="L20" i="37"/>
  <c r="Q25" i="37"/>
  <c r="O24" i="37"/>
  <c r="M23" i="37"/>
  <c r="Q21" i="37"/>
  <c r="K19" i="37"/>
  <c r="B19" i="37"/>
  <c r="C19" i="37" l="1"/>
  <c r="D19" i="37"/>
  <c r="E19" i="37"/>
  <c r="F19" i="37"/>
  <c r="I19" i="37"/>
  <c r="G19" i="37"/>
  <c r="H19" i="37"/>
  <c r="M19" i="37"/>
  <c r="N19" i="37"/>
  <c r="O19" i="37"/>
  <c r="P19" i="37"/>
  <c r="Q19" i="37"/>
  <c r="L19" i="37"/>
  <c r="R19" i="37"/>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FB2FA51-AFD1-4FD3-99D4-C9F5A7A05EC3}" keepAlive="1" name="Query - AreaPoblacion" description="Connection to the 'AreaPoblacion' query in the workbook." type="5" refreshedVersion="0" background="1">
    <dbPr connection="Provider=Microsoft.Mashup.OleDb.1;Data Source=$Workbook$;Location=AreaPoblacion;Extended Properties=&quot;&quot;" command="SELECT * FROM [AreaPoblacion]"/>
  </connection>
  <connection id="2" xr16:uid="{3A303F5A-CAB5-46C0-957A-A404ED204594}" keepAlive="1" name="Query - AreasSanitarias" description="Connection to the 'AreasSanitarias' query in the workbook." type="5" refreshedVersion="0" background="1">
    <dbPr connection="Provider=Microsoft.Mashup.OleDb.1;Data Source=$Workbook$;Location=AreasSanitarias;Extended Properties=&quot;&quot;" command="SELECT * FROM [AreasSanitarias]"/>
  </connection>
  <connection id="3" xr16:uid="{B0611DAD-07B3-44F5-A586-23AD4B307D57}" keepAlive="1" name="Query - AS_Coruna" description="Connection to the 'AS_Coruna' query in the workbook." type="5" refreshedVersion="6" background="1" saveData="1">
    <dbPr connection="Provider=Microsoft.Mashup.OleDb.1;Data Source=$Workbook$;Location=AS_Coruna;Extended Properties=&quot;&quot;" command="SELECT * FROM [AS_Coruna]"/>
  </connection>
  <connection id="4" xr16:uid="{4BC59C2A-4C56-4123-8C7C-1A2F2A142B38}" keepAlive="1" name="Query - AS_Ferrol" description="Connection to the 'AS_Ferrol' query in the workbook." type="5" refreshedVersion="6" background="1" saveData="1">
    <dbPr connection="Provider=Microsoft.Mashup.OleDb.1;Data Source=$Workbook$;Location=AS_Ferrol;Extended Properties=&quot;&quot;" command="SELECT * FROM [AS_Ferrol]"/>
  </connection>
  <connection id="5" xr16:uid="{69C3BF20-2391-4DCE-A45D-1FC7E0BE175B}" keepAlive="1" name="Query - AS_Lugo" description="Connection to the 'AS_Lugo' query in the workbook." type="5" refreshedVersion="6" background="1" saveData="1">
    <dbPr connection="Provider=Microsoft.Mashup.OleDb.1;Data Source=$Workbook$;Location=AS_Lugo;Extended Properties=&quot;&quot;" command="SELECT * FROM [AS_Lugo]"/>
  </connection>
  <connection id="6" xr16:uid="{B9307B5D-EBFD-4590-83E6-C271F28829F7}" keepAlive="1" name="Query - AS_Ourense" description="Connection to the 'AS_Ourense' query in the workbook." type="5" refreshedVersion="6" background="1" saveData="1">
    <dbPr connection="Provider=Microsoft.Mashup.OleDb.1;Data Source=$Workbook$;Location=AS_Ourense;Extended Properties=&quot;&quot;" command="SELECT * FROM [AS_Ourense]"/>
  </connection>
  <connection id="7" xr16:uid="{2E6906DF-5F8D-4160-9590-C0EB6CDE7B38}" keepAlive="1" name="Query - AS_Pontevedra" description="Connection to the 'AS_Pontevedra' query in the workbook." type="5" refreshedVersion="6" background="1" saveData="1">
    <dbPr connection="Provider=Microsoft.Mashup.OleDb.1;Data Source=$Workbook$;Location=AS_Pontevedra;Extended Properties=&quot;&quot;" command="SELECT * FROM [AS_Pontevedra]"/>
  </connection>
  <connection id="8" xr16:uid="{D851654D-FD7F-459A-8341-B45493BFF758}" keepAlive="1" name="Query - AS_Santiago" description="Connection to the 'AS_Santiago' query in the workbook." type="5" refreshedVersion="6" background="1" saveData="1">
    <dbPr connection="Provider=Microsoft.Mashup.OleDb.1;Data Source=$Workbook$;Location=AS_Santiago;Extended Properties=&quot;&quot;" command="SELECT * FROM [AS_Santiago]"/>
  </connection>
  <connection id="9" xr16:uid="{D32421FA-71B0-4C8B-903D-3F4AEEAE90E3}" keepAlive="1" name="Query - AS_Vigo" description="Connection to the 'AS_Vigo' query in the workbook." type="5" refreshedVersion="6" background="1" saveData="1">
    <dbPr connection="Provider=Microsoft.Mashup.OleDb.1;Data Source=$Workbook$;Location=AS_Vigo;Extended Properties=&quot;&quot;" command="SELECT * FROM [AS_Vigo]"/>
  </connection>
  <connection id="10" xr16:uid="{42AD1B4D-D288-4D30-A70F-E61F6A6D7E88}" keepAlive="1" name="Query - DatosPoblacion" description="Connection to the 'DatosPoblacion' query in the workbook." type="5" refreshedVersion="0" background="1">
    <dbPr connection="Provider=Microsoft.Mashup.OleDb.1;Data Source=$Workbook$;Location=DatosPoblacion;Extended Properties=&quot;&quot;" command="SELECT * FROM [DatosPoblacion]"/>
  </connection>
  <connection id="11" xr16:uid="{2C612ECE-44DD-470C-9522-B17436B6FBC7}" keepAlive="1" name="Query - EvolucionIncidencia" description="Connection to the 'EvolucionIncidencia' query in the workbook." type="5" refreshedVersion="6" background="1" saveData="1">
    <dbPr connection="Provider=Microsoft.Mashup.OleDb.1;Data Source=$Workbook$;Location=EvolucionIncidencia;Extended Properties=&quot;&quot;" command="SELECT * FROM [EvolucionIncidencia]"/>
  </connection>
  <connection id="12" xr16:uid="{F5049403-A1F7-4311-9C9C-F15C7586F0AC}" keepAlive="1" name="Query - Fallecidos_Hospital" description="Connection to the 'Fallecidos_Hospital' query in the workbook." type="5" refreshedVersion="6" background="1" saveData="1">
    <dbPr connection="Provider=Microsoft.Mashup.OleDb.1;Data Source=$Workbook$;Location=Fallecidos_Hospital;Extended Properties=&quot;&quot;" command="SELECT * FROM [Fallecidos_Hospital]"/>
  </connection>
  <connection id="13" xr16:uid="{DFAEF14C-4EA7-4167-AC06-DE1BBDF44C61}" keepAlive="1" name="Query - historico_CifrasTotales" description="Connection to the 'historico_CifrasTotales' query in the workbook." type="5" refreshedVersion="6" background="1" saveData="1">
    <dbPr connection="Provider=Microsoft.Mashup.OleDb.1;Data Source=$Workbook$;Location=historico_CifrasTotales;Extended Properties=&quot;&quot;" command="SELECT * FROM [historico_CifrasTotales]"/>
  </connection>
  <connection id="14" xr16:uid="{B5BF0795-B3DA-49F9-B2BE-B02A95CD083B}" keepAlive="1" name="Query - historico_InfectadosArea" description="Connection to the 'historico_InfectadosArea' query in the workbook." type="5" refreshedVersion="6" background="1" saveData="1">
    <dbPr connection="Provider=Microsoft.Mashup.OleDb.1;Data Source=$Workbook$;Location=historico_InfectadosArea;Extended Properties=&quot;&quot;" command="SELECT * FROM [historico_InfectadosArea]"/>
  </connection>
  <connection id="15" xr16:uid="{0089FB42-F215-486D-8821-85678746B8FC}" keepAlive="1" name="Query - PlantillaIncrementoDiario" description="Connection to the 'PlantillaIncrementoDiario' query in the workbook." type="5" refreshedVersion="6" background="1" saveData="1">
    <dbPr connection="Provider=Microsoft.Mashup.OleDb.1;Data Source=$Workbook$;Location=PlantillaIncrementoDiario;Extended Properties=&quot;&quot;" command="SELECT * FROM [PlantillaIncrementoDiario]"/>
  </connection>
  <connection id="16" xr16:uid="{AB0F80F2-9FB3-4596-90BD-57CE5D8C214D}" keepAlive="1" name="Query - Totales_Inc_Diarios" description="Connection to the 'Totales_Inc_Diarios' query in the workbook." type="5" refreshedVersion="6" background="1" saveData="1">
    <dbPr connection="Provider=Microsoft.Mashup.OleDb.1;Data Source=$Workbook$;Location=Totales_Inc_Diarios;Extended Properties=&quot;&quot;" command="SELECT * FROM [Totales_Inc_Diarios]"/>
  </connection>
  <connection id="17" xr16:uid="{47F3AD49-4EC5-4153-94AE-579CBFDFF1CE}" keepAlive="1" name="ThisWorkbookDataModel" description="Data Model"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18" xr16:uid="{B20F5AEE-AE8E-434F-AACA-00EE1F5A210D}" name="WorksheetConnection_SeguimientoIncidenciaArea.xlsm!AreasSanitarias" type="102" refreshedVersion="6" minRefreshableVersion="5">
    <extLst>
      <ext xmlns:x15="http://schemas.microsoft.com/office/spreadsheetml/2010/11/main" uri="{DE250136-89BD-433C-8126-D09CA5730AF9}">
        <x15:connection id="AreasSanitarias">
          <x15:rangePr sourceName="_xlcn.WorksheetConnection_SeguimientoIncidenciaArea.xlsmAreasSanitarias1"/>
        </x15:connection>
      </ext>
    </extLst>
  </connection>
  <connection id="19" xr16:uid="{B359B27F-A398-47E4-8BA0-4BE3EDFE0E3E}" name="WorksheetConnection_SeguimientoIncidenciaArea.xlsm!DatosPoblacion" type="102" refreshedVersion="6" minRefreshableVersion="5">
    <extLst>
      <ext xmlns:x15="http://schemas.microsoft.com/office/spreadsheetml/2010/11/main" uri="{DE250136-89BD-433C-8126-D09CA5730AF9}">
        <x15:connection id="DatosPoblacion">
          <x15:rangePr sourceName="_xlcn.WorksheetConnection_SeguimientoIncidenciaArea.xlsmDatosPoblacion1"/>
        </x15:connection>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<sst xmlns="http://schemas.openxmlformats.org/spreadsheetml/2006/main" count="5393" uniqueCount="486">
  <si>
    <t>Fecha</t>
  </si>
  <si>
    <t>Area_Sanitaria</t>
  </si>
  <si>
    <t>A.S. VIGO</t>
  </si>
  <si>
    <t>GALICIA</t>
  </si>
  <si>
    <t>A.S. A CORUÑA E CEE</t>
  </si>
  <si>
    <t>A.S. FERROL</t>
  </si>
  <si>
    <t>A.S. PONTEVEDRA E O SALNÉS</t>
  </si>
  <si>
    <t>A.S. SANTIAGO E BARBANZA</t>
  </si>
  <si>
    <t>A.S. LUGO, A MARIÑA E MONFORTE</t>
  </si>
  <si>
    <t>A.S. OURENSE, VERÍN E O BARCO</t>
  </si>
  <si>
    <t>Clave</t>
  </si>
  <si>
    <t>Area</t>
  </si>
  <si>
    <t>galicia</t>
  </si>
  <si>
    <t>coruna</t>
  </si>
  <si>
    <t>ferrol</t>
  </si>
  <si>
    <t>lugo</t>
  </si>
  <si>
    <t>ourense</t>
  </si>
  <si>
    <t>pontevedra</t>
  </si>
  <si>
    <t>santiago</t>
  </si>
  <si>
    <t>vigo</t>
  </si>
  <si>
    <t>municipio</t>
  </si>
  <si>
    <t>provincia</t>
  </si>
  <si>
    <t>area_sanitaria</t>
  </si>
  <si>
    <t>Población</t>
  </si>
  <si>
    <t>ABEGONDO</t>
  </si>
  <si>
    <t>Coruña</t>
  </si>
  <si>
    <t>ARANGA</t>
  </si>
  <si>
    <t>ARTEIXO</t>
  </si>
  <si>
    <t>BERGONDO</t>
  </si>
  <si>
    <t>BETANZOS</t>
  </si>
  <si>
    <t>CABANA DE BERGANTIÑOS</t>
  </si>
  <si>
    <t>CAMARIÑAS</t>
  </si>
  <si>
    <t>CAMBRE</t>
  </si>
  <si>
    <t>CARBALLO</t>
  </si>
  <si>
    <t>CARRAL</t>
  </si>
  <si>
    <t>CEE</t>
  </si>
  <si>
    <t>CERCEDA</t>
  </si>
  <si>
    <t>COIROS</t>
  </si>
  <si>
    <t>CORCUBION</t>
  </si>
  <si>
    <t>CORISTANCO</t>
  </si>
  <si>
    <t>CORUÑA (A)</t>
  </si>
  <si>
    <t>CULLEREDO</t>
  </si>
  <si>
    <t>CURTIS</t>
  </si>
  <si>
    <t>DUMBRIA</t>
  </si>
  <si>
    <t>FISTERRA</t>
  </si>
  <si>
    <t>IRIXOA</t>
  </si>
  <si>
    <t>LARACHA</t>
  </si>
  <si>
    <t>LAXE</t>
  </si>
  <si>
    <t>MALPICA DE BERGANTIÑOS</t>
  </si>
  <si>
    <t>MIÑO</t>
  </si>
  <si>
    <t>MUXIA</t>
  </si>
  <si>
    <t>OLEIROS</t>
  </si>
  <si>
    <t>OZA-CESURAS</t>
  </si>
  <si>
    <t>PADERNE</t>
  </si>
  <si>
    <t>PONTECESO</t>
  </si>
  <si>
    <t>SADA</t>
  </si>
  <si>
    <t>SOBRADO</t>
  </si>
  <si>
    <t>VILARMAIOR</t>
  </si>
  <si>
    <t>VILASANTAR</t>
  </si>
  <si>
    <t>VIMIANZO</t>
  </si>
  <si>
    <t>ZAS</t>
  </si>
  <si>
    <t>ARES</t>
  </si>
  <si>
    <t>CABANAS</t>
  </si>
  <si>
    <t>CAPELA (A)</t>
  </si>
  <si>
    <t>CARIÑO</t>
  </si>
  <si>
    <t>CEDEIRA</t>
  </si>
  <si>
    <t>CERDIDO</t>
  </si>
  <si>
    <t>FENE</t>
  </si>
  <si>
    <t>FERROL</t>
  </si>
  <si>
    <t>MAÑON</t>
  </si>
  <si>
    <t>MOECHE</t>
  </si>
  <si>
    <t>MONFERO</t>
  </si>
  <si>
    <t>MUGARDOS</t>
  </si>
  <si>
    <t>NARON</t>
  </si>
  <si>
    <t>NEDA</t>
  </si>
  <si>
    <t>ORTIGUEIRA</t>
  </si>
  <si>
    <t>PONTEDEUME</t>
  </si>
  <si>
    <t>PONTES DE GARCIA RODRIGUEZ (AS)</t>
  </si>
  <si>
    <t>SAN SADURNIÑO</t>
  </si>
  <si>
    <t>SOMOZAS</t>
  </si>
  <si>
    <t>VALDOVIÑO</t>
  </si>
  <si>
    <t>ABADIN</t>
  </si>
  <si>
    <t>Lugo</t>
  </si>
  <si>
    <t>ALFOZ</t>
  </si>
  <si>
    <t>ANTAS DE ULLA</t>
  </si>
  <si>
    <t>BALEIRA</t>
  </si>
  <si>
    <t>BARALLA</t>
  </si>
  <si>
    <t>BARREIROS</t>
  </si>
  <si>
    <t>BECERREA</t>
  </si>
  <si>
    <t>BEGONTE</t>
  </si>
  <si>
    <t>BOVEDA</t>
  </si>
  <si>
    <t>BURELA</t>
  </si>
  <si>
    <t>CARBALLEDO</t>
  </si>
  <si>
    <t>CASTRO DE REI</t>
  </si>
  <si>
    <t>CASTROVERDE</t>
  </si>
  <si>
    <t>CERVANTES</t>
  </si>
  <si>
    <t>CERVO</t>
  </si>
  <si>
    <t>CHANTADA</t>
  </si>
  <si>
    <t>CORGO (O)</t>
  </si>
  <si>
    <t>COSPEITO</t>
  </si>
  <si>
    <t>FOLGOSO DO COUREL</t>
  </si>
  <si>
    <t>FONSAGRADA (A)</t>
  </si>
  <si>
    <t>FOZ</t>
  </si>
  <si>
    <t>FRIOL</t>
  </si>
  <si>
    <t>GUITIRIZ</t>
  </si>
  <si>
    <t>GUNTIN</t>
  </si>
  <si>
    <t>INCIO (O)</t>
  </si>
  <si>
    <t>LANCARA</t>
  </si>
  <si>
    <t>LOURENZA</t>
  </si>
  <si>
    <t>LUGO</t>
  </si>
  <si>
    <t>MEIRA</t>
  </si>
  <si>
    <t>MONDOÑEDO</t>
  </si>
  <si>
    <t>MONFORTE DE LEMOS</t>
  </si>
  <si>
    <t>MONTERROSO</t>
  </si>
  <si>
    <t>MURAS</t>
  </si>
  <si>
    <t>NAVIA DE SUARNA</t>
  </si>
  <si>
    <t>NEGUEIRA DE MUÑIZ</t>
  </si>
  <si>
    <t>NOGAIS (AS)</t>
  </si>
  <si>
    <t>OUROL</t>
  </si>
  <si>
    <t>OUTEIRO DE REI</t>
  </si>
  <si>
    <t>PALAS DE REI</t>
  </si>
  <si>
    <t>PANTON</t>
  </si>
  <si>
    <t>PARADELA</t>
  </si>
  <si>
    <t>PARAMO (O)</t>
  </si>
  <si>
    <t>PASTORIZA (A)</t>
  </si>
  <si>
    <t>PEDRAFITA DO CEBREIRO</t>
  </si>
  <si>
    <t>POBRA DO BROLLON (A)</t>
  </si>
  <si>
    <t>POL</t>
  </si>
  <si>
    <t>PONTENOVA (A)</t>
  </si>
  <si>
    <t>PORTOMARIN</t>
  </si>
  <si>
    <t>QUIROGA</t>
  </si>
  <si>
    <t>RABADE</t>
  </si>
  <si>
    <t>RIBADEO</t>
  </si>
  <si>
    <t>RIBAS DE SIL</t>
  </si>
  <si>
    <t>RIBEIRA DE PIQUIN</t>
  </si>
  <si>
    <t>RIOTORTO</t>
  </si>
  <si>
    <t>SAMOS</t>
  </si>
  <si>
    <t>SARRIA</t>
  </si>
  <si>
    <t>SAVIÑAO (O)</t>
  </si>
  <si>
    <t>SOBER</t>
  </si>
  <si>
    <t>TABOADA</t>
  </si>
  <si>
    <t>TRABADA</t>
  </si>
  <si>
    <t>TRIACASTELA</t>
  </si>
  <si>
    <t>VALADOURO (O)</t>
  </si>
  <si>
    <t>VICEDO (O)</t>
  </si>
  <si>
    <t>VILALBA</t>
  </si>
  <si>
    <t>VIVEIRO</t>
  </si>
  <si>
    <t>XERMADE</t>
  </si>
  <si>
    <t>XOVE</t>
  </si>
  <si>
    <t>ALLARIZ</t>
  </si>
  <si>
    <t>Ourense</t>
  </si>
  <si>
    <t>AMOEIRO</t>
  </si>
  <si>
    <t>ARNOIA</t>
  </si>
  <si>
    <t>AVION</t>
  </si>
  <si>
    <t>BALTAR</t>
  </si>
  <si>
    <t>BANDE</t>
  </si>
  <si>
    <t>BAÑOS DE MOLGAS</t>
  </si>
  <si>
    <t>BARBADAS</t>
  </si>
  <si>
    <t>BARCO DE VALDEORRAS (O)</t>
  </si>
  <si>
    <t>BEADE</t>
  </si>
  <si>
    <t>BEARIZ</t>
  </si>
  <si>
    <t>BLANCOS (OS)</t>
  </si>
  <si>
    <t>BOBORAS</t>
  </si>
  <si>
    <t>BOLA A</t>
  </si>
  <si>
    <t>BOLO (O)</t>
  </si>
  <si>
    <t>CALVOS DE RANDIN</t>
  </si>
  <si>
    <t>CARBALLEDA DE AVIA</t>
  </si>
  <si>
    <t>CARBALLEDA DE VALDEORRAS</t>
  </si>
  <si>
    <t>CARBALLIÑO (O)</t>
  </si>
  <si>
    <t>CARTELLE</t>
  </si>
  <si>
    <t>CASTRELO DE MIÑO</t>
  </si>
  <si>
    <t>CASTRELO DO VAL</t>
  </si>
  <si>
    <t>CASTRO CALDELAS</t>
  </si>
  <si>
    <t>CELANOVA</t>
  </si>
  <si>
    <t>CENLLE</t>
  </si>
  <si>
    <t>CHANDREXA DE QUEIXA</t>
  </si>
  <si>
    <t>COLES</t>
  </si>
  <si>
    <t>CORTEGADA</t>
  </si>
  <si>
    <t>CUALEDRO</t>
  </si>
  <si>
    <t>ENTRIMO</t>
  </si>
  <si>
    <t>ESGOS</t>
  </si>
  <si>
    <t>GOMESENDE</t>
  </si>
  <si>
    <t>GUDIÑA (A)</t>
  </si>
  <si>
    <t>IRIXO (O)</t>
  </si>
  <si>
    <t>LAROUCO</t>
  </si>
  <si>
    <t>LAZA</t>
  </si>
  <si>
    <t>LEIRO</t>
  </si>
  <si>
    <t>LOBEIRA</t>
  </si>
  <si>
    <t>LOBIOS</t>
  </si>
  <si>
    <t>MACEDA</t>
  </si>
  <si>
    <t>MANZANEDA</t>
  </si>
  <si>
    <t>MASIDE</t>
  </si>
  <si>
    <t>MELON</t>
  </si>
  <si>
    <t>MERCA A</t>
  </si>
  <si>
    <t>MEZQUITA (A)</t>
  </si>
  <si>
    <t>MONTEDERRAMO</t>
  </si>
  <si>
    <t>MONTERREI</t>
  </si>
  <si>
    <t>MUIÑOS</t>
  </si>
  <si>
    <t>NOGUEIRA DE RAMUIN</t>
  </si>
  <si>
    <t>OIMBRA</t>
  </si>
  <si>
    <t>OURENSE</t>
  </si>
  <si>
    <t>PADERNE DE ALLARIZ</t>
  </si>
  <si>
    <t>PADRENDA</t>
  </si>
  <si>
    <t>PARADA DE SIL</t>
  </si>
  <si>
    <t>PEREIRO DE AGUIAR</t>
  </si>
  <si>
    <t>PEROXA A</t>
  </si>
  <si>
    <t>PETIN</t>
  </si>
  <si>
    <t>PIÑOR</t>
  </si>
  <si>
    <t>POBRA DE TRIVES A</t>
  </si>
  <si>
    <t>PONTEDEVA</t>
  </si>
  <si>
    <t>PORQUEIRA</t>
  </si>
  <si>
    <t>PUNXIN</t>
  </si>
  <si>
    <t>QUINTELA DE LEIRADO</t>
  </si>
  <si>
    <t>RAIRIZ DE VEIGA</t>
  </si>
  <si>
    <t>RAMIRAS</t>
  </si>
  <si>
    <t>RIBADAVIA</t>
  </si>
  <si>
    <t>RIOS</t>
  </si>
  <si>
    <t>RUA (A)</t>
  </si>
  <si>
    <t>RUBIA</t>
  </si>
  <si>
    <t>SAN AMARO</t>
  </si>
  <si>
    <t>SAN CIBRAO DAS VIÑAS</t>
  </si>
  <si>
    <t>SAN CRISTOVO DE CEA</t>
  </si>
  <si>
    <t>SAN XOAN DE RIO</t>
  </si>
  <si>
    <t>SANDIAS</t>
  </si>
  <si>
    <t>SARREAUS</t>
  </si>
  <si>
    <t>TABOADELA</t>
  </si>
  <si>
    <t>TEIXEIRA A</t>
  </si>
  <si>
    <t>TOEN</t>
  </si>
  <si>
    <t>TRASMIRAS</t>
  </si>
  <si>
    <t>VEIGA (A)</t>
  </si>
  <si>
    <t>VEREA</t>
  </si>
  <si>
    <t>VERIN</t>
  </si>
  <si>
    <t>VIANA DO BOLO</t>
  </si>
  <si>
    <t>VILAMARIN</t>
  </si>
  <si>
    <t>VILAMARTIN DE VALDEORRAS</t>
  </si>
  <si>
    <t>VILAR DE BARRIO</t>
  </si>
  <si>
    <t>VILAR DE SANTOS</t>
  </si>
  <si>
    <t>VILARDEVOS</t>
  </si>
  <si>
    <t>VILARIÑO DE CONSO</t>
  </si>
  <si>
    <t>XINZO DE LIMIA</t>
  </si>
  <si>
    <t>XUNQUEIRA DE AMBIA</t>
  </si>
  <si>
    <t>XUNQUEIRA DE ESPADANEDO</t>
  </si>
  <si>
    <t>BARRO</t>
  </si>
  <si>
    <t>Pontevedra</t>
  </si>
  <si>
    <t>BUEU</t>
  </si>
  <si>
    <t>CALDAS DE REIS</t>
  </si>
  <si>
    <t>CAMBADOS</t>
  </si>
  <si>
    <t>CAMPO LAMEIRO</t>
  </si>
  <si>
    <t>CATOIRA</t>
  </si>
  <si>
    <t>CERDEDO-COTOBADE</t>
  </si>
  <si>
    <t>CUNTIS</t>
  </si>
  <si>
    <t>FORCAREI</t>
  </si>
  <si>
    <t>GROVE O</t>
  </si>
  <si>
    <t>ILLA DE AROUSA</t>
  </si>
  <si>
    <t>LAMA A</t>
  </si>
  <si>
    <t>MARIN</t>
  </si>
  <si>
    <t>MEAÑO</t>
  </si>
  <si>
    <t>MEIS</t>
  </si>
  <si>
    <t>MORAÑA</t>
  </si>
  <si>
    <t>POIO</t>
  </si>
  <si>
    <t>PONTE-CALDELAS</t>
  </si>
  <si>
    <t>PONTEVEDRA</t>
  </si>
  <si>
    <t>PORTAS</t>
  </si>
  <si>
    <t>RIBADUMIA</t>
  </si>
  <si>
    <t>SANXENXO</t>
  </si>
  <si>
    <t>SOUTOMAIOR</t>
  </si>
  <si>
    <t>VILABOA</t>
  </si>
  <si>
    <t>VILAGARCIA DE AROUSA</t>
  </si>
  <si>
    <t>VILANOVA DE AROUSA</t>
  </si>
  <si>
    <t>AMES</t>
  </si>
  <si>
    <t>ARZUA</t>
  </si>
  <si>
    <t>BAÑA (A)</t>
  </si>
  <si>
    <t>BOIMORTO</t>
  </si>
  <si>
    <t>BOIRO</t>
  </si>
  <si>
    <t>BOQUEIXON</t>
  </si>
  <si>
    <t>BRION</t>
  </si>
  <si>
    <t>CARNOTA</t>
  </si>
  <si>
    <t>DODRO</t>
  </si>
  <si>
    <t>FRADES</t>
  </si>
  <si>
    <t>LOUSAME</t>
  </si>
  <si>
    <t>MAZARICOS</t>
  </si>
  <si>
    <t>MELIDE</t>
  </si>
  <si>
    <t>MESIA</t>
  </si>
  <si>
    <t>MUROS</t>
  </si>
  <si>
    <t>NEGREIRA</t>
  </si>
  <si>
    <t>NOIA</t>
  </si>
  <si>
    <t>ORDES</t>
  </si>
  <si>
    <t>OROSO</t>
  </si>
  <si>
    <t>OUTES</t>
  </si>
  <si>
    <t>PADRON</t>
  </si>
  <si>
    <t>PINO (O)</t>
  </si>
  <si>
    <t>POBRA DO CARAMIÑAL A</t>
  </si>
  <si>
    <t>PORTO DO SON</t>
  </si>
  <si>
    <t>RIANXO</t>
  </si>
  <si>
    <t>RIBEIRA</t>
  </si>
  <si>
    <t>ROIS</t>
  </si>
  <si>
    <t>SANTA COMBA</t>
  </si>
  <si>
    <t>SANTIAGO DE COMPOSTELA</t>
  </si>
  <si>
    <t>SANTISO</t>
  </si>
  <si>
    <t>TEO</t>
  </si>
  <si>
    <t>TOQUES</t>
  </si>
  <si>
    <t>TORDOIA</t>
  </si>
  <si>
    <t>TOURO</t>
  </si>
  <si>
    <t>TRAZO</t>
  </si>
  <si>
    <t>VAL DO DUBRA</t>
  </si>
  <si>
    <t>VEDRA</t>
  </si>
  <si>
    <t>AGOLADA</t>
  </si>
  <si>
    <t>DOZON</t>
  </si>
  <si>
    <t>ESTRADA A</t>
  </si>
  <si>
    <t>LALIN</t>
  </si>
  <si>
    <t>PONTECESURES</t>
  </si>
  <si>
    <t>RODEIRO</t>
  </si>
  <si>
    <t>SILLEDA</t>
  </si>
  <si>
    <t>VALGA</t>
  </si>
  <si>
    <t>VILA DE CRUCES</t>
  </si>
  <si>
    <t>ARBO</t>
  </si>
  <si>
    <t>BAIONA</t>
  </si>
  <si>
    <t>CANGAS</t>
  </si>
  <si>
    <t>CAÑIZA (A)</t>
  </si>
  <si>
    <t>COVELO (O)</t>
  </si>
  <si>
    <t>CRECENTE</t>
  </si>
  <si>
    <t>FORNELOS DE MONTES</t>
  </si>
  <si>
    <t>GONDOMAR</t>
  </si>
  <si>
    <t>GUARDA (A)</t>
  </si>
  <si>
    <t>MOAÑA</t>
  </si>
  <si>
    <t>MONDARIZ</t>
  </si>
  <si>
    <t>MONDARIZ-BALNEARIO</t>
  </si>
  <si>
    <t>MOS</t>
  </si>
  <si>
    <t>NEVES (AS)</t>
  </si>
  <si>
    <t>NIGRAN</t>
  </si>
  <si>
    <t>OIA</t>
  </si>
  <si>
    <t>PAZOS DE BORBEN</t>
  </si>
  <si>
    <t>PONTEAREAS</t>
  </si>
  <si>
    <t>PORRIÑO (O)</t>
  </si>
  <si>
    <t>REDONDELA</t>
  </si>
  <si>
    <t>ROSAL (O)</t>
  </si>
  <si>
    <t>SALCEDA DE CASELAS</t>
  </si>
  <si>
    <t>SALVATERRA DE MIÑO</t>
  </si>
  <si>
    <t>TOMIÑO</t>
  </si>
  <si>
    <t>TUI</t>
  </si>
  <si>
    <t>VIGO</t>
  </si>
  <si>
    <t>Row Labels</t>
  </si>
  <si>
    <t>Grand Total</t>
  </si>
  <si>
    <t>2020/12/24</t>
  </si>
  <si>
    <t>2020/12/25</t>
  </si>
  <si>
    <t>2020/12/26</t>
  </si>
  <si>
    <t>2020/12/27</t>
  </si>
  <si>
    <t>2020/12/28</t>
  </si>
  <si>
    <t>2020/12/29</t>
  </si>
  <si>
    <t>2020/12/30</t>
  </si>
  <si>
    <t>2020/12/31</t>
  </si>
  <si>
    <t>2021/01/01</t>
  </si>
  <si>
    <t>2021/01/02</t>
  </si>
  <si>
    <t>2021/01/03</t>
  </si>
  <si>
    <t>2021/01/04</t>
  </si>
  <si>
    <t>2021/01/05</t>
  </si>
  <si>
    <t>2021/01/06</t>
  </si>
  <si>
    <t>Casos_Totais</t>
  </si>
  <si>
    <t>Casos_Confirmados_PCR_Ultimas24h</t>
  </si>
  <si>
    <t>Pacientes_Sin_Alta</t>
  </si>
  <si>
    <t>Pacientes_Con_Alta</t>
  </si>
  <si>
    <t>Camas_Ocupadas_HOS</t>
  </si>
  <si>
    <t>Camas_Ocupadas_UCI</t>
  </si>
  <si>
    <t>Probas_Realizadas_PCR</t>
  </si>
  <si>
    <t>Probas_Realizadas_Non_PCR</t>
  </si>
  <si>
    <t>Ayer</t>
  </si>
  <si>
    <t>Hoy</t>
  </si>
  <si>
    <t>2020/12/23</t>
  </si>
  <si>
    <t>Camas UCI</t>
  </si>
  <si>
    <t>2020/12/05</t>
  </si>
  <si>
    <t>2020/12/06</t>
  </si>
  <si>
    <t>2020/12/07</t>
  </si>
  <si>
    <t>2020/12/08</t>
  </si>
  <si>
    <t>2020/12/09</t>
  </si>
  <si>
    <t>2020/12/10</t>
  </si>
  <si>
    <t>2020/12/11</t>
  </si>
  <si>
    <t>2020/12/12</t>
  </si>
  <si>
    <t>2020/12/13</t>
  </si>
  <si>
    <t>2020/12/14</t>
  </si>
  <si>
    <t>2020/12/15</t>
  </si>
  <si>
    <t>2020/12/16</t>
  </si>
  <si>
    <t>2020/12/17</t>
  </si>
  <si>
    <t>2020/12/18</t>
  </si>
  <si>
    <t>2020/12/19</t>
  </si>
  <si>
    <t>2020/12/20</t>
  </si>
  <si>
    <t>2020/12/21</t>
  </si>
  <si>
    <t>2020/12/22</t>
  </si>
  <si>
    <t>2021/01/07</t>
  </si>
  <si>
    <t>Dia</t>
  </si>
  <si>
    <t>TotalNuevosCasos</t>
  </si>
  <si>
    <t>IncrementoActivos</t>
  </si>
  <si>
    <t>PCR_Dia</t>
  </si>
  <si>
    <t>Serologicas_Dia</t>
  </si>
  <si>
    <t>Pruebas_Dia</t>
  </si>
  <si>
    <t>Positividad</t>
  </si>
  <si>
    <t>Nuevos Casos</t>
  </si>
  <si>
    <t>Camas Hosp</t>
  </si>
  <si>
    <t>Pruebas</t>
  </si>
  <si>
    <t>2021/01/08</t>
  </si>
  <si>
    <t>2021/01/09</t>
  </si>
  <si>
    <t>2021/01/10</t>
  </si>
  <si>
    <t>2021/01/11</t>
  </si>
  <si>
    <t>población</t>
  </si>
  <si>
    <t>2021/01/12</t>
  </si>
  <si>
    <t>2021/01/13</t>
  </si>
  <si>
    <t>2021/01/14</t>
  </si>
  <si>
    <t>2021/01/15</t>
  </si>
  <si>
    <t>2021/01/16</t>
  </si>
  <si>
    <t>2021/01/17</t>
  </si>
  <si>
    <t>2021/01/18</t>
  </si>
  <si>
    <t>2021/01/19</t>
  </si>
  <si>
    <t>2021/01/20</t>
  </si>
  <si>
    <t>Casos Activos</t>
  </si>
  <si>
    <t>historico_CifrasTotales.Casos_Confirmados_PCR_Ultimas24h</t>
  </si>
  <si>
    <t>historico_CifrasTotales.Pacientes_Sin_Alta</t>
  </si>
  <si>
    <t>historico_CifrasTotales.Pacientes_Con_Alta</t>
  </si>
  <si>
    <t>historico_CifrasTotales.Camas_Ocupadas_HOS</t>
  </si>
  <si>
    <t>historico_CifrasTotales.Camas_Ocupadas_UCI</t>
  </si>
  <si>
    <t>historico_CifrasTotales.Probas_Realizadas_PCR</t>
  </si>
  <si>
    <t>historico_CifrasTotales.Probas_Realizadas_Non_PCR</t>
  </si>
  <si>
    <t>ActivosRatioIncremento</t>
  </si>
  <si>
    <t>FechaOrd</t>
  </si>
  <si>
    <t>2021/01/21</t>
  </si>
  <si>
    <t>FallecidosAcum</t>
  </si>
  <si>
    <t>FallecidosAcumOld</t>
  </si>
  <si>
    <t>NuevosCasos</t>
  </si>
  <si>
    <t>IncrementoPacientesPlanta</t>
  </si>
  <si>
    <t>IncrementoPacientesUCI</t>
  </si>
  <si>
    <t>IncFallecidos</t>
  </si>
  <si>
    <t>Column Labels</t>
  </si>
  <si>
    <t>Ratio Incremento Activos</t>
  </si>
  <si>
    <t>CamasRatioIncremento</t>
  </si>
  <si>
    <t>UciRatioIncremento</t>
  </si>
  <si>
    <t>Ratio Incremento UCI</t>
  </si>
  <si>
    <t>Ratio Incremento Hospital</t>
  </si>
  <si>
    <t>Total Fallecidos</t>
  </si>
  <si>
    <t>Fallecidos</t>
  </si>
  <si>
    <t>Total Camas Ocupadas</t>
  </si>
  <si>
    <t>Camas Ocupadas</t>
  </si>
  <si>
    <t>Total Camas UCI Ocupadas</t>
  </si>
  <si>
    <t>Camas UCI Ocupadas</t>
  </si>
  <si>
    <t>2021/01/22</t>
  </si>
  <si>
    <t>2021/01/23</t>
  </si>
  <si>
    <t>NuevasAltas</t>
  </si>
  <si>
    <t>DiaSemana</t>
  </si>
  <si>
    <t>Seguimiento de valores promedio por día semana</t>
  </si>
  <si>
    <t>sábado</t>
  </si>
  <si>
    <t>domingo</t>
  </si>
  <si>
    <t>lunes</t>
  </si>
  <si>
    <t>martes</t>
  </si>
  <si>
    <t>miércoles</t>
  </si>
  <si>
    <t>jueves</t>
  </si>
  <si>
    <t>viernes</t>
  </si>
  <si>
    <t>Área Sanitaria</t>
  </si>
  <si>
    <t>Promedio de nuevos casos por día de la semana</t>
  </si>
  <si>
    <t>Rango</t>
  </si>
  <si>
    <t>a</t>
  </si>
  <si>
    <t>Promedio de pruebas (PCR + otras) por día de la semana</t>
  </si>
  <si>
    <t>Altas/Nuevos (-14)</t>
  </si>
  <si>
    <t>Previsión Altas</t>
  </si>
  <si>
    <t>Error Prev</t>
  </si>
  <si>
    <t>2021/01/24</t>
  </si>
  <si>
    <t>2021/01/25</t>
  </si>
  <si>
    <t>2021/01/26</t>
  </si>
  <si>
    <t>Nuevos 7 dias</t>
  </si>
  <si>
    <t>Nuevos 14 dias</t>
  </si>
  <si>
    <t>IA7 Norm</t>
  </si>
  <si>
    <t>IA14 Norm</t>
  </si>
  <si>
    <t>IA 14 Normalizada</t>
  </si>
  <si>
    <t>IA 7 Normalizada</t>
  </si>
  <si>
    <t>2021/01/27</t>
  </si>
  <si>
    <t>(All)</t>
  </si>
  <si>
    <t>2021/01/28</t>
  </si>
  <si>
    <t>2021/01/29</t>
  </si>
  <si>
    <t>2021/01/30</t>
  </si>
  <si>
    <t>2021/01/31</t>
  </si>
  <si>
    <t>Total Nuevas Altas</t>
  </si>
  <si>
    <t>Nuevas Altas</t>
  </si>
  <si>
    <t>Total Nuevos Casos</t>
  </si>
  <si>
    <t>2021/02/01</t>
  </si>
  <si>
    <t>2021/02/02</t>
  </si>
  <si>
    <t>2021/02/03</t>
  </si>
  <si>
    <t>2021/02/04</t>
  </si>
  <si>
    <t>2021/02/05</t>
  </si>
  <si>
    <t>2021/02/06</t>
  </si>
  <si>
    <t>2021/02/07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</si>
</sst>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
  </numFmts>
  <fonts count="6" x14ac:knownFonts="1">
    <font>
      <sz val="11"/>
      <color theme="1"/>
      <name val="Calibri"/>
      <family val="2"/>
      <scheme val="minor"/>
    </font>
    <font>
      <b/>
      <sz val="11"/>
      <color theme="0"/>
      <name val="Calibri"/>
      <family val="2"/>
      <scheme val="minor"/>
    </font>
    <font>
      <sz val="11"/>
      <color indexed="8"/>
      <name val="Calibri"/>
      <family val="2"/>
      <scheme val="minor"/>
    </font>
    <font>
      <sz val="8"/>
      <name val="Calibri"/>
      <family val="2"/>
      <scheme val="minor"/>
    </font>
    <font>
      <sz val="11"/>
      <color theme="0"/>
      <name val="Calibri"/>
      <family val="2"/>
      <scheme val="minor"/>
    </font>
    <font>
      <sz val="11"/>
      <color theme="1"/>
      <name val="Calibri"/>
      <family val="2"/>
      <scheme val="minor"/>
    </font>
  </fonts>
  <fills count="7">
    <fill>
      <patternFill patternType="none"/>
    </fill>
    <fill>
      <patternFill patternType="gray125"/>
    </fill>
    <fill>
      <patternFill patternType="solid">
        <fgColor theme="8" tint="-0.249977111117893"/>
        <bgColor theme="4"/>
      </patternFill>
    </fill>
    <fill>
      <patternFill patternType="solid">
        <fgColor theme="0"/>
        <bgColor theme="4" tint="0.79998168889431442"/>
      </patternFill>
    </fill>
    <fill>
      <patternFill patternType="solid">
        <fgColor theme="0"/>
        <bgColor indexed="64"/>
      </patternFill>
    </fill>
    <fill>
      <patternFill patternType="solid">
        <fgColor theme="8" tint="-0.249977111117893"/>
        <bgColor indexed="64"/>
      </patternFill>
    </fill>
    <fill>
      <patternFill patternType="solid">
        <fgColor theme="9" tint="-0.499984740745262"/>
        <bgColor indexed="64"/>
      </patternFill>
    </fill>
  </fills>
  <borders count="3">
    <border>
      <left/>
      <right/>
      <top/>
      <bottom/>
      <diagonal/>
    </border>
    <border>
      <left/>
      <right/>
      <top style="thin">
        <color theme="4" tint="0.39997558519241921"/>
      </top>
      <bottom/>
      <diagonal/>
    </border>
    <border>
      <left style="thin">
        <color indexed="64"/>
      </left>
      <right style="thin">
        <color indexed="64"/>
      </right>
      <top style="thin">
        <color indexed="64"/>
      </top>
      <bottom style="thin">
        <color indexed="64"/>
      </bottom>
      <diagonal/>
    </border>
  </borders>
  <cellStyleXfs count="3">
    <xf numFmtId="0" fontId="0" fillId="0" borderId="0"/>
    <xf numFmtId="0" fontId="2" fillId="0" borderId="0"/>
    <xf numFmtId="9" fontId="5" fillId="0" borderId="0" applyFont="0" applyFill="0" applyBorder="0" applyAlignment="0" applyProtection="0"/>
  </cellStyleXfs>
  <cellXfs count="29">
    <xf numFmtId="0" fontId="0" fillId="0" borderId="0" xfId="0"/>
    <xf numFmtId="14" fontId="0" fillId="0" borderId="0" xfId="0" applyNumberFormat="1"/>
    <xf numFmtId="0" fontId="0" fillId="0" borderId="0" xfId="0" applyNumberFormat="1"/>
    <xf numFmtId="0" fontId="1" fillId="2" borderId="0" xfId="1" applyFont="1" applyFill="1" applyAlignment="1">
      <alignment vertical="top" wrapText="1"/>
    </xf>
    <xf numFmtId="3" fontId="1" fillId="2" borderId="0" xfId="1" applyNumberFormat="1" applyFont="1" applyFill="1" applyAlignment="1">
      <alignment vertical="top" wrapText="1"/>
    </xf>
    <xf numFmtId="0" fontId="2" fillId="3" borderId="1" xfId="1" applyFill="1" applyBorder="1"/>
    <xf numFmtId="3" fontId="2" fillId="3" borderId="1" xfId="1" applyNumberFormat="1" applyFill="1" applyBorder="1"/>
    <xf numFmtId="0" fontId="2" fillId="4" borderId="1" xfId="1" applyFill="1" applyBorder="1"/>
    <xf numFmtId="3" fontId="2" fillId="4" borderId="1" xfId="1" applyNumberFormat="1" applyFill="1" applyBorder="1"/>
    <xf numFmtId="0" fontId="2" fillId="0" borderId="0" xfId="1"/>
    <xf numFmtId="3" fontId="2" fillId="0" borderId="0" xfId="1" applyNumberFormat="1"/>
    <xf numFmtId="0" fontId="0" fillId="0" borderId="0" xfId="0" pivotButton="1"/>
    <xf numFmtId="0" fontId="0" fillId="0" borderId="0" xfId="0" applyAlignment="1">
      <alignment horizontal="left"/>
    </xf>
    <xf numFmtId="14" fontId="0" fillId="0" borderId="0" xfId="0" applyNumberFormat="1" applyAlignment="1">
      <alignment horizontal="left"/>
    </xf>
    <xf numFmtId="4" fontId="0" fillId="0" borderId="0" xfId="0" applyNumberFormat="1"/>
    <xf numFmtId="3" fontId="0" fillId="0" borderId="0" xfId="0" applyNumberFormat="1"/>
    <xf numFmtId="0" fontId="0" fillId="0" borderId="2" xfId="0" applyBorder="1"/>
    <xf numFmtId="0" fontId="4" fillId="5" borderId="0" xfId="0" applyFont="1" applyFill="1"/>
    <xf numFmtId="0" fontId="4" fillId="5" borderId="2" xfId="0" applyFont="1" applyFill="1" applyBorder="1"/>
    <xf numFmtId="0" fontId="0" fillId="0" borderId="0" xfId="0" applyAlignment="1">
      <alignment horizontal="center"/>
    </xf>
    <xf numFmtId="0" fontId="4" fillId="5" borderId="2" xfId="0" applyFont="1" applyFill="1" applyBorder="1" applyAlignment="1">
      <alignment horizontal="center"/>
    </xf>
    <xf numFmtId="4" fontId="0" fillId="0" borderId="2" xfId="0" applyNumberFormat="1" applyBorder="1" applyAlignment="1">
      <alignment horizontal="center"/>
    </xf>
    <xf numFmtId="0" fontId="4" fillId="5" borderId="0" xfId="0" applyFont="1" applyFill="1" applyAlignment="1">
      <alignment horizontal="center"/>
    </xf>
    <xf numFmtId="14" fontId="4" fillId="5" borderId="0" xfId="0" applyNumberFormat="1" applyFont="1" applyFill="1" applyAlignment="1">
      <alignment horizontal="center"/>
    </xf>
    <xf numFmtId="4" fontId="0" fillId="0" borderId="0" xfId="0" applyNumberFormat="1" applyAlignment="1">
      <alignment horizontal="center"/>
    </xf>
    <xf numFmtId="0" fontId="4" fillId="6" borderId="0" xfId="0" applyFont="1" applyFill="1"/>
    <xf numFmtId="0" fontId="4" fillId="6" borderId="0" xfId="0" applyFont="1" applyFill="1" applyAlignment="1">
      <alignment horizontal="center"/>
    </xf>
    <xf numFmtId="164" fontId="0" fillId="0" borderId="0" xfId="0" applyNumberFormat="1"/>
    <xf numFmtId="10" fontId="0" fillId="0" borderId="0" xfId="2" applyNumberFormat="1" applyFont="1"/>
  </cellXfs>
  <cellStyles count="3">
    <cellStyle name="Normal" xfId="0" builtinId="0"/>
    <cellStyle name="Normal 2" xfId="1" xr:uid="{247A11CA-E339-47C8-8885-14BFCCEECB18}"/>
    <cellStyle name="Percent" xfId="2" builtinId="5"/>
  </cellStyles>
  <dxfs count="57">
    <dxf>
      <numFmt numFmtId="4" formatCode="#,##0.00"/>
    </dxf>
    <dxf>
      <numFmt numFmtId="4" formatCode="#,##0.00"/>
    </dxf>
    <dxf>
      <numFmt numFmtId="4" formatCode="#,##0.00"/>
    </dxf>
    <dxf>
      <numFmt numFmtId="4" formatCode="#,##0.00"/>
    </dxf>
    <dxf>
      <numFmt numFmtId="4" formatCode="#,##0.00"/>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4" formatCode="#,##0.00"/>
    </dxf>
    <dxf>
      <numFmt numFmtId="4" formatCode="#,##0.00"/>
      <alignment horizontal="center" vertical="bottom" textRotation="0" wrapText="0" indent="0" justifyLastLine="0" shrinkToFit="0" readingOrder="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0" formatCode="General"/>
    </dxf>
    <dxf>
      <numFmt numFmtId="19" formatCode="dd/mm/yyyy"/>
    </dxf>
    <dxf>
      <fill>
        <patternFill>
          <bgColor theme="8" tint="0.79998168889431442"/>
        </patternFill>
      </fill>
    </dxf>
    <dxf>
      <numFmt numFmtId="0" formatCode="General"/>
    </dxf>
    <dxf>
      <font>
        <b val="0"/>
        <i val="0"/>
        <strike val="0"/>
        <condense val="0"/>
        <extend val="0"/>
        <outline val="0"/>
        <shadow val="0"/>
        <u val="none"/>
        <vertAlign val="baseline"/>
        <sz val="11"/>
        <color indexed="8"/>
        <name val="Calibri"/>
        <family val="2"/>
        <scheme val="minor"/>
      </font>
      <numFmt numFmtId="3" formatCode="#,##0"/>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border outline="0">
        <left style="thin">
          <color theme="4" tint="0.39997558519241921"/>
        </left>
        <top style="thin">
          <color theme="4" tint="0.39997558519241921"/>
        </top>
        <bottom style="thin">
          <color theme="4" tint="0.39997558519241921"/>
        </bottom>
      </border>
    </dxf>
    <dxf>
      <font>
        <b val="0"/>
        <i val="0"/>
        <strike val="0"/>
        <condense val="0"/>
        <extend val="0"/>
        <outline val="0"/>
        <shadow val="0"/>
        <u val="none"/>
        <vertAlign val="baseline"/>
        <sz val="11"/>
        <color indexed="8"/>
        <name val="Calibri"/>
        <family val="2"/>
        <scheme val="minor"/>
      </font>
      <fill>
        <patternFill patternType="solid">
          <fgColor theme="4" tint="0.79998168889431442"/>
          <bgColor theme="0"/>
        </patternFill>
      </fill>
      <alignment horizontal="general" vertical="bottom" textRotation="0" wrapText="0" indent="0" justifyLastLine="0" shrinkToFit="0" readingOrder="0"/>
    </dxf>
    <dxf>
      <numFmt numFmtId="4" formatCode="#,##0.00"/>
    </dxf>
    <dxf>
      <numFmt numFmtId="4" formatCode="#,##0.00"/>
    </dxf>
    <dxf>
      <numFmt numFmtId="4" formatCode="#,##0.00"/>
    </dxf>
    <dxf>
      <numFmt numFmtId="4" formatCode="#,##0.00"/>
    </dxf>
    <dxf>
      <numFmt numFmtId="4" formatCode="#,##0.0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pivotCacheDefinition" Target="pivotCache/pivotCacheDefinition1.xml"/><Relationship Id="rId39" Type="http://schemas.microsoft.com/office/2007/relationships/slicerCache" Target="slicerCaches/slicerCache4.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pivotCacheDefinition" Target="pivotCache/pivotCacheDefinition9.xml"/><Relationship Id="rId42" Type="http://schemas.openxmlformats.org/officeDocument/2006/relationships/connections" Target="connections.xml"/><Relationship Id="rId47" Type="http://schemas.openxmlformats.org/officeDocument/2006/relationships/calcChain" Target="calcChain.xml"/><Relationship Id="rId50"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pivotCacheDefinition" Target="pivotCache/pivotCacheDefinition8.xml"/><Relationship Id="rId38" Type="http://schemas.microsoft.com/office/2007/relationships/slicerCache" Target="slicerCaches/slicerCache3.xml"/><Relationship Id="rId46" Type="http://schemas.openxmlformats.org/officeDocument/2006/relationships/powerPivotData" Target="model/item.data"/><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pivotCacheDefinition" Target="pivotCache/pivotCacheDefinition4.xml"/><Relationship Id="rId41" Type="http://schemas.openxmlformats.org/officeDocument/2006/relationships/theme" Target="theme/theme1.xml"/><Relationship Id="rId54"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pivotCacheDefinition" Target="pivotCache/pivotCacheDefinition7.xml"/><Relationship Id="rId37" Type="http://schemas.microsoft.com/office/2007/relationships/slicerCache" Target="slicerCaches/slicerCache2.xml"/><Relationship Id="rId40" Type="http://schemas.microsoft.com/office/2011/relationships/timelineCache" Target="timelineCaches/timelineCache1.xml"/><Relationship Id="rId45" Type="http://schemas.openxmlformats.org/officeDocument/2006/relationships/sheetMetadata" Target="metadata.xml"/><Relationship Id="rId53" Type="http://schemas.openxmlformats.org/officeDocument/2006/relationships/customXml" Target="../customXml/item6.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pivotCacheDefinition" Target="pivotCache/pivotCacheDefinition3.xml"/><Relationship Id="rId36" Type="http://schemas.microsoft.com/office/2007/relationships/slicerCache" Target="slicerCaches/slicerCache1.xml"/><Relationship Id="rId49"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pivotCacheDefinition" Target="pivotCache/pivotCacheDefinition6.xml"/><Relationship Id="rId44" Type="http://schemas.openxmlformats.org/officeDocument/2006/relationships/sharedStrings" Target="sharedStrings.xml"/><Relationship Id="rId52" Type="http://schemas.openxmlformats.org/officeDocument/2006/relationships/customXml" Target="../customXml/item5.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pivotCacheDefinition" Target="pivotCache/pivotCacheDefinition2.xml"/><Relationship Id="rId30" Type="http://schemas.openxmlformats.org/officeDocument/2006/relationships/pivotCacheDefinition" Target="pivotCache/pivotCacheDefinition5.xml"/><Relationship Id="rId35" Type="http://schemas.openxmlformats.org/officeDocument/2006/relationships/pivotCacheDefinition" Target="pivotCache/pivotCacheDefinition10.xml"/><Relationship Id="rId43" Type="http://schemas.openxmlformats.org/officeDocument/2006/relationships/styles" Target="styles.xml"/><Relationship Id="rId48" Type="http://schemas.openxmlformats.org/officeDocument/2006/relationships/customXml" Target="../customXml/item1.xml"/><Relationship Id="rId8" Type="http://schemas.openxmlformats.org/officeDocument/2006/relationships/worksheet" Target="worksheets/sheet8.xml"/><Relationship Id="rId51" Type="http://schemas.openxmlformats.org/officeDocument/2006/relationships/customXml" Target="../customXml/item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[SeguimientoIncidenciaArea.xlsm]GrafCoruna!GrafCoruna</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Coruña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GrafCoruna!$H$30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GrafCoruna!$D$31:$D$96</c:f>
              <c:strCache>
                <c:ptCount val="65"/>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strCache>
            </c:strRef>
          </c:cat>
          <c:val>
            <c:numRef>
              <c:f>GrafCoruna!$H$31:$H$96</c:f>
              <c:numCache>
                <c:formatCode>General</c:formatCode>
                <c:ptCount val="65"/>
                <c:pt idx="0">
                  <c:v>1114</c:v>
                </c:pt>
                <c:pt idx="1">
                  <c:v>824</c:v>
                </c:pt>
                <c:pt idx="2">
                  <c:v>614</c:v>
                </c:pt>
                <c:pt idx="3">
                  <c:v>1481</c:v>
                </c:pt>
                <c:pt idx="4">
                  <c:v>898</c:v>
                </c:pt>
                <c:pt idx="5">
                  <c:v>1554</c:v>
                </c:pt>
                <c:pt idx="6">
                  <c:v>1672</c:v>
                </c:pt>
                <c:pt idx="7">
                  <c:v>1260</c:v>
                </c:pt>
                <c:pt idx="8">
                  <c:v>809</c:v>
                </c:pt>
                <c:pt idx="9">
                  <c:v>515</c:v>
                </c:pt>
                <c:pt idx="10">
                  <c:v>1220</c:v>
                </c:pt>
                <c:pt idx="11">
                  <c:v>1069</c:v>
                </c:pt>
                <c:pt idx="12">
                  <c:v>975</c:v>
                </c:pt>
                <c:pt idx="13">
                  <c:v>1473</c:v>
                </c:pt>
                <c:pt idx="14">
                  <c:v>962</c:v>
                </c:pt>
                <c:pt idx="15">
                  <c:v>1114</c:v>
                </c:pt>
                <c:pt idx="16">
                  <c:v>789</c:v>
                </c:pt>
                <c:pt idx="17">
                  <c:v>1902</c:v>
                </c:pt>
                <c:pt idx="18">
                  <c:v>2880</c:v>
                </c:pt>
                <c:pt idx="19">
                  <c:v>2461</c:v>
                </c:pt>
                <c:pt idx="20">
                  <c:v>1231</c:v>
                </c:pt>
                <c:pt idx="21">
                  <c:v>404</c:v>
                </c:pt>
                <c:pt idx="22">
                  <c:v>1214</c:v>
                </c:pt>
                <c:pt idx="23">
                  <c:v>827</c:v>
                </c:pt>
                <c:pt idx="24">
                  <c:v>1445</c:v>
                </c:pt>
                <c:pt idx="25">
                  <c:v>1614</c:v>
                </c:pt>
                <c:pt idx="26">
                  <c:v>1455</c:v>
                </c:pt>
                <c:pt idx="27">
                  <c:v>1205</c:v>
                </c:pt>
                <c:pt idx="28">
                  <c:v>711</c:v>
                </c:pt>
                <c:pt idx="29">
                  <c:v>945</c:v>
                </c:pt>
                <c:pt idx="30">
                  <c:v>633</c:v>
                </c:pt>
                <c:pt idx="31">
                  <c:v>1505</c:v>
                </c:pt>
                <c:pt idx="32">
                  <c:v>1227</c:v>
                </c:pt>
                <c:pt idx="33">
                  <c:v>1057</c:v>
                </c:pt>
                <c:pt idx="34">
                  <c:v>1762</c:v>
                </c:pt>
                <c:pt idx="35">
                  <c:v>1489</c:v>
                </c:pt>
                <c:pt idx="36">
                  <c:v>1255</c:v>
                </c:pt>
                <c:pt idx="37">
                  <c:v>1273</c:v>
                </c:pt>
                <c:pt idx="38">
                  <c:v>2002</c:v>
                </c:pt>
                <c:pt idx="39">
                  <c:v>2662</c:v>
                </c:pt>
                <c:pt idx="40">
                  <c:v>2776</c:v>
                </c:pt>
                <c:pt idx="41">
                  <c:v>2497</c:v>
                </c:pt>
                <c:pt idx="42">
                  <c:v>2303</c:v>
                </c:pt>
                <c:pt idx="43">
                  <c:v>1788</c:v>
                </c:pt>
                <c:pt idx="44">
                  <c:v>1717</c:v>
                </c:pt>
                <c:pt idx="45">
                  <c:v>3016</c:v>
                </c:pt>
                <c:pt idx="46">
                  <c:v>3934</c:v>
                </c:pt>
                <c:pt idx="47">
                  <c:v>3303</c:v>
                </c:pt>
                <c:pt idx="48">
                  <c:v>4125</c:v>
                </c:pt>
                <c:pt idx="49">
                  <c:v>3697</c:v>
                </c:pt>
                <c:pt idx="50">
                  <c:v>2537</c:v>
                </c:pt>
                <c:pt idx="51">
                  <c:v>2265</c:v>
                </c:pt>
                <c:pt idx="52">
                  <c:v>3500</c:v>
                </c:pt>
                <c:pt idx="53">
                  <c:v>4480</c:v>
                </c:pt>
                <c:pt idx="54">
                  <c:v>4965</c:v>
                </c:pt>
                <c:pt idx="55">
                  <c:v>4891</c:v>
                </c:pt>
                <c:pt idx="56">
                  <c:v>6446</c:v>
                </c:pt>
                <c:pt idx="57">
                  <c:v>5929</c:v>
                </c:pt>
                <c:pt idx="58">
                  <c:v>4870</c:v>
                </c:pt>
                <c:pt idx="59">
                  <c:v>6227</c:v>
                </c:pt>
                <c:pt idx="60">
                  <c:v>7133</c:v>
                </c:pt>
                <c:pt idx="61">
                  <c:v>6752</c:v>
                </c:pt>
                <c:pt idx="62">
                  <c:v>9935</c:v>
                </c:pt>
                <c:pt idx="63">
                  <c:v>7587</c:v>
                </c:pt>
                <c:pt idx="64">
                  <c:v>8093</c:v>
                </c:pt>
              </c:numCache>
            </c:numRef>
          </c:val>
          <c:extLst>
            <c:ext xmlns:c16="http://schemas.microsoft.com/office/drawing/2014/chart" uri="{C3380CC4-5D6E-409C-BE32-E72D297353CC}">
              <c16:uniqueId val="{00000000-A728-4623-91BC-E5DAF2D02C45}"/>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GrafCoruna!$E$30</c:f>
              <c:strCache>
                <c:ptCount val="1"/>
                <c:pt idx="0">
                  <c:v>Nuevos Casos</c:v>
                </c:pt>
              </c:strCache>
            </c:strRef>
          </c:tx>
          <c:spPr>
            <a:ln w="28575" cap="rnd">
              <a:solidFill>
                <a:schemeClr val="accent1"/>
              </a:solidFill>
              <a:round/>
            </a:ln>
            <a:effectLst/>
          </c:spPr>
          <c:marker>
            <c:symbol val="none"/>
          </c:marker>
          <c:cat>
            <c:strRef>
              <c:f>GrafCoruna!$D$31:$D$96</c:f>
              <c:strCache>
                <c:ptCount val="65"/>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strCache>
            </c:strRef>
          </c:cat>
          <c:val>
            <c:numRef>
              <c:f>GrafCoruna!$E$31:$E$96</c:f>
              <c:numCache>
                <c:formatCode>General</c:formatCode>
                <c:ptCount val="65"/>
                <c:pt idx="0">
                  <c:v>40</c:v>
                </c:pt>
                <c:pt idx="1">
                  <c:v>53</c:v>
                </c:pt>
                <c:pt idx="2">
                  <c:v>37</c:v>
                </c:pt>
                <c:pt idx="3">
                  <c:v>47</c:v>
                </c:pt>
                <c:pt idx="4">
                  <c:v>43</c:v>
                </c:pt>
                <c:pt idx="5">
                  <c:v>43</c:v>
                </c:pt>
                <c:pt idx="6">
                  <c:v>51</c:v>
                </c:pt>
                <c:pt idx="7">
                  <c:v>42</c:v>
                </c:pt>
                <c:pt idx="8">
                  <c:v>65</c:v>
                </c:pt>
                <c:pt idx="9">
                  <c:v>21</c:v>
                </c:pt>
                <c:pt idx="10">
                  <c:v>45</c:v>
                </c:pt>
                <c:pt idx="11">
                  <c:v>61</c:v>
                </c:pt>
                <c:pt idx="12">
                  <c:v>44</c:v>
                </c:pt>
                <c:pt idx="13">
                  <c:v>77</c:v>
                </c:pt>
                <c:pt idx="14">
                  <c:v>67</c:v>
                </c:pt>
                <c:pt idx="15">
                  <c:v>53</c:v>
                </c:pt>
                <c:pt idx="16">
                  <c:v>23</c:v>
                </c:pt>
                <c:pt idx="17">
                  <c:v>64</c:v>
                </c:pt>
                <c:pt idx="18">
                  <c:v>60</c:v>
                </c:pt>
                <c:pt idx="19">
                  <c:v>67</c:v>
                </c:pt>
                <c:pt idx="20">
                  <c:v>59</c:v>
                </c:pt>
                <c:pt idx="21">
                  <c:v>36</c:v>
                </c:pt>
                <c:pt idx="22">
                  <c:v>48</c:v>
                </c:pt>
                <c:pt idx="23">
                  <c:v>54</c:v>
                </c:pt>
                <c:pt idx="24">
                  <c:v>121</c:v>
                </c:pt>
                <c:pt idx="25">
                  <c:v>134</c:v>
                </c:pt>
                <c:pt idx="26">
                  <c:v>107</c:v>
                </c:pt>
                <c:pt idx="27">
                  <c:v>118</c:v>
                </c:pt>
                <c:pt idx="28">
                  <c:v>46</c:v>
                </c:pt>
                <c:pt idx="29">
                  <c:v>118</c:v>
                </c:pt>
                <c:pt idx="30">
                  <c:v>86</c:v>
                </c:pt>
                <c:pt idx="31">
                  <c:v>187</c:v>
                </c:pt>
                <c:pt idx="32">
                  <c:v>158</c:v>
                </c:pt>
                <c:pt idx="33">
                  <c:v>151</c:v>
                </c:pt>
                <c:pt idx="34">
                  <c:v>199</c:v>
                </c:pt>
                <c:pt idx="35">
                  <c:v>184</c:v>
                </c:pt>
                <c:pt idx="36">
                  <c:v>158</c:v>
                </c:pt>
                <c:pt idx="37">
                  <c:v>179</c:v>
                </c:pt>
                <c:pt idx="38">
                  <c:v>256</c:v>
                </c:pt>
                <c:pt idx="39">
                  <c:v>298</c:v>
                </c:pt>
                <c:pt idx="40">
                  <c:v>295</c:v>
                </c:pt>
                <c:pt idx="41">
                  <c:v>330</c:v>
                </c:pt>
                <c:pt idx="42">
                  <c:v>360</c:v>
                </c:pt>
                <c:pt idx="43">
                  <c:v>282</c:v>
                </c:pt>
                <c:pt idx="44">
                  <c:v>277</c:v>
                </c:pt>
                <c:pt idx="45">
                  <c:v>435</c:v>
                </c:pt>
                <c:pt idx="46">
                  <c:v>442</c:v>
                </c:pt>
                <c:pt idx="47">
                  <c:v>446</c:v>
                </c:pt>
                <c:pt idx="48">
                  <c:v>549</c:v>
                </c:pt>
                <c:pt idx="49">
                  <c:v>449</c:v>
                </c:pt>
                <c:pt idx="50">
                  <c:v>300</c:v>
                </c:pt>
                <c:pt idx="51">
                  <c:v>347</c:v>
                </c:pt>
                <c:pt idx="52">
                  <c:v>446</c:v>
                </c:pt>
                <c:pt idx="53">
                  <c:v>409</c:v>
                </c:pt>
                <c:pt idx="54">
                  <c:v>365</c:v>
                </c:pt>
                <c:pt idx="55">
                  <c:v>320</c:v>
                </c:pt>
                <c:pt idx="56">
                  <c:v>339</c:v>
                </c:pt>
                <c:pt idx="57">
                  <c:v>214</c:v>
                </c:pt>
                <c:pt idx="58">
                  <c:v>232</c:v>
                </c:pt>
                <c:pt idx="59">
                  <c:v>293</c:v>
                </c:pt>
                <c:pt idx="60">
                  <c:v>297</c:v>
                </c:pt>
                <c:pt idx="61">
                  <c:v>259</c:v>
                </c:pt>
                <c:pt idx="62">
                  <c:v>261</c:v>
                </c:pt>
                <c:pt idx="63">
                  <c:v>285</c:v>
                </c:pt>
                <c:pt idx="64">
                  <c:v>177</c:v>
                </c:pt>
              </c:numCache>
            </c:numRef>
          </c:val>
          <c:smooth val="0"/>
          <c:extLst>
            <c:ext xmlns:c16="http://schemas.microsoft.com/office/drawing/2014/chart" uri="{C3380CC4-5D6E-409C-BE32-E72D297353CC}">
              <c16:uniqueId val="{00000001-A728-4623-91BC-E5DAF2D02C45}"/>
            </c:ext>
          </c:extLst>
        </c:ser>
        <c:ser>
          <c:idx val="1"/>
          <c:order val="1"/>
          <c:tx>
            <c:strRef>
              <c:f>GrafCoruna!$F$30</c:f>
              <c:strCache>
                <c:ptCount val="1"/>
                <c:pt idx="0">
                  <c:v>Camas Hosp</c:v>
                </c:pt>
              </c:strCache>
            </c:strRef>
          </c:tx>
          <c:spPr>
            <a:ln w="28575" cap="rnd">
              <a:solidFill>
                <a:schemeClr val="accent2"/>
              </a:solidFill>
              <a:round/>
            </a:ln>
            <a:effectLst/>
          </c:spPr>
          <c:marker>
            <c:symbol val="none"/>
          </c:marker>
          <c:cat>
            <c:strRef>
              <c:f>GrafCoruna!$D$31:$D$96</c:f>
              <c:strCache>
                <c:ptCount val="65"/>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strCache>
            </c:strRef>
          </c:cat>
          <c:val>
            <c:numRef>
              <c:f>GrafCoruna!$F$31:$F$96</c:f>
              <c:numCache>
                <c:formatCode>General</c:formatCode>
                <c:ptCount val="65"/>
                <c:pt idx="0">
                  <c:v>97</c:v>
                </c:pt>
                <c:pt idx="1">
                  <c:v>98</c:v>
                </c:pt>
                <c:pt idx="2">
                  <c:v>87</c:v>
                </c:pt>
                <c:pt idx="3">
                  <c:v>84</c:v>
                </c:pt>
                <c:pt idx="4">
                  <c:v>76</c:v>
                </c:pt>
                <c:pt idx="5">
                  <c:v>78</c:v>
                </c:pt>
                <c:pt idx="6">
                  <c:v>74</c:v>
                </c:pt>
                <c:pt idx="7">
                  <c:v>74</c:v>
                </c:pt>
                <c:pt idx="8">
                  <c:v>75</c:v>
                </c:pt>
                <c:pt idx="9">
                  <c:v>72</c:v>
                </c:pt>
                <c:pt idx="10">
                  <c:v>63</c:v>
                </c:pt>
                <c:pt idx="11">
                  <c:v>69</c:v>
                </c:pt>
                <c:pt idx="12">
                  <c:v>64</c:v>
                </c:pt>
                <c:pt idx="13">
                  <c:v>58</c:v>
                </c:pt>
                <c:pt idx="14">
                  <c:v>59</c:v>
                </c:pt>
                <c:pt idx="15">
                  <c:v>60</c:v>
                </c:pt>
                <c:pt idx="16">
                  <c:v>63</c:v>
                </c:pt>
                <c:pt idx="17">
                  <c:v>56</c:v>
                </c:pt>
                <c:pt idx="18">
                  <c:v>55</c:v>
                </c:pt>
                <c:pt idx="19">
                  <c:v>56</c:v>
                </c:pt>
                <c:pt idx="20">
                  <c:v>56</c:v>
                </c:pt>
                <c:pt idx="21">
                  <c:v>61</c:v>
                </c:pt>
                <c:pt idx="22">
                  <c:v>66</c:v>
                </c:pt>
                <c:pt idx="23">
                  <c:v>71</c:v>
                </c:pt>
                <c:pt idx="24">
                  <c:v>71</c:v>
                </c:pt>
                <c:pt idx="25">
                  <c:v>70</c:v>
                </c:pt>
                <c:pt idx="26">
                  <c:v>67</c:v>
                </c:pt>
                <c:pt idx="27">
                  <c:v>72</c:v>
                </c:pt>
                <c:pt idx="28">
                  <c:v>77</c:v>
                </c:pt>
                <c:pt idx="29">
                  <c:v>83</c:v>
                </c:pt>
                <c:pt idx="30">
                  <c:v>81</c:v>
                </c:pt>
                <c:pt idx="31">
                  <c:v>79</c:v>
                </c:pt>
                <c:pt idx="32">
                  <c:v>85</c:v>
                </c:pt>
                <c:pt idx="33">
                  <c:v>88</c:v>
                </c:pt>
                <c:pt idx="34">
                  <c:v>84</c:v>
                </c:pt>
                <c:pt idx="35">
                  <c:v>83</c:v>
                </c:pt>
                <c:pt idx="36">
                  <c:v>93</c:v>
                </c:pt>
                <c:pt idx="37">
                  <c:v>95</c:v>
                </c:pt>
                <c:pt idx="38">
                  <c:v>108</c:v>
                </c:pt>
                <c:pt idx="39">
                  <c:v>123</c:v>
                </c:pt>
                <c:pt idx="40">
                  <c:v>138</c:v>
                </c:pt>
                <c:pt idx="41">
                  <c:v>130</c:v>
                </c:pt>
                <c:pt idx="42">
                  <c:v>145</c:v>
                </c:pt>
                <c:pt idx="43">
                  <c:v>163</c:v>
                </c:pt>
                <c:pt idx="44">
                  <c:v>167</c:v>
                </c:pt>
                <c:pt idx="45">
                  <c:v>179</c:v>
                </c:pt>
                <c:pt idx="46">
                  <c:v>188</c:v>
                </c:pt>
                <c:pt idx="47">
                  <c:v>210</c:v>
                </c:pt>
                <c:pt idx="48">
                  <c:v>226</c:v>
                </c:pt>
                <c:pt idx="49">
                  <c:v>248</c:v>
                </c:pt>
                <c:pt idx="50">
                  <c:v>272</c:v>
                </c:pt>
                <c:pt idx="51">
                  <c:v>282</c:v>
                </c:pt>
                <c:pt idx="52">
                  <c:v>305</c:v>
                </c:pt>
                <c:pt idx="53">
                  <c:v>310</c:v>
                </c:pt>
                <c:pt idx="54">
                  <c:v>321</c:v>
                </c:pt>
                <c:pt idx="55">
                  <c:v>313</c:v>
                </c:pt>
                <c:pt idx="56">
                  <c:v>326</c:v>
                </c:pt>
                <c:pt idx="57">
                  <c:v>341</c:v>
                </c:pt>
                <c:pt idx="58">
                  <c:v>323</c:v>
                </c:pt>
                <c:pt idx="59">
                  <c:v>306</c:v>
                </c:pt>
                <c:pt idx="60">
                  <c:v>282</c:v>
                </c:pt>
                <c:pt idx="61">
                  <c:v>276</c:v>
                </c:pt>
                <c:pt idx="62">
                  <c:v>287</c:v>
                </c:pt>
                <c:pt idx="63">
                  <c:v>286</c:v>
                </c:pt>
                <c:pt idx="64">
                  <c:v>287</c:v>
                </c:pt>
              </c:numCache>
            </c:numRef>
          </c:val>
          <c:smooth val="0"/>
          <c:extLst>
            <c:ext xmlns:c16="http://schemas.microsoft.com/office/drawing/2014/chart" uri="{C3380CC4-5D6E-409C-BE32-E72D297353CC}">
              <c16:uniqueId val="{00000002-A728-4623-91BC-E5DAF2D02C45}"/>
            </c:ext>
          </c:extLst>
        </c:ser>
        <c:ser>
          <c:idx val="2"/>
          <c:order val="2"/>
          <c:tx>
            <c:strRef>
              <c:f>GrafCoruna!$G$30</c:f>
              <c:strCache>
                <c:ptCount val="1"/>
                <c:pt idx="0">
                  <c:v>Camas UCI</c:v>
                </c:pt>
              </c:strCache>
            </c:strRef>
          </c:tx>
          <c:spPr>
            <a:ln w="28575" cap="rnd">
              <a:solidFill>
                <a:srgbClr val="FF0000"/>
              </a:solidFill>
              <a:round/>
            </a:ln>
            <a:effectLst/>
          </c:spPr>
          <c:marker>
            <c:symbol val="none"/>
          </c:marker>
          <c:cat>
            <c:strRef>
              <c:f>GrafCoruna!$D$31:$D$96</c:f>
              <c:strCache>
                <c:ptCount val="65"/>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strCache>
            </c:strRef>
          </c:cat>
          <c:val>
            <c:numRef>
              <c:f>GrafCoruna!$G$31:$G$96</c:f>
              <c:numCache>
                <c:formatCode>General</c:formatCode>
                <c:ptCount val="65"/>
                <c:pt idx="0">
                  <c:v>23</c:v>
                </c:pt>
                <c:pt idx="1">
                  <c:v>22</c:v>
                </c:pt>
                <c:pt idx="2">
                  <c:v>17</c:v>
                </c:pt>
                <c:pt idx="3">
                  <c:v>16</c:v>
                </c:pt>
                <c:pt idx="4">
                  <c:v>14</c:v>
                </c:pt>
                <c:pt idx="5">
                  <c:v>13</c:v>
                </c:pt>
                <c:pt idx="6">
                  <c:v>13</c:v>
                </c:pt>
                <c:pt idx="7">
                  <c:v>13</c:v>
                </c:pt>
                <c:pt idx="8">
                  <c:v>13</c:v>
                </c:pt>
                <c:pt idx="9">
                  <c:v>14</c:v>
                </c:pt>
                <c:pt idx="10">
                  <c:v>13</c:v>
                </c:pt>
                <c:pt idx="11">
                  <c:v>12</c:v>
                </c:pt>
                <c:pt idx="12">
                  <c:v>14</c:v>
                </c:pt>
                <c:pt idx="13">
                  <c:v>14</c:v>
                </c:pt>
                <c:pt idx="14">
                  <c:v>14</c:v>
                </c:pt>
                <c:pt idx="15">
                  <c:v>14</c:v>
                </c:pt>
                <c:pt idx="16">
                  <c:v>15</c:v>
                </c:pt>
                <c:pt idx="17">
                  <c:v>15</c:v>
                </c:pt>
                <c:pt idx="18">
                  <c:v>17</c:v>
                </c:pt>
                <c:pt idx="19">
                  <c:v>18</c:v>
                </c:pt>
                <c:pt idx="20">
                  <c:v>17</c:v>
                </c:pt>
                <c:pt idx="21">
                  <c:v>18</c:v>
                </c:pt>
                <c:pt idx="22">
                  <c:v>17</c:v>
                </c:pt>
                <c:pt idx="23">
                  <c:v>18</c:v>
                </c:pt>
                <c:pt idx="24">
                  <c:v>18</c:v>
                </c:pt>
                <c:pt idx="25">
                  <c:v>19</c:v>
                </c:pt>
                <c:pt idx="26">
                  <c:v>20</c:v>
                </c:pt>
                <c:pt idx="27">
                  <c:v>20</c:v>
                </c:pt>
                <c:pt idx="28">
                  <c:v>18</c:v>
                </c:pt>
                <c:pt idx="29">
                  <c:v>19</c:v>
                </c:pt>
                <c:pt idx="30">
                  <c:v>17</c:v>
                </c:pt>
                <c:pt idx="31">
                  <c:v>18</c:v>
                </c:pt>
                <c:pt idx="32">
                  <c:v>19</c:v>
                </c:pt>
                <c:pt idx="33">
                  <c:v>21</c:v>
                </c:pt>
                <c:pt idx="34">
                  <c:v>18</c:v>
                </c:pt>
                <c:pt idx="35">
                  <c:v>18</c:v>
                </c:pt>
                <c:pt idx="36">
                  <c:v>21</c:v>
                </c:pt>
                <c:pt idx="37">
                  <c:v>22</c:v>
                </c:pt>
                <c:pt idx="38">
                  <c:v>22</c:v>
                </c:pt>
                <c:pt idx="39">
                  <c:v>27</c:v>
                </c:pt>
                <c:pt idx="40">
                  <c:v>26</c:v>
                </c:pt>
                <c:pt idx="41">
                  <c:v>26</c:v>
                </c:pt>
                <c:pt idx="42">
                  <c:v>28</c:v>
                </c:pt>
                <c:pt idx="43">
                  <c:v>31</c:v>
                </c:pt>
                <c:pt idx="44">
                  <c:v>36</c:v>
                </c:pt>
                <c:pt idx="45">
                  <c:v>39</c:v>
                </c:pt>
                <c:pt idx="46">
                  <c:v>38</c:v>
                </c:pt>
                <c:pt idx="47">
                  <c:v>38</c:v>
                </c:pt>
                <c:pt idx="48">
                  <c:v>38</c:v>
                </c:pt>
                <c:pt idx="49">
                  <c:v>39</c:v>
                </c:pt>
                <c:pt idx="50">
                  <c:v>43</c:v>
                </c:pt>
                <c:pt idx="51">
                  <c:v>47</c:v>
                </c:pt>
                <c:pt idx="52">
                  <c:v>48</c:v>
                </c:pt>
                <c:pt idx="53">
                  <c:v>59</c:v>
                </c:pt>
                <c:pt idx="54">
                  <c:v>69</c:v>
                </c:pt>
                <c:pt idx="55">
                  <c:v>79</c:v>
                </c:pt>
                <c:pt idx="56">
                  <c:v>82</c:v>
                </c:pt>
                <c:pt idx="57">
                  <c:v>86</c:v>
                </c:pt>
                <c:pt idx="58">
                  <c:v>93</c:v>
                </c:pt>
                <c:pt idx="59">
                  <c:v>85</c:v>
                </c:pt>
                <c:pt idx="60">
                  <c:v>87</c:v>
                </c:pt>
                <c:pt idx="61">
                  <c:v>85</c:v>
                </c:pt>
                <c:pt idx="62">
                  <c:v>81</c:v>
                </c:pt>
                <c:pt idx="63">
                  <c:v>81</c:v>
                </c:pt>
                <c:pt idx="64">
                  <c:v>85</c:v>
                </c:pt>
              </c:numCache>
            </c:numRef>
          </c:val>
          <c:smooth val="0"/>
          <c:extLst>
            <c:ext xmlns:c16="http://schemas.microsoft.com/office/drawing/2014/chart" uri="{C3380CC4-5D6E-409C-BE32-E72D297353CC}">
              <c16:uniqueId val="{00000003-A728-4623-91BC-E5DAF2D02C45}"/>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[SeguimientoIncidenciaArea.xlsm]GrafFerrol!GrafFerrol</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Ferrol</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GrafFerrol!$H$30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GrafFerrol!$D$31:$D$96</c:f>
              <c:strCache>
                <c:ptCount val="65"/>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strCache>
            </c:strRef>
          </c:cat>
          <c:val>
            <c:numRef>
              <c:f>GrafFerrol!$H$31:$H$96</c:f>
              <c:numCache>
                <c:formatCode>General</c:formatCode>
                <c:ptCount val="65"/>
                <c:pt idx="0">
                  <c:v>391</c:v>
                </c:pt>
                <c:pt idx="1">
                  <c:v>315</c:v>
                </c:pt>
                <c:pt idx="2">
                  <c:v>404</c:v>
                </c:pt>
                <c:pt idx="3">
                  <c:v>660</c:v>
                </c:pt>
                <c:pt idx="4">
                  <c:v>354</c:v>
                </c:pt>
                <c:pt idx="5">
                  <c:v>634</c:v>
                </c:pt>
                <c:pt idx="6">
                  <c:v>653</c:v>
                </c:pt>
                <c:pt idx="7">
                  <c:v>545</c:v>
                </c:pt>
                <c:pt idx="8">
                  <c:v>1024</c:v>
                </c:pt>
                <c:pt idx="9">
                  <c:v>901</c:v>
                </c:pt>
                <c:pt idx="10">
                  <c:v>633</c:v>
                </c:pt>
                <c:pt idx="11">
                  <c:v>525</c:v>
                </c:pt>
                <c:pt idx="12">
                  <c:v>491</c:v>
                </c:pt>
                <c:pt idx="13">
                  <c:v>343</c:v>
                </c:pt>
                <c:pt idx="14">
                  <c:v>369</c:v>
                </c:pt>
                <c:pt idx="15">
                  <c:v>341</c:v>
                </c:pt>
                <c:pt idx="16">
                  <c:v>346</c:v>
                </c:pt>
                <c:pt idx="17">
                  <c:v>898</c:v>
                </c:pt>
                <c:pt idx="18">
                  <c:v>749</c:v>
                </c:pt>
                <c:pt idx="19">
                  <c:v>671</c:v>
                </c:pt>
                <c:pt idx="20">
                  <c:v>508</c:v>
                </c:pt>
                <c:pt idx="21">
                  <c:v>283</c:v>
                </c:pt>
                <c:pt idx="22">
                  <c:v>420</c:v>
                </c:pt>
                <c:pt idx="23">
                  <c:v>289</c:v>
                </c:pt>
                <c:pt idx="24">
                  <c:v>355</c:v>
                </c:pt>
                <c:pt idx="25">
                  <c:v>403</c:v>
                </c:pt>
                <c:pt idx="26">
                  <c:v>332</c:v>
                </c:pt>
                <c:pt idx="27">
                  <c:v>277</c:v>
                </c:pt>
                <c:pt idx="28">
                  <c:v>201</c:v>
                </c:pt>
                <c:pt idx="29">
                  <c:v>372</c:v>
                </c:pt>
                <c:pt idx="30">
                  <c:v>379</c:v>
                </c:pt>
                <c:pt idx="31">
                  <c:v>642</c:v>
                </c:pt>
                <c:pt idx="32">
                  <c:v>487</c:v>
                </c:pt>
                <c:pt idx="33">
                  <c:v>360</c:v>
                </c:pt>
                <c:pt idx="34">
                  <c:v>414</c:v>
                </c:pt>
                <c:pt idx="35">
                  <c:v>771</c:v>
                </c:pt>
                <c:pt idx="36">
                  <c:v>652</c:v>
                </c:pt>
                <c:pt idx="37">
                  <c:v>605</c:v>
                </c:pt>
                <c:pt idx="38">
                  <c:v>738</c:v>
                </c:pt>
                <c:pt idx="39">
                  <c:v>714</c:v>
                </c:pt>
                <c:pt idx="40">
                  <c:v>654</c:v>
                </c:pt>
                <c:pt idx="41">
                  <c:v>765</c:v>
                </c:pt>
                <c:pt idx="42">
                  <c:v>423</c:v>
                </c:pt>
                <c:pt idx="43">
                  <c:v>711</c:v>
                </c:pt>
                <c:pt idx="44">
                  <c:v>759</c:v>
                </c:pt>
                <c:pt idx="45">
                  <c:v>1001</c:v>
                </c:pt>
                <c:pt idx="46">
                  <c:v>1097</c:v>
                </c:pt>
                <c:pt idx="47">
                  <c:v>910</c:v>
                </c:pt>
                <c:pt idx="48">
                  <c:v>1102</c:v>
                </c:pt>
                <c:pt idx="49">
                  <c:v>955</c:v>
                </c:pt>
                <c:pt idx="50">
                  <c:v>694</c:v>
                </c:pt>
                <c:pt idx="51">
                  <c:v>985</c:v>
                </c:pt>
                <c:pt idx="52">
                  <c:v>1090</c:v>
                </c:pt>
                <c:pt idx="53">
                  <c:v>1018</c:v>
                </c:pt>
                <c:pt idx="54">
                  <c:v>1341</c:v>
                </c:pt>
                <c:pt idx="55">
                  <c:v>1077</c:v>
                </c:pt>
                <c:pt idx="56">
                  <c:v>813</c:v>
                </c:pt>
                <c:pt idx="57">
                  <c:v>739</c:v>
                </c:pt>
                <c:pt idx="58">
                  <c:v>941</c:v>
                </c:pt>
                <c:pt idx="59">
                  <c:v>1287</c:v>
                </c:pt>
                <c:pt idx="60">
                  <c:v>1363</c:v>
                </c:pt>
                <c:pt idx="61">
                  <c:v>1721</c:v>
                </c:pt>
                <c:pt idx="62">
                  <c:v>1602</c:v>
                </c:pt>
                <c:pt idx="63">
                  <c:v>1239</c:v>
                </c:pt>
                <c:pt idx="64">
                  <c:v>729</c:v>
                </c:pt>
              </c:numCache>
            </c:numRef>
          </c:val>
          <c:extLst>
            <c:ext xmlns:c16="http://schemas.microsoft.com/office/drawing/2014/chart" uri="{C3380CC4-5D6E-409C-BE32-E72D297353CC}">
              <c16:uniqueId val="{00000000-60F5-4010-A357-4097865E9FA8}"/>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GrafFerrol!$E$30</c:f>
              <c:strCache>
                <c:ptCount val="1"/>
                <c:pt idx="0">
                  <c:v>Nuevos Casos</c:v>
                </c:pt>
              </c:strCache>
            </c:strRef>
          </c:tx>
          <c:spPr>
            <a:ln w="28575" cap="rnd">
              <a:solidFill>
                <a:schemeClr val="accent1"/>
              </a:solidFill>
              <a:round/>
            </a:ln>
            <a:effectLst/>
          </c:spPr>
          <c:marker>
            <c:symbol val="none"/>
          </c:marker>
          <c:cat>
            <c:strRef>
              <c:f>GrafFerrol!$D$31:$D$96</c:f>
              <c:strCache>
                <c:ptCount val="65"/>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strCache>
            </c:strRef>
          </c:cat>
          <c:val>
            <c:numRef>
              <c:f>GrafFerrol!$E$31:$E$96</c:f>
              <c:numCache>
                <c:formatCode>General</c:formatCode>
                <c:ptCount val="65"/>
                <c:pt idx="0">
                  <c:v>23</c:v>
                </c:pt>
                <c:pt idx="1">
                  <c:v>36</c:v>
                </c:pt>
                <c:pt idx="2">
                  <c:v>16</c:v>
                </c:pt>
                <c:pt idx="3">
                  <c:v>51</c:v>
                </c:pt>
                <c:pt idx="4">
                  <c:v>24</c:v>
                </c:pt>
                <c:pt idx="5">
                  <c:v>23</c:v>
                </c:pt>
                <c:pt idx="6">
                  <c:v>31</c:v>
                </c:pt>
                <c:pt idx="7">
                  <c:v>26</c:v>
                </c:pt>
                <c:pt idx="8">
                  <c:v>49</c:v>
                </c:pt>
                <c:pt idx="9">
                  <c:v>18</c:v>
                </c:pt>
                <c:pt idx="10">
                  <c:v>34</c:v>
                </c:pt>
                <c:pt idx="11">
                  <c:v>16</c:v>
                </c:pt>
                <c:pt idx="12">
                  <c:v>29</c:v>
                </c:pt>
                <c:pt idx="13">
                  <c:v>10</c:v>
                </c:pt>
                <c:pt idx="14">
                  <c:v>11</c:v>
                </c:pt>
                <c:pt idx="15">
                  <c:v>13</c:v>
                </c:pt>
                <c:pt idx="16">
                  <c:v>12</c:v>
                </c:pt>
                <c:pt idx="17">
                  <c:v>17</c:v>
                </c:pt>
                <c:pt idx="18">
                  <c:v>20</c:v>
                </c:pt>
                <c:pt idx="19">
                  <c:v>22</c:v>
                </c:pt>
                <c:pt idx="20">
                  <c:v>12</c:v>
                </c:pt>
                <c:pt idx="21">
                  <c:v>9</c:v>
                </c:pt>
                <c:pt idx="22">
                  <c:v>16</c:v>
                </c:pt>
                <c:pt idx="23">
                  <c:v>29</c:v>
                </c:pt>
                <c:pt idx="24">
                  <c:v>15</c:v>
                </c:pt>
                <c:pt idx="25">
                  <c:v>24</c:v>
                </c:pt>
                <c:pt idx="26">
                  <c:v>24</c:v>
                </c:pt>
                <c:pt idx="27">
                  <c:v>21</c:v>
                </c:pt>
                <c:pt idx="28">
                  <c:v>11</c:v>
                </c:pt>
                <c:pt idx="29">
                  <c:v>54</c:v>
                </c:pt>
                <c:pt idx="30">
                  <c:v>22</c:v>
                </c:pt>
                <c:pt idx="31">
                  <c:v>55</c:v>
                </c:pt>
                <c:pt idx="32">
                  <c:v>31</c:v>
                </c:pt>
                <c:pt idx="33">
                  <c:v>50</c:v>
                </c:pt>
                <c:pt idx="34">
                  <c:v>33</c:v>
                </c:pt>
                <c:pt idx="35">
                  <c:v>64</c:v>
                </c:pt>
                <c:pt idx="36">
                  <c:v>87</c:v>
                </c:pt>
                <c:pt idx="37">
                  <c:v>51</c:v>
                </c:pt>
                <c:pt idx="38">
                  <c:v>74</c:v>
                </c:pt>
                <c:pt idx="39">
                  <c:v>68</c:v>
                </c:pt>
                <c:pt idx="40">
                  <c:v>113</c:v>
                </c:pt>
                <c:pt idx="41">
                  <c:v>146</c:v>
                </c:pt>
                <c:pt idx="42">
                  <c:v>84</c:v>
                </c:pt>
                <c:pt idx="43">
                  <c:v>99</c:v>
                </c:pt>
                <c:pt idx="44">
                  <c:v>104</c:v>
                </c:pt>
                <c:pt idx="45">
                  <c:v>98</c:v>
                </c:pt>
                <c:pt idx="46">
                  <c:v>141</c:v>
                </c:pt>
                <c:pt idx="47">
                  <c:v>129</c:v>
                </c:pt>
                <c:pt idx="48">
                  <c:v>149</c:v>
                </c:pt>
                <c:pt idx="49">
                  <c:v>107</c:v>
                </c:pt>
                <c:pt idx="50">
                  <c:v>106</c:v>
                </c:pt>
                <c:pt idx="51">
                  <c:v>105</c:v>
                </c:pt>
                <c:pt idx="52">
                  <c:v>96</c:v>
                </c:pt>
                <c:pt idx="53">
                  <c:v>115</c:v>
                </c:pt>
                <c:pt idx="54">
                  <c:v>145</c:v>
                </c:pt>
                <c:pt idx="55">
                  <c:v>132</c:v>
                </c:pt>
                <c:pt idx="56">
                  <c:v>91</c:v>
                </c:pt>
                <c:pt idx="57">
                  <c:v>100</c:v>
                </c:pt>
                <c:pt idx="58">
                  <c:v>114</c:v>
                </c:pt>
                <c:pt idx="59">
                  <c:v>109</c:v>
                </c:pt>
                <c:pt idx="60">
                  <c:v>97</c:v>
                </c:pt>
                <c:pt idx="61">
                  <c:v>102</c:v>
                </c:pt>
                <c:pt idx="62">
                  <c:v>90</c:v>
                </c:pt>
                <c:pt idx="63">
                  <c:v>52</c:v>
                </c:pt>
                <c:pt idx="64">
                  <c:v>50</c:v>
                </c:pt>
              </c:numCache>
            </c:numRef>
          </c:val>
          <c:smooth val="0"/>
          <c:extLst>
            <c:ext xmlns:c16="http://schemas.microsoft.com/office/drawing/2014/chart" uri="{C3380CC4-5D6E-409C-BE32-E72D297353CC}">
              <c16:uniqueId val="{00000001-60F5-4010-A357-4097865E9FA8}"/>
            </c:ext>
          </c:extLst>
        </c:ser>
        <c:ser>
          <c:idx val="1"/>
          <c:order val="1"/>
          <c:tx>
            <c:strRef>
              <c:f>GrafFerrol!$F$30</c:f>
              <c:strCache>
                <c:ptCount val="1"/>
                <c:pt idx="0">
                  <c:v>Camas Hosp</c:v>
                </c:pt>
              </c:strCache>
            </c:strRef>
          </c:tx>
          <c:spPr>
            <a:ln w="28575" cap="rnd">
              <a:solidFill>
                <a:schemeClr val="accent2"/>
              </a:solidFill>
              <a:round/>
            </a:ln>
            <a:effectLst/>
          </c:spPr>
          <c:marker>
            <c:symbol val="none"/>
          </c:marker>
          <c:cat>
            <c:strRef>
              <c:f>GrafFerrol!$D$31:$D$96</c:f>
              <c:strCache>
                <c:ptCount val="65"/>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strCache>
            </c:strRef>
          </c:cat>
          <c:val>
            <c:numRef>
              <c:f>GrafFerrol!$F$31:$F$96</c:f>
              <c:numCache>
                <c:formatCode>General</c:formatCode>
                <c:ptCount val="65"/>
                <c:pt idx="0">
                  <c:v>27</c:v>
                </c:pt>
                <c:pt idx="1">
                  <c:v>30</c:v>
                </c:pt>
                <c:pt idx="2">
                  <c:v>29</c:v>
                </c:pt>
                <c:pt idx="3">
                  <c:v>28</c:v>
                </c:pt>
                <c:pt idx="4">
                  <c:v>27</c:v>
                </c:pt>
                <c:pt idx="5">
                  <c:v>28</c:v>
                </c:pt>
                <c:pt idx="6">
                  <c:v>29</c:v>
                </c:pt>
                <c:pt idx="7">
                  <c:v>28</c:v>
                </c:pt>
                <c:pt idx="8">
                  <c:v>30</c:v>
                </c:pt>
                <c:pt idx="9">
                  <c:v>30</c:v>
                </c:pt>
                <c:pt idx="10">
                  <c:v>30</c:v>
                </c:pt>
                <c:pt idx="11">
                  <c:v>28</c:v>
                </c:pt>
                <c:pt idx="12">
                  <c:v>30</c:v>
                </c:pt>
                <c:pt idx="13">
                  <c:v>31</c:v>
                </c:pt>
                <c:pt idx="14">
                  <c:v>29</c:v>
                </c:pt>
                <c:pt idx="15">
                  <c:v>30</c:v>
                </c:pt>
                <c:pt idx="16">
                  <c:v>33</c:v>
                </c:pt>
                <c:pt idx="17">
                  <c:v>30</c:v>
                </c:pt>
                <c:pt idx="18">
                  <c:v>30</c:v>
                </c:pt>
                <c:pt idx="19">
                  <c:v>29</c:v>
                </c:pt>
                <c:pt idx="20">
                  <c:v>26</c:v>
                </c:pt>
                <c:pt idx="21">
                  <c:v>25</c:v>
                </c:pt>
                <c:pt idx="22">
                  <c:v>24</c:v>
                </c:pt>
                <c:pt idx="23">
                  <c:v>27</c:v>
                </c:pt>
                <c:pt idx="24">
                  <c:v>31</c:v>
                </c:pt>
                <c:pt idx="25">
                  <c:v>33</c:v>
                </c:pt>
                <c:pt idx="26">
                  <c:v>35</c:v>
                </c:pt>
                <c:pt idx="27">
                  <c:v>37</c:v>
                </c:pt>
                <c:pt idx="28">
                  <c:v>41</c:v>
                </c:pt>
                <c:pt idx="29">
                  <c:v>45</c:v>
                </c:pt>
                <c:pt idx="30">
                  <c:v>50</c:v>
                </c:pt>
                <c:pt idx="31">
                  <c:v>46</c:v>
                </c:pt>
                <c:pt idx="32">
                  <c:v>44</c:v>
                </c:pt>
                <c:pt idx="33">
                  <c:v>43</c:v>
                </c:pt>
                <c:pt idx="34">
                  <c:v>35</c:v>
                </c:pt>
                <c:pt idx="35">
                  <c:v>43</c:v>
                </c:pt>
                <c:pt idx="36">
                  <c:v>54</c:v>
                </c:pt>
                <c:pt idx="37">
                  <c:v>62</c:v>
                </c:pt>
                <c:pt idx="38">
                  <c:v>74</c:v>
                </c:pt>
                <c:pt idx="39">
                  <c:v>73</c:v>
                </c:pt>
                <c:pt idx="40">
                  <c:v>77</c:v>
                </c:pt>
                <c:pt idx="41">
                  <c:v>80</c:v>
                </c:pt>
                <c:pt idx="42">
                  <c:v>83</c:v>
                </c:pt>
                <c:pt idx="43">
                  <c:v>89</c:v>
                </c:pt>
                <c:pt idx="44">
                  <c:v>96</c:v>
                </c:pt>
                <c:pt idx="45">
                  <c:v>97</c:v>
                </c:pt>
                <c:pt idx="46">
                  <c:v>104</c:v>
                </c:pt>
                <c:pt idx="47">
                  <c:v>117</c:v>
                </c:pt>
                <c:pt idx="48">
                  <c:v>113</c:v>
                </c:pt>
                <c:pt idx="49">
                  <c:v>124</c:v>
                </c:pt>
                <c:pt idx="50">
                  <c:v>131</c:v>
                </c:pt>
                <c:pt idx="51">
                  <c:v>132</c:v>
                </c:pt>
                <c:pt idx="52">
                  <c:v>136</c:v>
                </c:pt>
                <c:pt idx="53">
                  <c:v>135</c:v>
                </c:pt>
                <c:pt idx="54">
                  <c:v>150</c:v>
                </c:pt>
                <c:pt idx="55">
                  <c:v>150</c:v>
                </c:pt>
                <c:pt idx="56">
                  <c:v>160</c:v>
                </c:pt>
                <c:pt idx="57">
                  <c:v>164</c:v>
                </c:pt>
                <c:pt idx="58">
                  <c:v>166</c:v>
                </c:pt>
                <c:pt idx="59">
                  <c:v>166</c:v>
                </c:pt>
                <c:pt idx="60">
                  <c:v>173</c:v>
                </c:pt>
                <c:pt idx="61">
                  <c:v>165</c:v>
                </c:pt>
                <c:pt idx="62">
                  <c:v>160</c:v>
                </c:pt>
                <c:pt idx="63">
                  <c:v>150</c:v>
                </c:pt>
                <c:pt idx="64">
                  <c:v>158</c:v>
                </c:pt>
              </c:numCache>
            </c:numRef>
          </c:val>
          <c:smooth val="0"/>
          <c:extLst>
            <c:ext xmlns:c16="http://schemas.microsoft.com/office/drawing/2014/chart" uri="{C3380CC4-5D6E-409C-BE32-E72D297353CC}">
              <c16:uniqueId val="{00000002-60F5-4010-A357-4097865E9FA8}"/>
            </c:ext>
          </c:extLst>
        </c:ser>
        <c:ser>
          <c:idx val="2"/>
          <c:order val="2"/>
          <c:tx>
            <c:strRef>
              <c:f>GrafFerrol!$G$30</c:f>
              <c:strCache>
                <c:ptCount val="1"/>
                <c:pt idx="0">
                  <c:v>Camas UCI</c:v>
                </c:pt>
              </c:strCache>
            </c:strRef>
          </c:tx>
          <c:spPr>
            <a:ln w="28575" cap="rnd">
              <a:solidFill>
                <a:srgbClr val="FF0000"/>
              </a:solidFill>
              <a:round/>
            </a:ln>
            <a:effectLst/>
          </c:spPr>
          <c:marker>
            <c:symbol val="none"/>
          </c:marker>
          <c:cat>
            <c:strRef>
              <c:f>GrafFerrol!$D$31:$D$96</c:f>
              <c:strCache>
                <c:ptCount val="65"/>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strCache>
            </c:strRef>
          </c:cat>
          <c:val>
            <c:numRef>
              <c:f>GrafFerrol!$G$31:$G$96</c:f>
              <c:numCache>
                <c:formatCode>General</c:formatCode>
                <c:ptCount val="65"/>
                <c:pt idx="0">
                  <c:v>8</c:v>
                </c:pt>
                <c:pt idx="1">
                  <c:v>6</c:v>
                </c:pt>
                <c:pt idx="2">
                  <c:v>4</c:v>
                </c:pt>
                <c:pt idx="3">
                  <c:v>4</c:v>
                </c:pt>
                <c:pt idx="4">
                  <c:v>3</c:v>
                </c:pt>
                <c:pt idx="5">
                  <c:v>3</c:v>
                </c:pt>
                <c:pt idx="6">
                  <c:v>4</c:v>
                </c:pt>
                <c:pt idx="7">
                  <c:v>4</c:v>
                </c:pt>
                <c:pt idx="8">
                  <c:v>4</c:v>
                </c:pt>
                <c:pt idx="9">
                  <c:v>5</c:v>
                </c:pt>
                <c:pt idx="10">
                  <c:v>4</c:v>
                </c:pt>
                <c:pt idx="11">
                  <c:v>4</c:v>
                </c:pt>
                <c:pt idx="12">
                  <c:v>5</c:v>
                </c:pt>
                <c:pt idx="13">
                  <c:v>6</c:v>
                </c:pt>
                <c:pt idx="14">
                  <c:v>5</c:v>
                </c:pt>
                <c:pt idx="15">
                  <c:v>4</c:v>
                </c:pt>
                <c:pt idx="16">
                  <c:v>4</c:v>
                </c:pt>
                <c:pt idx="17">
                  <c:v>3</c:v>
                </c:pt>
                <c:pt idx="18">
                  <c:v>2</c:v>
                </c:pt>
                <c:pt idx="19">
                  <c:v>1</c:v>
                </c:pt>
                <c:pt idx="20">
                  <c:v>2</c:v>
                </c:pt>
                <c:pt idx="21">
                  <c:v>3</c:v>
                </c:pt>
                <c:pt idx="22">
                  <c:v>4</c:v>
                </c:pt>
                <c:pt idx="23">
                  <c:v>4</c:v>
                </c:pt>
                <c:pt idx="24">
                  <c:v>3</c:v>
                </c:pt>
                <c:pt idx="25">
                  <c:v>3</c:v>
                </c:pt>
                <c:pt idx="26">
                  <c:v>2</c:v>
                </c:pt>
                <c:pt idx="27">
                  <c:v>2</c:v>
                </c:pt>
                <c:pt idx="28">
                  <c:v>2</c:v>
                </c:pt>
                <c:pt idx="29">
                  <c:v>1</c:v>
                </c:pt>
                <c:pt idx="30">
                  <c:v>1</c:v>
                </c:pt>
                <c:pt idx="31">
                  <c:v>1</c:v>
                </c:pt>
                <c:pt idx="32">
                  <c:v>3</c:v>
                </c:pt>
                <c:pt idx="33">
                  <c:v>3</c:v>
                </c:pt>
                <c:pt idx="34">
                  <c:v>4</c:v>
                </c:pt>
                <c:pt idx="35">
                  <c:v>3</c:v>
                </c:pt>
                <c:pt idx="36">
                  <c:v>6</c:v>
                </c:pt>
                <c:pt idx="37">
                  <c:v>5</c:v>
                </c:pt>
                <c:pt idx="38">
                  <c:v>5</c:v>
                </c:pt>
                <c:pt idx="39">
                  <c:v>6</c:v>
                </c:pt>
                <c:pt idx="40">
                  <c:v>9</c:v>
                </c:pt>
                <c:pt idx="41">
                  <c:v>9</c:v>
                </c:pt>
                <c:pt idx="42">
                  <c:v>13</c:v>
                </c:pt>
                <c:pt idx="43">
                  <c:v>11</c:v>
                </c:pt>
                <c:pt idx="44">
                  <c:v>11</c:v>
                </c:pt>
                <c:pt idx="45">
                  <c:v>13</c:v>
                </c:pt>
                <c:pt idx="46">
                  <c:v>14</c:v>
                </c:pt>
                <c:pt idx="47">
                  <c:v>16</c:v>
                </c:pt>
                <c:pt idx="48">
                  <c:v>19</c:v>
                </c:pt>
                <c:pt idx="49">
                  <c:v>21</c:v>
                </c:pt>
                <c:pt idx="50">
                  <c:v>23</c:v>
                </c:pt>
                <c:pt idx="51">
                  <c:v>24</c:v>
                </c:pt>
                <c:pt idx="52">
                  <c:v>26</c:v>
                </c:pt>
                <c:pt idx="53">
                  <c:v>30</c:v>
                </c:pt>
                <c:pt idx="54">
                  <c:v>25</c:v>
                </c:pt>
                <c:pt idx="55">
                  <c:v>24</c:v>
                </c:pt>
                <c:pt idx="56">
                  <c:v>25</c:v>
                </c:pt>
                <c:pt idx="57">
                  <c:v>24</c:v>
                </c:pt>
                <c:pt idx="58">
                  <c:v>23</c:v>
                </c:pt>
                <c:pt idx="59">
                  <c:v>27</c:v>
                </c:pt>
                <c:pt idx="60">
                  <c:v>25</c:v>
                </c:pt>
                <c:pt idx="61">
                  <c:v>25</c:v>
                </c:pt>
                <c:pt idx="62">
                  <c:v>25</c:v>
                </c:pt>
                <c:pt idx="63">
                  <c:v>24</c:v>
                </c:pt>
                <c:pt idx="64">
                  <c:v>23</c:v>
                </c:pt>
              </c:numCache>
            </c:numRef>
          </c:val>
          <c:smooth val="0"/>
          <c:extLst>
            <c:ext xmlns:c16="http://schemas.microsoft.com/office/drawing/2014/chart" uri="{C3380CC4-5D6E-409C-BE32-E72D297353CC}">
              <c16:uniqueId val="{00000003-60F5-4010-A357-4097865E9FA8}"/>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[SeguimientoIncidenciaArea.xlsm]GrafLugo!GrafCoruna</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Lugo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GrafLugo!$H$30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GrafLugo!$D$31:$D$96</c:f>
              <c:strCache>
                <c:ptCount val="65"/>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strCache>
            </c:strRef>
          </c:cat>
          <c:val>
            <c:numRef>
              <c:f>GrafLugo!$H$31:$H$96</c:f>
              <c:numCache>
                <c:formatCode>General</c:formatCode>
                <c:ptCount val="65"/>
                <c:pt idx="0">
                  <c:v>514</c:v>
                </c:pt>
                <c:pt idx="1">
                  <c:v>466</c:v>
                </c:pt>
                <c:pt idx="2">
                  <c:v>541</c:v>
                </c:pt>
                <c:pt idx="3">
                  <c:v>760</c:v>
                </c:pt>
                <c:pt idx="4">
                  <c:v>965</c:v>
                </c:pt>
                <c:pt idx="5">
                  <c:v>1072</c:v>
                </c:pt>
                <c:pt idx="6">
                  <c:v>1134</c:v>
                </c:pt>
                <c:pt idx="7">
                  <c:v>970</c:v>
                </c:pt>
                <c:pt idx="8">
                  <c:v>1023</c:v>
                </c:pt>
                <c:pt idx="9">
                  <c:v>907</c:v>
                </c:pt>
                <c:pt idx="10">
                  <c:v>920</c:v>
                </c:pt>
                <c:pt idx="11">
                  <c:v>1110</c:v>
                </c:pt>
                <c:pt idx="12">
                  <c:v>741</c:v>
                </c:pt>
                <c:pt idx="13">
                  <c:v>910</c:v>
                </c:pt>
                <c:pt idx="14">
                  <c:v>1003</c:v>
                </c:pt>
                <c:pt idx="15">
                  <c:v>568</c:v>
                </c:pt>
                <c:pt idx="16">
                  <c:v>428</c:v>
                </c:pt>
                <c:pt idx="17">
                  <c:v>950</c:v>
                </c:pt>
                <c:pt idx="18">
                  <c:v>1301</c:v>
                </c:pt>
                <c:pt idx="19">
                  <c:v>1076</c:v>
                </c:pt>
                <c:pt idx="20">
                  <c:v>443</c:v>
                </c:pt>
                <c:pt idx="21">
                  <c:v>376</c:v>
                </c:pt>
                <c:pt idx="22">
                  <c:v>675</c:v>
                </c:pt>
                <c:pt idx="23">
                  <c:v>496</c:v>
                </c:pt>
                <c:pt idx="24">
                  <c:v>895</c:v>
                </c:pt>
                <c:pt idx="25">
                  <c:v>890</c:v>
                </c:pt>
                <c:pt idx="26">
                  <c:v>746</c:v>
                </c:pt>
                <c:pt idx="27">
                  <c:v>583</c:v>
                </c:pt>
                <c:pt idx="28">
                  <c:v>315</c:v>
                </c:pt>
                <c:pt idx="29">
                  <c:v>968</c:v>
                </c:pt>
                <c:pt idx="30">
                  <c:v>1151</c:v>
                </c:pt>
                <c:pt idx="31">
                  <c:v>1138</c:v>
                </c:pt>
                <c:pt idx="32">
                  <c:v>1251</c:v>
                </c:pt>
                <c:pt idx="33">
                  <c:v>711</c:v>
                </c:pt>
                <c:pt idx="34">
                  <c:v>1072</c:v>
                </c:pt>
                <c:pt idx="35">
                  <c:v>975</c:v>
                </c:pt>
                <c:pt idx="36">
                  <c:v>981</c:v>
                </c:pt>
                <c:pt idx="37">
                  <c:v>1292</c:v>
                </c:pt>
                <c:pt idx="38">
                  <c:v>1653</c:v>
                </c:pt>
                <c:pt idx="39">
                  <c:v>1330</c:v>
                </c:pt>
                <c:pt idx="40">
                  <c:v>1141</c:v>
                </c:pt>
                <c:pt idx="41">
                  <c:v>1362</c:v>
                </c:pt>
                <c:pt idx="42">
                  <c:v>1218</c:v>
                </c:pt>
                <c:pt idx="43">
                  <c:v>1301</c:v>
                </c:pt>
                <c:pt idx="44">
                  <c:v>1010</c:v>
                </c:pt>
                <c:pt idx="45">
                  <c:v>1708</c:v>
                </c:pt>
                <c:pt idx="46">
                  <c:v>1406</c:v>
                </c:pt>
                <c:pt idx="47">
                  <c:v>1909</c:v>
                </c:pt>
                <c:pt idx="48">
                  <c:v>1866</c:v>
                </c:pt>
                <c:pt idx="49">
                  <c:v>1629</c:v>
                </c:pt>
                <c:pt idx="50">
                  <c:v>1274</c:v>
                </c:pt>
                <c:pt idx="51">
                  <c:v>1649</c:v>
                </c:pt>
                <c:pt idx="52">
                  <c:v>2041</c:v>
                </c:pt>
                <c:pt idx="53">
                  <c:v>1899</c:v>
                </c:pt>
                <c:pt idx="54">
                  <c:v>1799</c:v>
                </c:pt>
                <c:pt idx="55">
                  <c:v>2016</c:v>
                </c:pt>
                <c:pt idx="56">
                  <c:v>1931</c:v>
                </c:pt>
                <c:pt idx="57">
                  <c:v>1291</c:v>
                </c:pt>
                <c:pt idx="58">
                  <c:v>1634</c:v>
                </c:pt>
                <c:pt idx="59">
                  <c:v>1927</c:v>
                </c:pt>
                <c:pt idx="60">
                  <c:v>1952</c:v>
                </c:pt>
                <c:pt idx="61">
                  <c:v>2033</c:v>
                </c:pt>
                <c:pt idx="62">
                  <c:v>1983</c:v>
                </c:pt>
                <c:pt idx="63">
                  <c:v>1687</c:v>
                </c:pt>
                <c:pt idx="64">
                  <c:v>1407</c:v>
                </c:pt>
              </c:numCache>
            </c:numRef>
          </c:val>
          <c:extLst>
            <c:ext xmlns:c16="http://schemas.microsoft.com/office/drawing/2014/chart" uri="{C3380CC4-5D6E-409C-BE32-E72D297353CC}">
              <c16:uniqueId val="{00000000-2F26-402F-B749-8334FEE53C22}"/>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GrafLugo!$E$30</c:f>
              <c:strCache>
                <c:ptCount val="1"/>
                <c:pt idx="0">
                  <c:v>Nuevos Casos</c:v>
                </c:pt>
              </c:strCache>
            </c:strRef>
          </c:tx>
          <c:spPr>
            <a:ln w="28575" cap="rnd">
              <a:solidFill>
                <a:schemeClr val="accent1"/>
              </a:solidFill>
              <a:round/>
            </a:ln>
            <a:effectLst/>
          </c:spPr>
          <c:marker>
            <c:symbol val="none"/>
          </c:marker>
          <c:cat>
            <c:strRef>
              <c:f>GrafLugo!$D$31:$D$96</c:f>
              <c:strCache>
                <c:ptCount val="65"/>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strCache>
            </c:strRef>
          </c:cat>
          <c:val>
            <c:numRef>
              <c:f>GrafLugo!$E$31:$E$96</c:f>
              <c:numCache>
                <c:formatCode>General</c:formatCode>
                <c:ptCount val="65"/>
                <c:pt idx="0">
                  <c:v>31</c:v>
                </c:pt>
                <c:pt idx="1">
                  <c:v>29</c:v>
                </c:pt>
                <c:pt idx="2">
                  <c:v>18</c:v>
                </c:pt>
                <c:pt idx="3">
                  <c:v>30</c:v>
                </c:pt>
                <c:pt idx="4">
                  <c:v>20</c:v>
                </c:pt>
                <c:pt idx="5">
                  <c:v>25</c:v>
                </c:pt>
                <c:pt idx="6">
                  <c:v>19</c:v>
                </c:pt>
                <c:pt idx="7">
                  <c:v>23</c:v>
                </c:pt>
                <c:pt idx="8">
                  <c:v>20</c:v>
                </c:pt>
                <c:pt idx="9">
                  <c:v>13</c:v>
                </c:pt>
                <c:pt idx="10">
                  <c:v>33</c:v>
                </c:pt>
                <c:pt idx="11">
                  <c:v>23</c:v>
                </c:pt>
                <c:pt idx="12">
                  <c:v>13</c:v>
                </c:pt>
                <c:pt idx="13">
                  <c:v>31</c:v>
                </c:pt>
                <c:pt idx="14">
                  <c:v>29</c:v>
                </c:pt>
                <c:pt idx="15">
                  <c:v>17</c:v>
                </c:pt>
                <c:pt idx="16">
                  <c:v>17</c:v>
                </c:pt>
                <c:pt idx="17">
                  <c:v>26</c:v>
                </c:pt>
                <c:pt idx="18">
                  <c:v>35</c:v>
                </c:pt>
                <c:pt idx="19">
                  <c:v>28</c:v>
                </c:pt>
                <c:pt idx="20">
                  <c:v>35</c:v>
                </c:pt>
                <c:pt idx="21">
                  <c:v>11</c:v>
                </c:pt>
                <c:pt idx="22">
                  <c:v>43</c:v>
                </c:pt>
                <c:pt idx="23">
                  <c:v>16</c:v>
                </c:pt>
                <c:pt idx="24">
                  <c:v>50</c:v>
                </c:pt>
                <c:pt idx="25">
                  <c:v>49</c:v>
                </c:pt>
                <c:pt idx="26">
                  <c:v>47</c:v>
                </c:pt>
                <c:pt idx="27">
                  <c:v>35</c:v>
                </c:pt>
                <c:pt idx="28">
                  <c:v>33</c:v>
                </c:pt>
                <c:pt idx="29">
                  <c:v>60</c:v>
                </c:pt>
                <c:pt idx="30">
                  <c:v>45</c:v>
                </c:pt>
                <c:pt idx="31">
                  <c:v>63</c:v>
                </c:pt>
                <c:pt idx="32">
                  <c:v>69</c:v>
                </c:pt>
                <c:pt idx="33">
                  <c:v>42</c:v>
                </c:pt>
                <c:pt idx="34">
                  <c:v>96</c:v>
                </c:pt>
                <c:pt idx="35">
                  <c:v>75</c:v>
                </c:pt>
                <c:pt idx="36">
                  <c:v>57</c:v>
                </c:pt>
                <c:pt idx="37">
                  <c:v>47</c:v>
                </c:pt>
                <c:pt idx="38">
                  <c:v>104</c:v>
                </c:pt>
                <c:pt idx="39">
                  <c:v>99</c:v>
                </c:pt>
                <c:pt idx="40">
                  <c:v>85</c:v>
                </c:pt>
                <c:pt idx="41">
                  <c:v>91</c:v>
                </c:pt>
                <c:pt idx="42">
                  <c:v>108</c:v>
                </c:pt>
                <c:pt idx="43">
                  <c:v>93</c:v>
                </c:pt>
                <c:pt idx="44">
                  <c:v>102</c:v>
                </c:pt>
                <c:pt idx="45">
                  <c:v>117</c:v>
                </c:pt>
                <c:pt idx="46">
                  <c:v>132</c:v>
                </c:pt>
                <c:pt idx="47">
                  <c:v>163</c:v>
                </c:pt>
                <c:pt idx="48">
                  <c:v>188</c:v>
                </c:pt>
                <c:pt idx="49">
                  <c:v>173</c:v>
                </c:pt>
                <c:pt idx="50">
                  <c:v>121</c:v>
                </c:pt>
                <c:pt idx="51">
                  <c:v>116</c:v>
                </c:pt>
                <c:pt idx="52">
                  <c:v>211</c:v>
                </c:pt>
                <c:pt idx="53">
                  <c:v>134</c:v>
                </c:pt>
                <c:pt idx="54">
                  <c:v>123</c:v>
                </c:pt>
                <c:pt idx="55">
                  <c:v>179</c:v>
                </c:pt>
                <c:pt idx="56">
                  <c:v>124</c:v>
                </c:pt>
                <c:pt idx="57">
                  <c:v>97</c:v>
                </c:pt>
                <c:pt idx="58">
                  <c:v>78</c:v>
                </c:pt>
                <c:pt idx="59">
                  <c:v>77</c:v>
                </c:pt>
                <c:pt idx="60">
                  <c:v>107</c:v>
                </c:pt>
                <c:pt idx="61">
                  <c:v>82</c:v>
                </c:pt>
                <c:pt idx="62">
                  <c:v>91</c:v>
                </c:pt>
                <c:pt idx="63">
                  <c:v>92</c:v>
                </c:pt>
                <c:pt idx="64">
                  <c:v>51</c:v>
                </c:pt>
              </c:numCache>
            </c:numRef>
          </c:val>
          <c:smooth val="0"/>
          <c:extLst>
            <c:ext xmlns:c16="http://schemas.microsoft.com/office/drawing/2014/chart" uri="{C3380CC4-5D6E-409C-BE32-E72D297353CC}">
              <c16:uniqueId val="{00000001-2F26-402F-B749-8334FEE53C22}"/>
            </c:ext>
          </c:extLst>
        </c:ser>
        <c:ser>
          <c:idx val="1"/>
          <c:order val="1"/>
          <c:tx>
            <c:strRef>
              <c:f>GrafLugo!$F$30</c:f>
              <c:strCache>
                <c:ptCount val="1"/>
                <c:pt idx="0">
                  <c:v>Camas Hosp</c:v>
                </c:pt>
              </c:strCache>
            </c:strRef>
          </c:tx>
          <c:spPr>
            <a:ln w="28575" cap="rnd">
              <a:solidFill>
                <a:schemeClr val="accent2"/>
              </a:solidFill>
              <a:round/>
            </a:ln>
            <a:effectLst/>
          </c:spPr>
          <c:marker>
            <c:symbol val="none"/>
          </c:marker>
          <c:cat>
            <c:strRef>
              <c:f>GrafLugo!$D$31:$D$96</c:f>
              <c:strCache>
                <c:ptCount val="65"/>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strCache>
            </c:strRef>
          </c:cat>
          <c:val>
            <c:numRef>
              <c:f>GrafLugo!$F$31:$F$96</c:f>
              <c:numCache>
                <c:formatCode>General</c:formatCode>
                <c:ptCount val="65"/>
                <c:pt idx="0">
                  <c:v>31</c:v>
                </c:pt>
                <c:pt idx="1">
                  <c:v>30</c:v>
                </c:pt>
                <c:pt idx="2">
                  <c:v>23</c:v>
                </c:pt>
                <c:pt idx="3">
                  <c:v>27</c:v>
                </c:pt>
                <c:pt idx="4">
                  <c:v>27</c:v>
                </c:pt>
                <c:pt idx="5">
                  <c:v>23</c:v>
                </c:pt>
                <c:pt idx="6">
                  <c:v>25</c:v>
                </c:pt>
                <c:pt idx="7">
                  <c:v>22</c:v>
                </c:pt>
                <c:pt idx="8">
                  <c:v>21</c:v>
                </c:pt>
                <c:pt idx="9">
                  <c:v>20</c:v>
                </c:pt>
                <c:pt idx="10">
                  <c:v>18</c:v>
                </c:pt>
                <c:pt idx="11">
                  <c:v>18</c:v>
                </c:pt>
                <c:pt idx="12">
                  <c:v>17</c:v>
                </c:pt>
                <c:pt idx="13">
                  <c:v>12</c:v>
                </c:pt>
                <c:pt idx="14">
                  <c:v>13</c:v>
                </c:pt>
                <c:pt idx="15">
                  <c:v>14</c:v>
                </c:pt>
                <c:pt idx="16">
                  <c:v>14</c:v>
                </c:pt>
                <c:pt idx="17">
                  <c:v>9</c:v>
                </c:pt>
                <c:pt idx="18">
                  <c:v>10</c:v>
                </c:pt>
                <c:pt idx="19">
                  <c:v>10</c:v>
                </c:pt>
                <c:pt idx="20">
                  <c:v>10</c:v>
                </c:pt>
                <c:pt idx="21">
                  <c:v>9</c:v>
                </c:pt>
                <c:pt idx="22">
                  <c:v>11</c:v>
                </c:pt>
                <c:pt idx="23">
                  <c:v>10</c:v>
                </c:pt>
                <c:pt idx="24">
                  <c:v>12</c:v>
                </c:pt>
                <c:pt idx="25">
                  <c:v>16</c:v>
                </c:pt>
                <c:pt idx="26">
                  <c:v>13</c:v>
                </c:pt>
                <c:pt idx="27">
                  <c:v>14</c:v>
                </c:pt>
                <c:pt idx="28">
                  <c:v>16</c:v>
                </c:pt>
                <c:pt idx="29">
                  <c:v>17</c:v>
                </c:pt>
                <c:pt idx="30">
                  <c:v>17</c:v>
                </c:pt>
                <c:pt idx="31">
                  <c:v>18</c:v>
                </c:pt>
                <c:pt idx="32">
                  <c:v>19</c:v>
                </c:pt>
                <c:pt idx="33">
                  <c:v>17</c:v>
                </c:pt>
                <c:pt idx="34">
                  <c:v>18</c:v>
                </c:pt>
                <c:pt idx="35">
                  <c:v>20</c:v>
                </c:pt>
                <c:pt idx="36">
                  <c:v>21</c:v>
                </c:pt>
                <c:pt idx="37">
                  <c:v>25</c:v>
                </c:pt>
                <c:pt idx="38">
                  <c:v>28</c:v>
                </c:pt>
                <c:pt idx="39">
                  <c:v>31</c:v>
                </c:pt>
                <c:pt idx="40">
                  <c:v>32</c:v>
                </c:pt>
                <c:pt idx="41">
                  <c:v>35</c:v>
                </c:pt>
                <c:pt idx="42">
                  <c:v>37</c:v>
                </c:pt>
                <c:pt idx="43">
                  <c:v>43</c:v>
                </c:pt>
                <c:pt idx="44">
                  <c:v>39</c:v>
                </c:pt>
                <c:pt idx="45">
                  <c:v>37</c:v>
                </c:pt>
                <c:pt idx="46">
                  <c:v>39</c:v>
                </c:pt>
                <c:pt idx="47">
                  <c:v>36</c:v>
                </c:pt>
                <c:pt idx="48">
                  <c:v>41</c:v>
                </c:pt>
                <c:pt idx="49">
                  <c:v>48</c:v>
                </c:pt>
                <c:pt idx="50">
                  <c:v>51</c:v>
                </c:pt>
                <c:pt idx="51">
                  <c:v>57</c:v>
                </c:pt>
                <c:pt idx="52">
                  <c:v>58</c:v>
                </c:pt>
                <c:pt idx="53">
                  <c:v>57</c:v>
                </c:pt>
                <c:pt idx="54">
                  <c:v>56</c:v>
                </c:pt>
                <c:pt idx="55">
                  <c:v>57</c:v>
                </c:pt>
                <c:pt idx="56">
                  <c:v>54</c:v>
                </c:pt>
                <c:pt idx="57">
                  <c:v>67</c:v>
                </c:pt>
                <c:pt idx="58">
                  <c:v>70</c:v>
                </c:pt>
                <c:pt idx="59">
                  <c:v>70</c:v>
                </c:pt>
                <c:pt idx="60">
                  <c:v>65</c:v>
                </c:pt>
                <c:pt idx="61">
                  <c:v>64</c:v>
                </c:pt>
                <c:pt idx="62">
                  <c:v>67</c:v>
                </c:pt>
                <c:pt idx="63">
                  <c:v>67</c:v>
                </c:pt>
                <c:pt idx="64">
                  <c:v>68</c:v>
                </c:pt>
              </c:numCache>
            </c:numRef>
          </c:val>
          <c:smooth val="0"/>
          <c:extLst>
            <c:ext xmlns:c16="http://schemas.microsoft.com/office/drawing/2014/chart" uri="{C3380CC4-5D6E-409C-BE32-E72D297353CC}">
              <c16:uniqueId val="{00000002-2F26-402F-B749-8334FEE53C22}"/>
            </c:ext>
          </c:extLst>
        </c:ser>
        <c:ser>
          <c:idx val="2"/>
          <c:order val="2"/>
          <c:tx>
            <c:strRef>
              <c:f>GrafLugo!$G$30</c:f>
              <c:strCache>
                <c:ptCount val="1"/>
                <c:pt idx="0">
                  <c:v>Camas UCI</c:v>
                </c:pt>
              </c:strCache>
            </c:strRef>
          </c:tx>
          <c:spPr>
            <a:ln w="28575" cap="rnd">
              <a:solidFill>
                <a:srgbClr val="FF0000"/>
              </a:solidFill>
              <a:round/>
            </a:ln>
            <a:effectLst/>
          </c:spPr>
          <c:marker>
            <c:symbol val="none"/>
          </c:marker>
          <c:cat>
            <c:strRef>
              <c:f>GrafLugo!$D$31:$D$96</c:f>
              <c:strCache>
                <c:ptCount val="65"/>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strCache>
            </c:strRef>
          </c:cat>
          <c:val>
            <c:numRef>
              <c:f>GrafLugo!$G$31:$G$96</c:f>
              <c:numCache>
                <c:formatCode>General</c:formatCode>
                <c:ptCount val="65"/>
                <c:pt idx="0">
                  <c:v>1</c:v>
                </c:pt>
                <c:pt idx="1">
                  <c:v>1</c:v>
                </c:pt>
                <c:pt idx="2">
                  <c:v>2</c:v>
                </c:pt>
                <c:pt idx="3">
                  <c:v>3</c:v>
                </c:pt>
                <c:pt idx="4">
                  <c:v>4</c:v>
                </c:pt>
                <c:pt idx="5">
                  <c:v>4</c:v>
                </c:pt>
                <c:pt idx="6">
                  <c:v>4</c:v>
                </c:pt>
                <c:pt idx="7">
                  <c:v>4</c:v>
                </c:pt>
                <c:pt idx="8">
                  <c:v>6</c:v>
                </c:pt>
                <c:pt idx="9">
                  <c:v>6</c:v>
                </c:pt>
                <c:pt idx="10">
                  <c:v>6</c:v>
                </c:pt>
                <c:pt idx="11">
                  <c:v>5</c:v>
                </c:pt>
                <c:pt idx="12">
                  <c:v>6</c:v>
                </c:pt>
                <c:pt idx="13">
                  <c:v>7</c:v>
                </c:pt>
                <c:pt idx="14">
                  <c:v>6</c:v>
                </c:pt>
                <c:pt idx="15">
                  <c:v>6</c:v>
                </c:pt>
                <c:pt idx="16">
                  <c:v>4</c:v>
                </c:pt>
                <c:pt idx="17">
                  <c:v>4</c:v>
                </c:pt>
                <c:pt idx="18">
                  <c:v>3</c:v>
                </c:pt>
                <c:pt idx="19">
                  <c:v>3</c:v>
                </c:pt>
                <c:pt idx="20">
                  <c:v>4</c:v>
                </c:pt>
                <c:pt idx="21">
                  <c:v>4</c:v>
                </c:pt>
                <c:pt idx="22">
                  <c:v>3</c:v>
                </c:pt>
                <c:pt idx="23">
                  <c:v>3</c:v>
                </c:pt>
                <c:pt idx="24">
                  <c:v>2</c:v>
                </c:pt>
                <c:pt idx="25">
                  <c:v>2</c:v>
                </c:pt>
                <c:pt idx="26">
                  <c:v>2</c:v>
                </c:pt>
                <c:pt idx="27">
                  <c:v>2</c:v>
                </c:pt>
                <c:pt idx="28">
                  <c:v>2</c:v>
                </c:pt>
                <c:pt idx="29">
                  <c:v>0</c:v>
                </c:pt>
                <c:pt idx="30">
                  <c:v>0</c:v>
                </c:pt>
                <c:pt idx="31">
                  <c:v>0</c:v>
                </c:pt>
                <c:pt idx="32">
                  <c:v>0</c:v>
                </c:pt>
                <c:pt idx="33">
                  <c:v>0</c:v>
                </c:pt>
                <c:pt idx="34">
                  <c:v>0</c:v>
                </c:pt>
                <c:pt idx="35">
                  <c:v>2</c:v>
                </c:pt>
                <c:pt idx="36">
                  <c:v>3</c:v>
                </c:pt>
                <c:pt idx="37">
                  <c:v>2</c:v>
                </c:pt>
                <c:pt idx="38">
                  <c:v>4</c:v>
                </c:pt>
                <c:pt idx="39">
                  <c:v>3</c:v>
                </c:pt>
                <c:pt idx="40">
                  <c:v>3</c:v>
                </c:pt>
                <c:pt idx="41">
                  <c:v>4</c:v>
                </c:pt>
                <c:pt idx="42">
                  <c:v>6</c:v>
                </c:pt>
                <c:pt idx="43">
                  <c:v>7</c:v>
                </c:pt>
                <c:pt idx="44">
                  <c:v>7</c:v>
                </c:pt>
                <c:pt idx="45">
                  <c:v>8</c:v>
                </c:pt>
                <c:pt idx="46">
                  <c:v>9</c:v>
                </c:pt>
                <c:pt idx="47">
                  <c:v>10</c:v>
                </c:pt>
                <c:pt idx="48">
                  <c:v>11</c:v>
                </c:pt>
                <c:pt idx="49">
                  <c:v>11</c:v>
                </c:pt>
                <c:pt idx="50">
                  <c:v>15</c:v>
                </c:pt>
                <c:pt idx="51">
                  <c:v>15</c:v>
                </c:pt>
                <c:pt idx="52">
                  <c:v>15</c:v>
                </c:pt>
                <c:pt idx="53">
                  <c:v>15</c:v>
                </c:pt>
                <c:pt idx="54">
                  <c:v>16</c:v>
                </c:pt>
                <c:pt idx="55">
                  <c:v>21</c:v>
                </c:pt>
                <c:pt idx="56">
                  <c:v>19</c:v>
                </c:pt>
                <c:pt idx="57">
                  <c:v>20</c:v>
                </c:pt>
                <c:pt idx="58">
                  <c:v>22</c:v>
                </c:pt>
                <c:pt idx="59">
                  <c:v>25</c:v>
                </c:pt>
                <c:pt idx="60">
                  <c:v>26</c:v>
                </c:pt>
                <c:pt idx="61">
                  <c:v>27</c:v>
                </c:pt>
                <c:pt idx="62">
                  <c:v>30</c:v>
                </c:pt>
                <c:pt idx="63">
                  <c:v>28</c:v>
                </c:pt>
                <c:pt idx="64">
                  <c:v>29</c:v>
                </c:pt>
              </c:numCache>
            </c:numRef>
          </c:val>
          <c:smooth val="0"/>
          <c:extLst>
            <c:ext xmlns:c16="http://schemas.microsoft.com/office/drawing/2014/chart" uri="{C3380CC4-5D6E-409C-BE32-E72D297353CC}">
              <c16:uniqueId val="{00000003-2F26-402F-B749-8334FEE53C22}"/>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[SeguimientoIncidenciaArea.xlsm]GrafOurense!GrafFerrol</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Ourense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GrafOurense!$H$30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GrafOurense!$D$31:$D$96</c:f>
              <c:strCache>
                <c:ptCount val="65"/>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strCache>
            </c:strRef>
          </c:cat>
          <c:val>
            <c:numRef>
              <c:f>GrafOurense!$H$31:$H$96</c:f>
              <c:numCache>
                <c:formatCode>General</c:formatCode>
                <c:ptCount val="65"/>
                <c:pt idx="0">
                  <c:v>814</c:v>
                </c:pt>
                <c:pt idx="1">
                  <c:v>765</c:v>
                </c:pt>
                <c:pt idx="2">
                  <c:v>779</c:v>
                </c:pt>
                <c:pt idx="3">
                  <c:v>705</c:v>
                </c:pt>
                <c:pt idx="4">
                  <c:v>1003</c:v>
                </c:pt>
                <c:pt idx="5">
                  <c:v>1031</c:v>
                </c:pt>
                <c:pt idx="6">
                  <c:v>689</c:v>
                </c:pt>
                <c:pt idx="7">
                  <c:v>553</c:v>
                </c:pt>
                <c:pt idx="8">
                  <c:v>642</c:v>
                </c:pt>
                <c:pt idx="9">
                  <c:v>1219</c:v>
                </c:pt>
                <c:pt idx="10">
                  <c:v>1081</c:v>
                </c:pt>
                <c:pt idx="11">
                  <c:v>773</c:v>
                </c:pt>
                <c:pt idx="12">
                  <c:v>777</c:v>
                </c:pt>
                <c:pt idx="13">
                  <c:v>847</c:v>
                </c:pt>
                <c:pt idx="14">
                  <c:v>955</c:v>
                </c:pt>
                <c:pt idx="15">
                  <c:v>1147</c:v>
                </c:pt>
                <c:pt idx="16">
                  <c:v>1015</c:v>
                </c:pt>
                <c:pt idx="17">
                  <c:v>767</c:v>
                </c:pt>
                <c:pt idx="18">
                  <c:v>815</c:v>
                </c:pt>
                <c:pt idx="19">
                  <c:v>937</c:v>
                </c:pt>
                <c:pt idx="20">
                  <c:v>577</c:v>
                </c:pt>
                <c:pt idx="21">
                  <c:v>317</c:v>
                </c:pt>
                <c:pt idx="22">
                  <c:v>472</c:v>
                </c:pt>
                <c:pt idx="23">
                  <c:v>753</c:v>
                </c:pt>
                <c:pt idx="24">
                  <c:v>785</c:v>
                </c:pt>
                <c:pt idx="25">
                  <c:v>636</c:v>
                </c:pt>
                <c:pt idx="26">
                  <c:v>921</c:v>
                </c:pt>
                <c:pt idx="27">
                  <c:v>479</c:v>
                </c:pt>
                <c:pt idx="28">
                  <c:v>454</c:v>
                </c:pt>
                <c:pt idx="29">
                  <c:v>797</c:v>
                </c:pt>
                <c:pt idx="30">
                  <c:v>629</c:v>
                </c:pt>
                <c:pt idx="31">
                  <c:v>1127</c:v>
                </c:pt>
                <c:pt idx="32">
                  <c:v>938</c:v>
                </c:pt>
                <c:pt idx="33">
                  <c:v>1016</c:v>
                </c:pt>
                <c:pt idx="34">
                  <c:v>1492</c:v>
                </c:pt>
                <c:pt idx="35">
                  <c:v>1378</c:v>
                </c:pt>
                <c:pt idx="36">
                  <c:v>1473</c:v>
                </c:pt>
                <c:pt idx="37">
                  <c:v>1281</c:v>
                </c:pt>
                <c:pt idx="38">
                  <c:v>1668</c:v>
                </c:pt>
                <c:pt idx="39">
                  <c:v>1797</c:v>
                </c:pt>
                <c:pt idx="40">
                  <c:v>2077</c:v>
                </c:pt>
                <c:pt idx="41">
                  <c:v>2289</c:v>
                </c:pt>
                <c:pt idx="42">
                  <c:v>1598</c:v>
                </c:pt>
                <c:pt idx="43">
                  <c:v>2165</c:v>
                </c:pt>
                <c:pt idx="44">
                  <c:v>2472</c:v>
                </c:pt>
                <c:pt idx="45">
                  <c:v>2228</c:v>
                </c:pt>
                <c:pt idx="46">
                  <c:v>2060</c:v>
                </c:pt>
                <c:pt idx="47">
                  <c:v>1577</c:v>
                </c:pt>
                <c:pt idx="48">
                  <c:v>2398</c:v>
                </c:pt>
                <c:pt idx="49">
                  <c:v>2181</c:v>
                </c:pt>
                <c:pt idx="50">
                  <c:v>2483</c:v>
                </c:pt>
                <c:pt idx="51">
                  <c:v>3638</c:v>
                </c:pt>
                <c:pt idx="52">
                  <c:v>4427</c:v>
                </c:pt>
                <c:pt idx="53">
                  <c:v>1897</c:v>
                </c:pt>
                <c:pt idx="54">
                  <c:v>2860</c:v>
                </c:pt>
                <c:pt idx="55">
                  <c:v>2846</c:v>
                </c:pt>
                <c:pt idx="56">
                  <c:v>1890</c:v>
                </c:pt>
                <c:pt idx="57">
                  <c:v>1725</c:v>
                </c:pt>
                <c:pt idx="58">
                  <c:v>2263</c:v>
                </c:pt>
                <c:pt idx="59">
                  <c:v>2074</c:v>
                </c:pt>
                <c:pt idx="60">
                  <c:v>1849</c:v>
                </c:pt>
                <c:pt idx="61">
                  <c:v>1997</c:v>
                </c:pt>
                <c:pt idx="62">
                  <c:v>3302</c:v>
                </c:pt>
                <c:pt idx="63">
                  <c:v>2917</c:v>
                </c:pt>
                <c:pt idx="64">
                  <c:v>2468</c:v>
                </c:pt>
              </c:numCache>
            </c:numRef>
          </c:val>
          <c:extLst>
            <c:ext xmlns:c16="http://schemas.microsoft.com/office/drawing/2014/chart" uri="{C3380CC4-5D6E-409C-BE32-E72D297353CC}">
              <c16:uniqueId val="{00000000-BC27-4F62-9E72-5C60FB5FEBCC}"/>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GrafOurense!$E$30</c:f>
              <c:strCache>
                <c:ptCount val="1"/>
                <c:pt idx="0">
                  <c:v>Nuevos Casos</c:v>
                </c:pt>
              </c:strCache>
            </c:strRef>
          </c:tx>
          <c:spPr>
            <a:ln w="28575" cap="rnd">
              <a:solidFill>
                <a:schemeClr val="accent1"/>
              </a:solidFill>
              <a:round/>
            </a:ln>
            <a:effectLst/>
          </c:spPr>
          <c:marker>
            <c:symbol val="none"/>
          </c:marker>
          <c:cat>
            <c:strRef>
              <c:f>GrafOurense!$D$31:$D$96</c:f>
              <c:strCache>
                <c:ptCount val="65"/>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strCache>
            </c:strRef>
          </c:cat>
          <c:val>
            <c:numRef>
              <c:f>GrafOurense!$E$31:$E$96</c:f>
              <c:numCache>
                <c:formatCode>General</c:formatCode>
                <c:ptCount val="65"/>
                <c:pt idx="0">
                  <c:v>22</c:v>
                </c:pt>
                <c:pt idx="1">
                  <c:v>23</c:v>
                </c:pt>
                <c:pt idx="2">
                  <c:v>22</c:v>
                </c:pt>
                <c:pt idx="3">
                  <c:v>34</c:v>
                </c:pt>
                <c:pt idx="4">
                  <c:v>31</c:v>
                </c:pt>
                <c:pt idx="5">
                  <c:v>37</c:v>
                </c:pt>
                <c:pt idx="6">
                  <c:v>31</c:v>
                </c:pt>
                <c:pt idx="7">
                  <c:v>48</c:v>
                </c:pt>
                <c:pt idx="8">
                  <c:v>41</c:v>
                </c:pt>
                <c:pt idx="9">
                  <c:v>12</c:v>
                </c:pt>
                <c:pt idx="10">
                  <c:v>28</c:v>
                </c:pt>
                <c:pt idx="11">
                  <c:v>41</c:v>
                </c:pt>
                <c:pt idx="12">
                  <c:v>51</c:v>
                </c:pt>
                <c:pt idx="13">
                  <c:v>23</c:v>
                </c:pt>
                <c:pt idx="14">
                  <c:v>15</c:v>
                </c:pt>
                <c:pt idx="15">
                  <c:v>44</c:v>
                </c:pt>
                <c:pt idx="16">
                  <c:v>51</c:v>
                </c:pt>
                <c:pt idx="17">
                  <c:v>27</c:v>
                </c:pt>
                <c:pt idx="18">
                  <c:v>45</c:v>
                </c:pt>
                <c:pt idx="19">
                  <c:v>52</c:v>
                </c:pt>
                <c:pt idx="20">
                  <c:v>42</c:v>
                </c:pt>
                <c:pt idx="21">
                  <c:v>16</c:v>
                </c:pt>
                <c:pt idx="22">
                  <c:v>21</c:v>
                </c:pt>
                <c:pt idx="23">
                  <c:v>27</c:v>
                </c:pt>
                <c:pt idx="24">
                  <c:v>49</c:v>
                </c:pt>
                <c:pt idx="25">
                  <c:v>69</c:v>
                </c:pt>
                <c:pt idx="26">
                  <c:v>69</c:v>
                </c:pt>
                <c:pt idx="27">
                  <c:v>31</c:v>
                </c:pt>
                <c:pt idx="28">
                  <c:v>30</c:v>
                </c:pt>
                <c:pt idx="29">
                  <c:v>87</c:v>
                </c:pt>
                <c:pt idx="30">
                  <c:v>62</c:v>
                </c:pt>
                <c:pt idx="31">
                  <c:v>95</c:v>
                </c:pt>
                <c:pt idx="32">
                  <c:v>80</c:v>
                </c:pt>
                <c:pt idx="33">
                  <c:v>102</c:v>
                </c:pt>
                <c:pt idx="34">
                  <c:v>100</c:v>
                </c:pt>
                <c:pt idx="35">
                  <c:v>110</c:v>
                </c:pt>
                <c:pt idx="36">
                  <c:v>114</c:v>
                </c:pt>
                <c:pt idx="37">
                  <c:v>124</c:v>
                </c:pt>
                <c:pt idx="38">
                  <c:v>135</c:v>
                </c:pt>
                <c:pt idx="39">
                  <c:v>164</c:v>
                </c:pt>
                <c:pt idx="40">
                  <c:v>194</c:v>
                </c:pt>
                <c:pt idx="41">
                  <c:v>187</c:v>
                </c:pt>
                <c:pt idx="42">
                  <c:v>167</c:v>
                </c:pt>
                <c:pt idx="43">
                  <c:v>131</c:v>
                </c:pt>
                <c:pt idx="44">
                  <c:v>207</c:v>
                </c:pt>
                <c:pt idx="45">
                  <c:v>205</c:v>
                </c:pt>
                <c:pt idx="46">
                  <c:v>242</c:v>
                </c:pt>
                <c:pt idx="47">
                  <c:v>253</c:v>
                </c:pt>
                <c:pt idx="48">
                  <c:v>264</c:v>
                </c:pt>
                <c:pt idx="49">
                  <c:v>231</c:v>
                </c:pt>
                <c:pt idx="50">
                  <c:v>150</c:v>
                </c:pt>
                <c:pt idx="51">
                  <c:v>211</c:v>
                </c:pt>
                <c:pt idx="52">
                  <c:v>218</c:v>
                </c:pt>
                <c:pt idx="53">
                  <c:v>171</c:v>
                </c:pt>
                <c:pt idx="54">
                  <c:v>190</c:v>
                </c:pt>
                <c:pt idx="55">
                  <c:v>136</c:v>
                </c:pt>
                <c:pt idx="56">
                  <c:v>156</c:v>
                </c:pt>
                <c:pt idx="57">
                  <c:v>132</c:v>
                </c:pt>
                <c:pt idx="58">
                  <c:v>119</c:v>
                </c:pt>
                <c:pt idx="59">
                  <c:v>114</c:v>
                </c:pt>
                <c:pt idx="60">
                  <c:v>121</c:v>
                </c:pt>
                <c:pt idx="61">
                  <c:v>112</c:v>
                </c:pt>
                <c:pt idx="62">
                  <c:v>77</c:v>
                </c:pt>
                <c:pt idx="63">
                  <c:v>81</c:v>
                </c:pt>
                <c:pt idx="64">
                  <c:v>44</c:v>
                </c:pt>
              </c:numCache>
            </c:numRef>
          </c:val>
          <c:smooth val="0"/>
          <c:extLst>
            <c:ext xmlns:c16="http://schemas.microsoft.com/office/drawing/2014/chart" uri="{C3380CC4-5D6E-409C-BE32-E72D297353CC}">
              <c16:uniqueId val="{00000001-BC27-4F62-9E72-5C60FB5FEBCC}"/>
            </c:ext>
          </c:extLst>
        </c:ser>
        <c:ser>
          <c:idx val="1"/>
          <c:order val="1"/>
          <c:tx>
            <c:strRef>
              <c:f>GrafOurense!$F$30</c:f>
              <c:strCache>
                <c:ptCount val="1"/>
                <c:pt idx="0">
                  <c:v>Camas Hosp</c:v>
                </c:pt>
              </c:strCache>
            </c:strRef>
          </c:tx>
          <c:spPr>
            <a:ln w="28575" cap="rnd">
              <a:solidFill>
                <a:schemeClr val="accent2"/>
              </a:solidFill>
              <a:round/>
            </a:ln>
            <a:effectLst/>
          </c:spPr>
          <c:marker>
            <c:symbol val="none"/>
          </c:marker>
          <c:cat>
            <c:strRef>
              <c:f>GrafOurense!$D$31:$D$96</c:f>
              <c:strCache>
                <c:ptCount val="65"/>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strCache>
            </c:strRef>
          </c:cat>
          <c:val>
            <c:numRef>
              <c:f>GrafOurense!$F$31:$F$96</c:f>
              <c:numCache>
                <c:formatCode>General</c:formatCode>
                <c:ptCount val="65"/>
                <c:pt idx="0">
                  <c:v>37</c:v>
                </c:pt>
                <c:pt idx="1">
                  <c:v>39</c:v>
                </c:pt>
                <c:pt idx="2">
                  <c:v>33</c:v>
                </c:pt>
                <c:pt idx="3">
                  <c:v>33</c:v>
                </c:pt>
                <c:pt idx="4">
                  <c:v>34</c:v>
                </c:pt>
                <c:pt idx="5">
                  <c:v>26</c:v>
                </c:pt>
                <c:pt idx="6">
                  <c:v>30</c:v>
                </c:pt>
                <c:pt idx="7">
                  <c:v>32</c:v>
                </c:pt>
                <c:pt idx="8">
                  <c:v>36</c:v>
                </c:pt>
                <c:pt idx="9">
                  <c:v>38</c:v>
                </c:pt>
                <c:pt idx="10">
                  <c:v>35</c:v>
                </c:pt>
                <c:pt idx="11">
                  <c:v>36</c:v>
                </c:pt>
                <c:pt idx="12">
                  <c:v>36</c:v>
                </c:pt>
                <c:pt idx="13">
                  <c:v>32</c:v>
                </c:pt>
                <c:pt idx="14">
                  <c:v>32</c:v>
                </c:pt>
                <c:pt idx="15">
                  <c:v>30</c:v>
                </c:pt>
                <c:pt idx="16">
                  <c:v>30</c:v>
                </c:pt>
                <c:pt idx="17">
                  <c:v>24</c:v>
                </c:pt>
                <c:pt idx="18">
                  <c:v>27</c:v>
                </c:pt>
                <c:pt idx="19">
                  <c:v>18</c:v>
                </c:pt>
                <c:pt idx="20">
                  <c:v>20</c:v>
                </c:pt>
                <c:pt idx="21">
                  <c:v>19</c:v>
                </c:pt>
                <c:pt idx="22">
                  <c:v>22</c:v>
                </c:pt>
                <c:pt idx="23">
                  <c:v>21</c:v>
                </c:pt>
                <c:pt idx="24">
                  <c:v>22</c:v>
                </c:pt>
                <c:pt idx="25">
                  <c:v>24</c:v>
                </c:pt>
                <c:pt idx="26">
                  <c:v>21</c:v>
                </c:pt>
                <c:pt idx="27">
                  <c:v>22</c:v>
                </c:pt>
                <c:pt idx="28">
                  <c:v>23</c:v>
                </c:pt>
                <c:pt idx="29">
                  <c:v>25</c:v>
                </c:pt>
                <c:pt idx="30">
                  <c:v>28</c:v>
                </c:pt>
                <c:pt idx="31">
                  <c:v>31</c:v>
                </c:pt>
                <c:pt idx="32">
                  <c:v>32</c:v>
                </c:pt>
                <c:pt idx="33">
                  <c:v>32</c:v>
                </c:pt>
                <c:pt idx="34">
                  <c:v>30</c:v>
                </c:pt>
                <c:pt idx="35">
                  <c:v>37</c:v>
                </c:pt>
                <c:pt idx="36">
                  <c:v>42</c:v>
                </c:pt>
                <c:pt idx="37">
                  <c:v>44</c:v>
                </c:pt>
                <c:pt idx="38">
                  <c:v>44</c:v>
                </c:pt>
                <c:pt idx="39">
                  <c:v>46</c:v>
                </c:pt>
                <c:pt idx="40">
                  <c:v>54</c:v>
                </c:pt>
                <c:pt idx="41">
                  <c:v>60</c:v>
                </c:pt>
                <c:pt idx="42">
                  <c:v>75</c:v>
                </c:pt>
                <c:pt idx="43">
                  <c:v>92</c:v>
                </c:pt>
                <c:pt idx="44">
                  <c:v>105</c:v>
                </c:pt>
                <c:pt idx="45">
                  <c:v>103</c:v>
                </c:pt>
                <c:pt idx="46">
                  <c:v>114</c:v>
                </c:pt>
                <c:pt idx="47">
                  <c:v>119</c:v>
                </c:pt>
                <c:pt idx="48">
                  <c:v>129</c:v>
                </c:pt>
                <c:pt idx="49">
                  <c:v>143</c:v>
                </c:pt>
                <c:pt idx="50">
                  <c:v>156</c:v>
                </c:pt>
                <c:pt idx="51">
                  <c:v>164</c:v>
                </c:pt>
                <c:pt idx="52">
                  <c:v>172</c:v>
                </c:pt>
                <c:pt idx="53">
                  <c:v>177</c:v>
                </c:pt>
                <c:pt idx="54">
                  <c:v>178</c:v>
                </c:pt>
                <c:pt idx="55">
                  <c:v>168</c:v>
                </c:pt>
                <c:pt idx="56">
                  <c:v>171</c:v>
                </c:pt>
                <c:pt idx="57">
                  <c:v>185</c:v>
                </c:pt>
                <c:pt idx="58">
                  <c:v>184</c:v>
                </c:pt>
                <c:pt idx="59">
                  <c:v>176</c:v>
                </c:pt>
                <c:pt idx="60">
                  <c:v>156</c:v>
                </c:pt>
                <c:pt idx="61">
                  <c:v>154</c:v>
                </c:pt>
                <c:pt idx="62">
                  <c:v>145</c:v>
                </c:pt>
                <c:pt idx="63">
                  <c:v>153</c:v>
                </c:pt>
                <c:pt idx="64">
                  <c:v>161</c:v>
                </c:pt>
              </c:numCache>
            </c:numRef>
          </c:val>
          <c:smooth val="0"/>
          <c:extLst>
            <c:ext xmlns:c16="http://schemas.microsoft.com/office/drawing/2014/chart" uri="{C3380CC4-5D6E-409C-BE32-E72D297353CC}">
              <c16:uniqueId val="{00000002-BC27-4F62-9E72-5C60FB5FEBCC}"/>
            </c:ext>
          </c:extLst>
        </c:ser>
        <c:ser>
          <c:idx val="2"/>
          <c:order val="2"/>
          <c:tx>
            <c:strRef>
              <c:f>GrafOurense!$G$30</c:f>
              <c:strCache>
                <c:ptCount val="1"/>
                <c:pt idx="0">
                  <c:v>Camas UCI</c:v>
                </c:pt>
              </c:strCache>
            </c:strRef>
          </c:tx>
          <c:spPr>
            <a:ln w="28575" cap="rnd">
              <a:solidFill>
                <a:srgbClr val="FF0000"/>
              </a:solidFill>
              <a:round/>
            </a:ln>
            <a:effectLst/>
          </c:spPr>
          <c:marker>
            <c:symbol val="none"/>
          </c:marker>
          <c:cat>
            <c:strRef>
              <c:f>GrafOurense!$D$31:$D$96</c:f>
              <c:strCache>
                <c:ptCount val="65"/>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strCache>
            </c:strRef>
          </c:cat>
          <c:val>
            <c:numRef>
              <c:f>GrafOurense!$G$31:$G$96</c:f>
              <c:numCache>
                <c:formatCode>General</c:formatCode>
                <c:ptCount val="65"/>
                <c:pt idx="0">
                  <c:v>5</c:v>
                </c:pt>
                <c:pt idx="1">
                  <c:v>5</c:v>
                </c:pt>
                <c:pt idx="2">
                  <c:v>3</c:v>
                </c:pt>
                <c:pt idx="3">
                  <c:v>3</c:v>
                </c:pt>
                <c:pt idx="4">
                  <c:v>3</c:v>
                </c:pt>
                <c:pt idx="5">
                  <c:v>2</c:v>
                </c:pt>
                <c:pt idx="6">
                  <c:v>2</c:v>
                </c:pt>
                <c:pt idx="7">
                  <c:v>2</c:v>
                </c:pt>
                <c:pt idx="8">
                  <c:v>1</c:v>
                </c:pt>
                <c:pt idx="9">
                  <c:v>1</c:v>
                </c:pt>
                <c:pt idx="10">
                  <c:v>2</c:v>
                </c:pt>
                <c:pt idx="11">
                  <c:v>1</c:v>
                </c:pt>
                <c:pt idx="12">
                  <c:v>2</c:v>
                </c:pt>
                <c:pt idx="13">
                  <c:v>3</c:v>
                </c:pt>
                <c:pt idx="14">
                  <c:v>3</c:v>
                </c:pt>
                <c:pt idx="15">
                  <c:v>4</c:v>
                </c:pt>
                <c:pt idx="16">
                  <c:v>4</c:v>
                </c:pt>
                <c:pt idx="17">
                  <c:v>4</c:v>
                </c:pt>
                <c:pt idx="18">
                  <c:v>4</c:v>
                </c:pt>
                <c:pt idx="19">
                  <c:v>4</c:v>
                </c:pt>
                <c:pt idx="20">
                  <c:v>3</c:v>
                </c:pt>
                <c:pt idx="21">
                  <c:v>4</c:v>
                </c:pt>
                <c:pt idx="22">
                  <c:v>4</c:v>
                </c:pt>
                <c:pt idx="23">
                  <c:v>4</c:v>
                </c:pt>
                <c:pt idx="24">
                  <c:v>3</c:v>
                </c:pt>
                <c:pt idx="25">
                  <c:v>3</c:v>
                </c:pt>
                <c:pt idx="26">
                  <c:v>2</c:v>
                </c:pt>
                <c:pt idx="27">
                  <c:v>2</c:v>
                </c:pt>
                <c:pt idx="28">
                  <c:v>3</c:v>
                </c:pt>
                <c:pt idx="29">
                  <c:v>3</c:v>
                </c:pt>
                <c:pt idx="30">
                  <c:v>2</c:v>
                </c:pt>
                <c:pt idx="31">
                  <c:v>1</c:v>
                </c:pt>
                <c:pt idx="32">
                  <c:v>2</c:v>
                </c:pt>
                <c:pt idx="33">
                  <c:v>2</c:v>
                </c:pt>
                <c:pt idx="34">
                  <c:v>3</c:v>
                </c:pt>
                <c:pt idx="35">
                  <c:v>3</c:v>
                </c:pt>
                <c:pt idx="36">
                  <c:v>3</c:v>
                </c:pt>
                <c:pt idx="37">
                  <c:v>4</c:v>
                </c:pt>
                <c:pt idx="38">
                  <c:v>4</c:v>
                </c:pt>
                <c:pt idx="39">
                  <c:v>7</c:v>
                </c:pt>
                <c:pt idx="40">
                  <c:v>9</c:v>
                </c:pt>
                <c:pt idx="41">
                  <c:v>9</c:v>
                </c:pt>
                <c:pt idx="42">
                  <c:v>7</c:v>
                </c:pt>
                <c:pt idx="43">
                  <c:v>6</c:v>
                </c:pt>
                <c:pt idx="44">
                  <c:v>8</c:v>
                </c:pt>
                <c:pt idx="45">
                  <c:v>10</c:v>
                </c:pt>
                <c:pt idx="46">
                  <c:v>10</c:v>
                </c:pt>
                <c:pt idx="47">
                  <c:v>10</c:v>
                </c:pt>
                <c:pt idx="48">
                  <c:v>12</c:v>
                </c:pt>
                <c:pt idx="49">
                  <c:v>12</c:v>
                </c:pt>
                <c:pt idx="50">
                  <c:v>12</c:v>
                </c:pt>
                <c:pt idx="51">
                  <c:v>12</c:v>
                </c:pt>
                <c:pt idx="52">
                  <c:v>14</c:v>
                </c:pt>
                <c:pt idx="53">
                  <c:v>14</c:v>
                </c:pt>
                <c:pt idx="54">
                  <c:v>12</c:v>
                </c:pt>
                <c:pt idx="55">
                  <c:v>14</c:v>
                </c:pt>
                <c:pt idx="56">
                  <c:v>13</c:v>
                </c:pt>
                <c:pt idx="57">
                  <c:v>13</c:v>
                </c:pt>
                <c:pt idx="58">
                  <c:v>13</c:v>
                </c:pt>
                <c:pt idx="59">
                  <c:v>14</c:v>
                </c:pt>
                <c:pt idx="60">
                  <c:v>15</c:v>
                </c:pt>
                <c:pt idx="61">
                  <c:v>18</c:v>
                </c:pt>
                <c:pt idx="62">
                  <c:v>17</c:v>
                </c:pt>
                <c:pt idx="63">
                  <c:v>18</c:v>
                </c:pt>
                <c:pt idx="64">
                  <c:v>20</c:v>
                </c:pt>
              </c:numCache>
            </c:numRef>
          </c:val>
          <c:smooth val="0"/>
          <c:extLst>
            <c:ext xmlns:c16="http://schemas.microsoft.com/office/drawing/2014/chart" uri="{C3380CC4-5D6E-409C-BE32-E72D297353CC}">
              <c16:uniqueId val="{00000003-BC27-4F62-9E72-5C60FB5FEBCC}"/>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[SeguimientoIncidenciaArea.xlsm]GrafPontevedra!GrafFerrol</c:name>
    <c:fmtId val="1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Pontevedra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GrafPontevedra!$H$30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GrafPontevedra!$D$31:$D$96</c:f>
              <c:strCache>
                <c:ptCount val="65"/>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strCache>
            </c:strRef>
          </c:cat>
          <c:val>
            <c:numRef>
              <c:f>GrafPontevedra!$H$31:$H$96</c:f>
              <c:numCache>
                <c:formatCode>General</c:formatCode>
                <c:ptCount val="65"/>
                <c:pt idx="0">
                  <c:v>903</c:v>
                </c:pt>
                <c:pt idx="1">
                  <c:v>692</c:v>
                </c:pt>
                <c:pt idx="2">
                  <c:v>668</c:v>
                </c:pt>
                <c:pt idx="3">
                  <c:v>870</c:v>
                </c:pt>
                <c:pt idx="4">
                  <c:v>658</c:v>
                </c:pt>
                <c:pt idx="5">
                  <c:v>940</c:v>
                </c:pt>
                <c:pt idx="6">
                  <c:v>1190</c:v>
                </c:pt>
                <c:pt idx="7">
                  <c:v>1047</c:v>
                </c:pt>
                <c:pt idx="8">
                  <c:v>616</c:v>
                </c:pt>
                <c:pt idx="9">
                  <c:v>932</c:v>
                </c:pt>
                <c:pt idx="10">
                  <c:v>904</c:v>
                </c:pt>
                <c:pt idx="11">
                  <c:v>1014</c:v>
                </c:pt>
                <c:pt idx="12">
                  <c:v>985</c:v>
                </c:pt>
                <c:pt idx="13">
                  <c:v>1065</c:v>
                </c:pt>
                <c:pt idx="14">
                  <c:v>796</c:v>
                </c:pt>
                <c:pt idx="15">
                  <c:v>530</c:v>
                </c:pt>
                <c:pt idx="16">
                  <c:v>748</c:v>
                </c:pt>
                <c:pt idx="17">
                  <c:v>1001</c:v>
                </c:pt>
                <c:pt idx="18">
                  <c:v>1102</c:v>
                </c:pt>
                <c:pt idx="19">
                  <c:v>1132</c:v>
                </c:pt>
                <c:pt idx="20">
                  <c:v>552</c:v>
                </c:pt>
                <c:pt idx="21">
                  <c:v>559</c:v>
                </c:pt>
                <c:pt idx="22">
                  <c:v>808</c:v>
                </c:pt>
                <c:pt idx="23">
                  <c:v>606</c:v>
                </c:pt>
                <c:pt idx="24">
                  <c:v>1052</c:v>
                </c:pt>
                <c:pt idx="25">
                  <c:v>1164</c:v>
                </c:pt>
                <c:pt idx="26">
                  <c:v>1104</c:v>
                </c:pt>
                <c:pt idx="27">
                  <c:v>403</c:v>
                </c:pt>
                <c:pt idx="28">
                  <c:v>376</c:v>
                </c:pt>
                <c:pt idx="29">
                  <c:v>412</c:v>
                </c:pt>
                <c:pt idx="30">
                  <c:v>710</c:v>
                </c:pt>
                <c:pt idx="31">
                  <c:v>885</c:v>
                </c:pt>
                <c:pt idx="32">
                  <c:v>819</c:v>
                </c:pt>
                <c:pt idx="33">
                  <c:v>576</c:v>
                </c:pt>
                <c:pt idx="34">
                  <c:v>623</c:v>
                </c:pt>
                <c:pt idx="35">
                  <c:v>771</c:v>
                </c:pt>
                <c:pt idx="36">
                  <c:v>425</c:v>
                </c:pt>
                <c:pt idx="37">
                  <c:v>581</c:v>
                </c:pt>
                <c:pt idx="38">
                  <c:v>767</c:v>
                </c:pt>
                <c:pt idx="39">
                  <c:v>911</c:v>
                </c:pt>
                <c:pt idx="40">
                  <c:v>919</c:v>
                </c:pt>
                <c:pt idx="41">
                  <c:v>804</c:v>
                </c:pt>
                <c:pt idx="42">
                  <c:v>753</c:v>
                </c:pt>
                <c:pt idx="43">
                  <c:v>970</c:v>
                </c:pt>
                <c:pt idx="44">
                  <c:v>1018</c:v>
                </c:pt>
                <c:pt idx="45">
                  <c:v>1391</c:v>
                </c:pt>
                <c:pt idx="46">
                  <c:v>1526</c:v>
                </c:pt>
                <c:pt idx="47">
                  <c:v>1753</c:v>
                </c:pt>
                <c:pt idx="48">
                  <c:v>1854</c:v>
                </c:pt>
                <c:pt idx="49">
                  <c:v>1393</c:v>
                </c:pt>
                <c:pt idx="50">
                  <c:v>1553</c:v>
                </c:pt>
                <c:pt idx="51">
                  <c:v>1764</c:v>
                </c:pt>
                <c:pt idx="52">
                  <c:v>1599</c:v>
                </c:pt>
                <c:pt idx="53">
                  <c:v>1882</c:v>
                </c:pt>
                <c:pt idx="54">
                  <c:v>1782</c:v>
                </c:pt>
                <c:pt idx="55">
                  <c:v>2453</c:v>
                </c:pt>
                <c:pt idx="56">
                  <c:v>2248</c:v>
                </c:pt>
                <c:pt idx="57">
                  <c:v>1129</c:v>
                </c:pt>
                <c:pt idx="58">
                  <c:v>1308</c:v>
                </c:pt>
                <c:pt idx="59">
                  <c:v>1681</c:v>
                </c:pt>
                <c:pt idx="60">
                  <c:v>2692</c:v>
                </c:pt>
                <c:pt idx="61">
                  <c:v>3430</c:v>
                </c:pt>
                <c:pt idx="62">
                  <c:v>3397</c:v>
                </c:pt>
                <c:pt idx="63">
                  <c:v>2503</c:v>
                </c:pt>
                <c:pt idx="64">
                  <c:v>1121</c:v>
                </c:pt>
              </c:numCache>
            </c:numRef>
          </c:val>
          <c:extLst>
            <c:ext xmlns:c16="http://schemas.microsoft.com/office/drawing/2014/chart" uri="{C3380CC4-5D6E-409C-BE32-E72D297353CC}">
              <c16:uniqueId val="{00000000-EBEC-46E1-AB1B-B742C909C314}"/>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GrafPontevedra!$E$30</c:f>
              <c:strCache>
                <c:ptCount val="1"/>
                <c:pt idx="0">
                  <c:v>Nuevos Casos</c:v>
                </c:pt>
              </c:strCache>
            </c:strRef>
          </c:tx>
          <c:spPr>
            <a:ln w="28575" cap="rnd">
              <a:solidFill>
                <a:schemeClr val="accent1"/>
              </a:solidFill>
              <a:round/>
            </a:ln>
            <a:effectLst/>
          </c:spPr>
          <c:marker>
            <c:symbol val="none"/>
          </c:marker>
          <c:cat>
            <c:strRef>
              <c:f>GrafPontevedra!$D$31:$D$96</c:f>
              <c:strCache>
                <c:ptCount val="65"/>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strCache>
            </c:strRef>
          </c:cat>
          <c:val>
            <c:numRef>
              <c:f>GrafPontevedra!$E$31:$E$96</c:f>
              <c:numCache>
                <c:formatCode>General</c:formatCode>
                <c:ptCount val="65"/>
                <c:pt idx="0">
                  <c:v>37</c:v>
                </c:pt>
                <c:pt idx="1">
                  <c:v>33</c:v>
                </c:pt>
                <c:pt idx="2">
                  <c:v>44</c:v>
                </c:pt>
                <c:pt idx="3">
                  <c:v>48</c:v>
                </c:pt>
                <c:pt idx="4">
                  <c:v>39</c:v>
                </c:pt>
                <c:pt idx="5">
                  <c:v>37</c:v>
                </c:pt>
                <c:pt idx="6">
                  <c:v>64</c:v>
                </c:pt>
                <c:pt idx="7">
                  <c:v>68</c:v>
                </c:pt>
                <c:pt idx="8">
                  <c:v>52</c:v>
                </c:pt>
                <c:pt idx="9">
                  <c:v>82</c:v>
                </c:pt>
                <c:pt idx="10">
                  <c:v>45</c:v>
                </c:pt>
                <c:pt idx="11">
                  <c:v>61</c:v>
                </c:pt>
                <c:pt idx="12">
                  <c:v>72</c:v>
                </c:pt>
                <c:pt idx="13">
                  <c:v>64</c:v>
                </c:pt>
                <c:pt idx="14">
                  <c:v>58</c:v>
                </c:pt>
                <c:pt idx="15">
                  <c:v>26</c:v>
                </c:pt>
                <c:pt idx="16">
                  <c:v>45</c:v>
                </c:pt>
                <c:pt idx="17">
                  <c:v>36</c:v>
                </c:pt>
                <c:pt idx="18">
                  <c:v>60</c:v>
                </c:pt>
                <c:pt idx="19">
                  <c:v>58</c:v>
                </c:pt>
                <c:pt idx="20">
                  <c:v>39</c:v>
                </c:pt>
                <c:pt idx="21">
                  <c:v>46</c:v>
                </c:pt>
                <c:pt idx="22">
                  <c:v>37</c:v>
                </c:pt>
                <c:pt idx="23">
                  <c:v>39</c:v>
                </c:pt>
                <c:pt idx="24">
                  <c:v>53</c:v>
                </c:pt>
                <c:pt idx="25">
                  <c:v>30</c:v>
                </c:pt>
                <c:pt idx="26">
                  <c:v>51</c:v>
                </c:pt>
                <c:pt idx="27">
                  <c:v>46</c:v>
                </c:pt>
                <c:pt idx="28">
                  <c:v>26</c:v>
                </c:pt>
                <c:pt idx="29">
                  <c:v>59</c:v>
                </c:pt>
                <c:pt idx="30">
                  <c:v>44</c:v>
                </c:pt>
                <c:pt idx="31">
                  <c:v>33</c:v>
                </c:pt>
                <c:pt idx="32">
                  <c:v>50</c:v>
                </c:pt>
                <c:pt idx="33">
                  <c:v>55</c:v>
                </c:pt>
                <c:pt idx="34">
                  <c:v>63</c:v>
                </c:pt>
                <c:pt idx="35">
                  <c:v>50</c:v>
                </c:pt>
                <c:pt idx="36">
                  <c:v>67</c:v>
                </c:pt>
                <c:pt idx="37">
                  <c:v>95</c:v>
                </c:pt>
                <c:pt idx="38">
                  <c:v>62</c:v>
                </c:pt>
                <c:pt idx="39">
                  <c:v>85</c:v>
                </c:pt>
                <c:pt idx="40">
                  <c:v>81</c:v>
                </c:pt>
                <c:pt idx="41">
                  <c:v>100</c:v>
                </c:pt>
                <c:pt idx="42">
                  <c:v>92</c:v>
                </c:pt>
                <c:pt idx="43">
                  <c:v>126</c:v>
                </c:pt>
                <c:pt idx="44">
                  <c:v>100</c:v>
                </c:pt>
                <c:pt idx="45">
                  <c:v>88</c:v>
                </c:pt>
                <c:pt idx="46">
                  <c:v>214</c:v>
                </c:pt>
                <c:pt idx="47">
                  <c:v>162</c:v>
                </c:pt>
                <c:pt idx="48">
                  <c:v>154</c:v>
                </c:pt>
                <c:pt idx="49">
                  <c:v>134</c:v>
                </c:pt>
                <c:pt idx="50">
                  <c:v>201</c:v>
                </c:pt>
                <c:pt idx="51">
                  <c:v>216</c:v>
                </c:pt>
                <c:pt idx="52">
                  <c:v>165</c:v>
                </c:pt>
                <c:pt idx="53">
                  <c:v>187</c:v>
                </c:pt>
                <c:pt idx="54">
                  <c:v>170</c:v>
                </c:pt>
                <c:pt idx="55">
                  <c:v>208</c:v>
                </c:pt>
                <c:pt idx="56">
                  <c:v>168</c:v>
                </c:pt>
                <c:pt idx="57">
                  <c:v>119</c:v>
                </c:pt>
                <c:pt idx="58">
                  <c:v>154</c:v>
                </c:pt>
                <c:pt idx="59">
                  <c:v>179</c:v>
                </c:pt>
                <c:pt idx="60">
                  <c:v>115</c:v>
                </c:pt>
                <c:pt idx="61">
                  <c:v>163</c:v>
                </c:pt>
                <c:pt idx="62">
                  <c:v>114</c:v>
                </c:pt>
                <c:pt idx="63">
                  <c:v>112</c:v>
                </c:pt>
                <c:pt idx="64">
                  <c:v>59</c:v>
                </c:pt>
              </c:numCache>
            </c:numRef>
          </c:val>
          <c:smooth val="0"/>
          <c:extLst>
            <c:ext xmlns:c16="http://schemas.microsoft.com/office/drawing/2014/chart" uri="{C3380CC4-5D6E-409C-BE32-E72D297353CC}">
              <c16:uniqueId val="{00000001-EBEC-46E1-AB1B-B742C909C314}"/>
            </c:ext>
          </c:extLst>
        </c:ser>
        <c:ser>
          <c:idx val="1"/>
          <c:order val="1"/>
          <c:tx>
            <c:strRef>
              <c:f>GrafPontevedra!$F$30</c:f>
              <c:strCache>
                <c:ptCount val="1"/>
                <c:pt idx="0">
                  <c:v>Camas Hosp</c:v>
                </c:pt>
              </c:strCache>
            </c:strRef>
          </c:tx>
          <c:spPr>
            <a:ln w="28575" cap="rnd">
              <a:solidFill>
                <a:schemeClr val="accent2"/>
              </a:solidFill>
              <a:round/>
            </a:ln>
            <a:effectLst/>
          </c:spPr>
          <c:marker>
            <c:symbol val="none"/>
          </c:marker>
          <c:cat>
            <c:strRef>
              <c:f>GrafPontevedra!$D$31:$D$96</c:f>
              <c:strCache>
                <c:ptCount val="65"/>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strCache>
            </c:strRef>
          </c:cat>
          <c:val>
            <c:numRef>
              <c:f>GrafPontevedra!$F$31:$F$96</c:f>
              <c:numCache>
                <c:formatCode>General</c:formatCode>
                <c:ptCount val="65"/>
                <c:pt idx="0">
                  <c:v>42</c:v>
                </c:pt>
                <c:pt idx="1">
                  <c:v>44</c:v>
                </c:pt>
                <c:pt idx="2">
                  <c:v>40</c:v>
                </c:pt>
                <c:pt idx="3">
                  <c:v>41</c:v>
                </c:pt>
                <c:pt idx="4">
                  <c:v>42</c:v>
                </c:pt>
                <c:pt idx="5">
                  <c:v>42</c:v>
                </c:pt>
                <c:pt idx="6">
                  <c:v>39</c:v>
                </c:pt>
                <c:pt idx="7">
                  <c:v>38</c:v>
                </c:pt>
                <c:pt idx="8">
                  <c:v>42</c:v>
                </c:pt>
                <c:pt idx="9">
                  <c:v>44</c:v>
                </c:pt>
                <c:pt idx="10">
                  <c:v>44</c:v>
                </c:pt>
                <c:pt idx="11">
                  <c:v>44</c:v>
                </c:pt>
                <c:pt idx="12">
                  <c:v>46</c:v>
                </c:pt>
                <c:pt idx="13">
                  <c:v>37</c:v>
                </c:pt>
                <c:pt idx="14">
                  <c:v>40</c:v>
                </c:pt>
                <c:pt idx="15">
                  <c:v>42</c:v>
                </c:pt>
                <c:pt idx="16">
                  <c:v>42</c:v>
                </c:pt>
                <c:pt idx="17">
                  <c:v>42</c:v>
                </c:pt>
                <c:pt idx="18">
                  <c:v>40</c:v>
                </c:pt>
                <c:pt idx="19">
                  <c:v>39</c:v>
                </c:pt>
                <c:pt idx="20">
                  <c:v>45</c:v>
                </c:pt>
                <c:pt idx="21">
                  <c:v>45</c:v>
                </c:pt>
                <c:pt idx="22">
                  <c:v>50</c:v>
                </c:pt>
                <c:pt idx="23">
                  <c:v>44</c:v>
                </c:pt>
                <c:pt idx="24">
                  <c:v>41</c:v>
                </c:pt>
                <c:pt idx="25">
                  <c:v>42</c:v>
                </c:pt>
                <c:pt idx="26">
                  <c:v>39</c:v>
                </c:pt>
                <c:pt idx="27">
                  <c:v>32</c:v>
                </c:pt>
                <c:pt idx="28">
                  <c:v>35</c:v>
                </c:pt>
                <c:pt idx="29">
                  <c:v>39</c:v>
                </c:pt>
                <c:pt idx="30">
                  <c:v>37</c:v>
                </c:pt>
                <c:pt idx="31">
                  <c:v>44</c:v>
                </c:pt>
                <c:pt idx="32">
                  <c:v>46</c:v>
                </c:pt>
                <c:pt idx="33">
                  <c:v>39</c:v>
                </c:pt>
                <c:pt idx="34">
                  <c:v>40</c:v>
                </c:pt>
                <c:pt idx="35">
                  <c:v>38</c:v>
                </c:pt>
                <c:pt idx="36">
                  <c:v>44</c:v>
                </c:pt>
                <c:pt idx="37">
                  <c:v>45</c:v>
                </c:pt>
                <c:pt idx="38">
                  <c:v>47</c:v>
                </c:pt>
                <c:pt idx="39">
                  <c:v>51</c:v>
                </c:pt>
                <c:pt idx="40">
                  <c:v>54</c:v>
                </c:pt>
                <c:pt idx="41">
                  <c:v>54</c:v>
                </c:pt>
                <c:pt idx="42">
                  <c:v>56</c:v>
                </c:pt>
                <c:pt idx="43">
                  <c:v>64</c:v>
                </c:pt>
                <c:pt idx="44">
                  <c:v>67</c:v>
                </c:pt>
                <c:pt idx="45">
                  <c:v>62</c:v>
                </c:pt>
                <c:pt idx="46">
                  <c:v>74</c:v>
                </c:pt>
                <c:pt idx="47">
                  <c:v>83</c:v>
                </c:pt>
                <c:pt idx="48">
                  <c:v>84</c:v>
                </c:pt>
                <c:pt idx="49">
                  <c:v>102</c:v>
                </c:pt>
                <c:pt idx="50">
                  <c:v>107</c:v>
                </c:pt>
                <c:pt idx="51">
                  <c:v>113</c:v>
                </c:pt>
                <c:pt idx="52">
                  <c:v>118</c:v>
                </c:pt>
                <c:pt idx="53">
                  <c:v>116</c:v>
                </c:pt>
                <c:pt idx="54">
                  <c:v>119</c:v>
                </c:pt>
                <c:pt idx="55">
                  <c:v>112</c:v>
                </c:pt>
                <c:pt idx="56">
                  <c:v>124</c:v>
                </c:pt>
                <c:pt idx="57">
                  <c:v>131</c:v>
                </c:pt>
                <c:pt idx="58">
                  <c:v>130</c:v>
                </c:pt>
                <c:pt idx="59">
                  <c:v>117</c:v>
                </c:pt>
                <c:pt idx="60">
                  <c:v>113</c:v>
                </c:pt>
                <c:pt idx="61">
                  <c:v>112</c:v>
                </c:pt>
                <c:pt idx="62">
                  <c:v>106</c:v>
                </c:pt>
                <c:pt idx="63">
                  <c:v>105</c:v>
                </c:pt>
                <c:pt idx="64">
                  <c:v>111</c:v>
                </c:pt>
              </c:numCache>
            </c:numRef>
          </c:val>
          <c:smooth val="0"/>
          <c:extLst>
            <c:ext xmlns:c16="http://schemas.microsoft.com/office/drawing/2014/chart" uri="{C3380CC4-5D6E-409C-BE32-E72D297353CC}">
              <c16:uniqueId val="{00000002-EBEC-46E1-AB1B-B742C909C314}"/>
            </c:ext>
          </c:extLst>
        </c:ser>
        <c:ser>
          <c:idx val="2"/>
          <c:order val="2"/>
          <c:tx>
            <c:strRef>
              <c:f>GrafPontevedra!$G$30</c:f>
              <c:strCache>
                <c:ptCount val="1"/>
                <c:pt idx="0">
                  <c:v>Camas UCI</c:v>
                </c:pt>
              </c:strCache>
            </c:strRef>
          </c:tx>
          <c:spPr>
            <a:ln w="28575" cap="rnd">
              <a:solidFill>
                <a:srgbClr val="FF0000"/>
              </a:solidFill>
              <a:round/>
            </a:ln>
            <a:effectLst/>
          </c:spPr>
          <c:marker>
            <c:symbol val="none"/>
          </c:marker>
          <c:cat>
            <c:strRef>
              <c:f>GrafPontevedra!$D$31:$D$96</c:f>
              <c:strCache>
                <c:ptCount val="65"/>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strCache>
            </c:strRef>
          </c:cat>
          <c:val>
            <c:numRef>
              <c:f>GrafPontevedra!$G$31:$G$96</c:f>
              <c:numCache>
                <c:formatCode>General</c:formatCode>
                <c:ptCount val="65"/>
                <c:pt idx="0">
                  <c:v>9</c:v>
                </c:pt>
                <c:pt idx="1">
                  <c:v>9</c:v>
                </c:pt>
                <c:pt idx="2">
                  <c:v>9</c:v>
                </c:pt>
                <c:pt idx="3">
                  <c:v>9</c:v>
                </c:pt>
                <c:pt idx="4">
                  <c:v>9</c:v>
                </c:pt>
                <c:pt idx="5">
                  <c:v>10</c:v>
                </c:pt>
                <c:pt idx="6">
                  <c:v>9</c:v>
                </c:pt>
                <c:pt idx="7">
                  <c:v>8</c:v>
                </c:pt>
                <c:pt idx="8">
                  <c:v>8</c:v>
                </c:pt>
                <c:pt idx="9">
                  <c:v>8</c:v>
                </c:pt>
                <c:pt idx="10">
                  <c:v>8</c:v>
                </c:pt>
                <c:pt idx="11">
                  <c:v>9</c:v>
                </c:pt>
                <c:pt idx="12">
                  <c:v>9</c:v>
                </c:pt>
                <c:pt idx="13">
                  <c:v>8</c:v>
                </c:pt>
                <c:pt idx="14">
                  <c:v>8</c:v>
                </c:pt>
                <c:pt idx="15">
                  <c:v>7</c:v>
                </c:pt>
                <c:pt idx="16">
                  <c:v>8</c:v>
                </c:pt>
                <c:pt idx="17">
                  <c:v>6</c:v>
                </c:pt>
                <c:pt idx="18">
                  <c:v>8</c:v>
                </c:pt>
                <c:pt idx="19">
                  <c:v>9</c:v>
                </c:pt>
                <c:pt idx="20">
                  <c:v>9</c:v>
                </c:pt>
                <c:pt idx="21">
                  <c:v>11</c:v>
                </c:pt>
                <c:pt idx="22">
                  <c:v>11</c:v>
                </c:pt>
                <c:pt idx="23">
                  <c:v>10</c:v>
                </c:pt>
                <c:pt idx="24">
                  <c:v>11</c:v>
                </c:pt>
                <c:pt idx="25">
                  <c:v>10</c:v>
                </c:pt>
                <c:pt idx="26">
                  <c:v>12</c:v>
                </c:pt>
                <c:pt idx="27">
                  <c:v>12</c:v>
                </c:pt>
                <c:pt idx="28">
                  <c:v>9</c:v>
                </c:pt>
                <c:pt idx="29">
                  <c:v>8</c:v>
                </c:pt>
                <c:pt idx="30">
                  <c:v>11</c:v>
                </c:pt>
                <c:pt idx="31">
                  <c:v>11</c:v>
                </c:pt>
                <c:pt idx="32">
                  <c:v>10</c:v>
                </c:pt>
                <c:pt idx="33">
                  <c:v>12</c:v>
                </c:pt>
                <c:pt idx="34">
                  <c:v>12</c:v>
                </c:pt>
                <c:pt idx="35">
                  <c:v>12</c:v>
                </c:pt>
                <c:pt idx="36">
                  <c:v>11</c:v>
                </c:pt>
                <c:pt idx="37">
                  <c:v>10</c:v>
                </c:pt>
                <c:pt idx="38">
                  <c:v>10</c:v>
                </c:pt>
                <c:pt idx="39">
                  <c:v>9</c:v>
                </c:pt>
                <c:pt idx="40">
                  <c:v>11</c:v>
                </c:pt>
                <c:pt idx="41">
                  <c:v>12</c:v>
                </c:pt>
                <c:pt idx="42">
                  <c:v>12</c:v>
                </c:pt>
                <c:pt idx="43">
                  <c:v>13</c:v>
                </c:pt>
                <c:pt idx="44">
                  <c:v>11</c:v>
                </c:pt>
                <c:pt idx="45">
                  <c:v>14</c:v>
                </c:pt>
                <c:pt idx="46">
                  <c:v>14</c:v>
                </c:pt>
                <c:pt idx="47">
                  <c:v>14</c:v>
                </c:pt>
                <c:pt idx="48">
                  <c:v>13</c:v>
                </c:pt>
                <c:pt idx="49">
                  <c:v>15</c:v>
                </c:pt>
                <c:pt idx="50">
                  <c:v>15</c:v>
                </c:pt>
                <c:pt idx="51">
                  <c:v>15</c:v>
                </c:pt>
                <c:pt idx="52">
                  <c:v>16</c:v>
                </c:pt>
                <c:pt idx="53">
                  <c:v>17</c:v>
                </c:pt>
                <c:pt idx="54">
                  <c:v>25</c:v>
                </c:pt>
                <c:pt idx="55">
                  <c:v>29</c:v>
                </c:pt>
                <c:pt idx="56">
                  <c:v>30</c:v>
                </c:pt>
                <c:pt idx="57">
                  <c:v>31</c:v>
                </c:pt>
                <c:pt idx="58">
                  <c:v>30</c:v>
                </c:pt>
                <c:pt idx="59">
                  <c:v>29</c:v>
                </c:pt>
                <c:pt idx="60">
                  <c:v>27</c:v>
                </c:pt>
                <c:pt idx="61">
                  <c:v>27</c:v>
                </c:pt>
                <c:pt idx="62">
                  <c:v>24</c:v>
                </c:pt>
                <c:pt idx="63">
                  <c:v>23</c:v>
                </c:pt>
                <c:pt idx="64">
                  <c:v>21</c:v>
                </c:pt>
              </c:numCache>
            </c:numRef>
          </c:val>
          <c:smooth val="0"/>
          <c:extLst>
            <c:ext xmlns:c16="http://schemas.microsoft.com/office/drawing/2014/chart" uri="{C3380CC4-5D6E-409C-BE32-E72D297353CC}">
              <c16:uniqueId val="{00000003-EBEC-46E1-AB1B-B742C909C314}"/>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[SeguimientoIncidenciaArea.xlsm]GrafSantiago!GrafFerrol</c:name>
    <c:fmtId val="1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Santiago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GrafSantiago!$H$30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GrafSantiago!$D$31:$D$96</c:f>
              <c:strCache>
                <c:ptCount val="65"/>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strCache>
            </c:strRef>
          </c:cat>
          <c:val>
            <c:numRef>
              <c:f>GrafSantiago!$H$31:$H$96</c:f>
              <c:numCache>
                <c:formatCode>General</c:formatCode>
                <c:ptCount val="65"/>
                <c:pt idx="0">
                  <c:v>1511</c:v>
                </c:pt>
                <c:pt idx="1">
                  <c:v>1235</c:v>
                </c:pt>
                <c:pt idx="2">
                  <c:v>1965</c:v>
                </c:pt>
                <c:pt idx="3">
                  <c:v>977</c:v>
                </c:pt>
                <c:pt idx="4">
                  <c:v>2131</c:v>
                </c:pt>
                <c:pt idx="5">
                  <c:v>1032</c:v>
                </c:pt>
                <c:pt idx="6">
                  <c:v>1403</c:v>
                </c:pt>
                <c:pt idx="7">
                  <c:v>1524</c:v>
                </c:pt>
                <c:pt idx="8">
                  <c:v>2247</c:v>
                </c:pt>
                <c:pt idx="9">
                  <c:v>2079</c:v>
                </c:pt>
                <c:pt idx="10">
                  <c:v>2786</c:v>
                </c:pt>
                <c:pt idx="11">
                  <c:v>2237</c:v>
                </c:pt>
                <c:pt idx="12">
                  <c:v>1679</c:v>
                </c:pt>
                <c:pt idx="13">
                  <c:v>2252</c:v>
                </c:pt>
                <c:pt idx="14">
                  <c:v>1742</c:v>
                </c:pt>
                <c:pt idx="15">
                  <c:v>1797</c:v>
                </c:pt>
                <c:pt idx="16">
                  <c:v>1931</c:v>
                </c:pt>
                <c:pt idx="17">
                  <c:v>1751</c:v>
                </c:pt>
                <c:pt idx="18">
                  <c:v>1830</c:v>
                </c:pt>
                <c:pt idx="19">
                  <c:v>2605</c:v>
                </c:pt>
                <c:pt idx="20">
                  <c:v>2032</c:v>
                </c:pt>
                <c:pt idx="21">
                  <c:v>740</c:v>
                </c:pt>
                <c:pt idx="22">
                  <c:v>986</c:v>
                </c:pt>
                <c:pt idx="23">
                  <c:v>929</c:v>
                </c:pt>
                <c:pt idx="24">
                  <c:v>1432</c:v>
                </c:pt>
                <c:pt idx="25">
                  <c:v>1273</c:v>
                </c:pt>
                <c:pt idx="26">
                  <c:v>1586</c:v>
                </c:pt>
                <c:pt idx="27">
                  <c:v>1044</c:v>
                </c:pt>
                <c:pt idx="28">
                  <c:v>735</c:v>
                </c:pt>
                <c:pt idx="29">
                  <c:v>979</c:v>
                </c:pt>
                <c:pt idx="30">
                  <c:v>814</c:v>
                </c:pt>
                <c:pt idx="31">
                  <c:v>2273</c:v>
                </c:pt>
                <c:pt idx="32">
                  <c:v>2202</c:v>
                </c:pt>
                <c:pt idx="33">
                  <c:v>2867</c:v>
                </c:pt>
                <c:pt idx="34">
                  <c:v>2658</c:v>
                </c:pt>
                <c:pt idx="35">
                  <c:v>2487</c:v>
                </c:pt>
                <c:pt idx="36">
                  <c:v>2090</c:v>
                </c:pt>
                <c:pt idx="37">
                  <c:v>1307</c:v>
                </c:pt>
                <c:pt idx="38">
                  <c:v>2689</c:v>
                </c:pt>
                <c:pt idx="39">
                  <c:v>2474</c:v>
                </c:pt>
                <c:pt idx="40">
                  <c:v>2174</c:v>
                </c:pt>
                <c:pt idx="41">
                  <c:v>2242</c:v>
                </c:pt>
                <c:pt idx="42">
                  <c:v>1812</c:v>
                </c:pt>
                <c:pt idx="43">
                  <c:v>1698</c:v>
                </c:pt>
                <c:pt idx="44">
                  <c:v>2275</c:v>
                </c:pt>
                <c:pt idx="45">
                  <c:v>2535</c:v>
                </c:pt>
                <c:pt idx="46">
                  <c:v>2509</c:v>
                </c:pt>
                <c:pt idx="47">
                  <c:v>2698</c:v>
                </c:pt>
                <c:pt idx="48">
                  <c:v>2298</c:v>
                </c:pt>
                <c:pt idx="49">
                  <c:v>2076</c:v>
                </c:pt>
                <c:pt idx="50">
                  <c:v>2797</c:v>
                </c:pt>
                <c:pt idx="51">
                  <c:v>2737</c:v>
                </c:pt>
                <c:pt idx="52">
                  <c:v>2622</c:v>
                </c:pt>
                <c:pt idx="53">
                  <c:v>2987</c:v>
                </c:pt>
                <c:pt idx="54">
                  <c:v>3301</c:v>
                </c:pt>
                <c:pt idx="55">
                  <c:v>4126</c:v>
                </c:pt>
                <c:pt idx="56">
                  <c:v>3852</c:v>
                </c:pt>
                <c:pt idx="57">
                  <c:v>4024</c:v>
                </c:pt>
                <c:pt idx="58">
                  <c:v>4434</c:v>
                </c:pt>
                <c:pt idx="59">
                  <c:v>5173</c:v>
                </c:pt>
                <c:pt idx="60">
                  <c:v>4266</c:v>
                </c:pt>
                <c:pt idx="61">
                  <c:v>4548</c:v>
                </c:pt>
                <c:pt idx="62">
                  <c:v>3966</c:v>
                </c:pt>
                <c:pt idx="63">
                  <c:v>6597</c:v>
                </c:pt>
                <c:pt idx="64">
                  <c:v>6779</c:v>
                </c:pt>
              </c:numCache>
            </c:numRef>
          </c:val>
          <c:extLst>
            <c:ext xmlns:c16="http://schemas.microsoft.com/office/drawing/2014/chart" uri="{C3380CC4-5D6E-409C-BE32-E72D297353CC}">
              <c16:uniqueId val="{00000000-803B-4550-AA0B-132F46452B8E}"/>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GrafSantiago!$E$30</c:f>
              <c:strCache>
                <c:ptCount val="1"/>
                <c:pt idx="0">
                  <c:v>Nuevos Casos</c:v>
                </c:pt>
              </c:strCache>
            </c:strRef>
          </c:tx>
          <c:spPr>
            <a:ln w="28575" cap="rnd">
              <a:solidFill>
                <a:schemeClr val="accent1"/>
              </a:solidFill>
              <a:round/>
            </a:ln>
            <a:effectLst/>
          </c:spPr>
          <c:marker>
            <c:symbol val="none"/>
          </c:marker>
          <c:cat>
            <c:strRef>
              <c:f>GrafSantiago!$D$31:$D$96</c:f>
              <c:strCache>
                <c:ptCount val="65"/>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strCache>
            </c:strRef>
          </c:cat>
          <c:val>
            <c:numRef>
              <c:f>GrafSantiago!$E$31:$E$96</c:f>
              <c:numCache>
                <c:formatCode>General</c:formatCode>
                <c:ptCount val="65"/>
                <c:pt idx="0">
                  <c:v>52</c:v>
                </c:pt>
                <c:pt idx="1">
                  <c:v>47</c:v>
                </c:pt>
                <c:pt idx="2">
                  <c:v>65</c:v>
                </c:pt>
                <c:pt idx="3">
                  <c:v>53</c:v>
                </c:pt>
                <c:pt idx="4">
                  <c:v>77</c:v>
                </c:pt>
                <c:pt idx="5">
                  <c:v>66</c:v>
                </c:pt>
                <c:pt idx="6">
                  <c:v>91</c:v>
                </c:pt>
                <c:pt idx="7">
                  <c:v>96</c:v>
                </c:pt>
                <c:pt idx="8">
                  <c:v>88</c:v>
                </c:pt>
                <c:pt idx="9">
                  <c:v>78</c:v>
                </c:pt>
                <c:pt idx="10">
                  <c:v>118</c:v>
                </c:pt>
                <c:pt idx="11">
                  <c:v>110</c:v>
                </c:pt>
                <c:pt idx="12">
                  <c:v>104</c:v>
                </c:pt>
                <c:pt idx="13">
                  <c:v>101</c:v>
                </c:pt>
                <c:pt idx="14">
                  <c:v>81</c:v>
                </c:pt>
                <c:pt idx="15">
                  <c:v>64</c:v>
                </c:pt>
                <c:pt idx="16">
                  <c:v>55</c:v>
                </c:pt>
                <c:pt idx="17">
                  <c:v>80</c:v>
                </c:pt>
                <c:pt idx="18">
                  <c:v>114</c:v>
                </c:pt>
                <c:pt idx="19">
                  <c:v>78</c:v>
                </c:pt>
                <c:pt idx="20">
                  <c:v>99</c:v>
                </c:pt>
                <c:pt idx="21">
                  <c:v>79</c:v>
                </c:pt>
                <c:pt idx="22">
                  <c:v>76</c:v>
                </c:pt>
                <c:pt idx="23">
                  <c:v>72</c:v>
                </c:pt>
                <c:pt idx="24">
                  <c:v>121</c:v>
                </c:pt>
                <c:pt idx="25">
                  <c:v>115</c:v>
                </c:pt>
                <c:pt idx="26">
                  <c:v>103</c:v>
                </c:pt>
                <c:pt idx="27">
                  <c:v>122</c:v>
                </c:pt>
                <c:pt idx="28">
                  <c:v>66</c:v>
                </c:pt>
                <c:pt idx="29">
                  <c:v>53</c:v>
                </c:pt>
                <c:pt idx="30">
                  <c:v>60</c:v>
                </c:pt>
                <c:pt idx="31">
                  <c:v>156</c:v>
                </c:pt>
                <c:pt idx="32">
                  <c:v>106</c:v>
                </c:pt>
                <c:pt idx="33">
                  <c:v>179</c:v>
                </c:pt>
                <c:pt idx="34">
                  <c:v>203</c:v>
                </c:pt>
                <c:pt idx="35">
                  <c:v>98</c:v>
                </c:pt>
                <c:pt idx="36">
                  <c:v>99</c:v>
                </c:pt>
                <c:pt idx="37">
                  <c:v>200</c:v>
                </c:pt>
                <c:pt idx="38">
                  <c:v>195</c:v>
                </c:pt>
                <c:pt idx="39">
                  <c:v>231</c:v>
                </c:pt>
                <c:pt idx="40">
                  <c:v>210</c:v>
                </c:pt>
                <c:pt idx="41">
                  <c:v>211</c:v>
                </c:pt>
                <c:pt idx="42">
                  <c:v>177</c:v>
                </c:pt>
                <c:pt idx="43">
                  <c:v>140</c:v>
                </c:pt>
                <c:pt idx="44">
                  <c:v>206</c:v>
                </c:pt>
                <c:pt idx="45">
                  <c:v>190</c:v>
                </c:pt>
                <c:pt idx="46">
                  <c:v>233</c:v>
                </c:pt>
                <c:pt idx="47">
                  <c:v>295</c:v>
                </c:pt>
                <c:pt idx="48">
                  <c:v>253</c:v>
                </c:pt>
                <c:pt idx="49">
                  <c:v>159</c:v>
                </c:pt>
                <c:pt idx="50">
                  <c:v>294</c:v>
                </c:pt>
                <c:pt idx="51">
                  <c:v>239</c:v>
                </c:pt>
                <c:pt idx="52">
                  <c:v>225</c:v>
                </c:pt>
                <c:pt idx="53">
                  <c:v>197</c:v>
                </c:pt>
                <c:pt idx="54">
                  <c:v>301</c:v>
                </c:pt>
                <c:pt idx="55">
                  <c:v>266</c:v>
                </c:pt>
                <c:pt idx="56">
                  <c:v>176</c:v>
                </c:pt>
                <c:pt idx="57">
                  <c:v>148</c:v>
                </c:pt>
                <c:pt idx="58">
                  <c:v>169</c:v>
                </c:pt>
                <c:pt idx="59">
                  <c:v>129</c:v>
                </c:pt>
                <c:pt idx="60">
                  <c:v>242</c:v>
                </c:pt>
                <c:pt idx="61">
                  <c:v>172</c:v>
                </c:pt>
                <c:pt idx="62">
                  <c:v>130</c:v>
                </c:pt>
                <c:pt idx="63">
                  <c:v>108</c:v>
                </c:pt>
                <c:pt idx="64">
                  <c:v>73</c:v>
                </c:pt>
              </c:numCache>
            </c:numRef>
          </c:val>
          <c:smooth val="0"/>
          <c:extLst>
            <c:ext xmlns:c16="http://schemas.microsoft.com/office/drawing/2014/chart" uri="{C3380CC4-5D6E-409C-BE32-E72D297353CC}">
              <c16:uniqueId val="{00000001-803B-4550-AA0B-132F46452B8E}"/>
            </c:ext>
          </c:extLst>
        </c:ser>
        <c:ser>
          <c:idx val="1"/>
          <c:order val="1"/>
          <c:tx>
            <c:strRef>
              <c:f>GrafSantiago!$F$30</c:f>
              <c:strCache>
                <c:ptCount val="1"/>
                <c:pt idx="0">
                  <c:v>Camas Hosp</c:v>
                </c:pt>
              </c:strCache>
            </c:strRef>
          </c:tx>
          <c:spPr>
            <a:ln w="28575" cap="rnd">
              <a:solidFill>
                <a:schemeClr val="accent2"/>
              </a:solidFill>
              <a:round/>
            </a:ln>
            <a:effectLst/>
          </c:spPr>
          <c:marker>
            <c:symbol val="none"/>
          </c:marker>
          <c:cat>
            <c:strRef>
              <c:f>GrafSantiago!$D$31:$D$96</c:f>
              <c:strCache>
                <c:ptCount val="65"/>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strCache>
            </c:strRef>
          </c:cat>
          <c:val>
            <c:numRef>
              <c:f>GrafSantiago!$F$31:$F$96</c:f>
              <c:numCache>
                <c:formatCode>General</c:formatCode>
                <c:ptCount val="65"/>
                <c:pt idx="0">
                  <c:v>43</c:v>
                </c:pt>
                <c:pt idx="1">
                  <c:v>45</c:v>
                </c:pt>
                <c:pt idx="2">
                  <c:v>51</c:v>
                </c:pt>
                <c:pt idx="3">
                  <c:v>52</c:v>
                </c:pt>
                <c:pt idx="4">
                  <c:v>53</c:v>
                </c:pt>
                <c:pt idx="5">
                  <c:v>52</c:v>
                </c:pt>
                <c:pt idx="6">
                  <c:v>50</c:v>
                </c:pt>
                <c:pt idx="7">
                  <c:v>56</c:v>
                </c:pt>
                <c:pt idx="8">
                  <c:v>62</c:v>
                </c:pt>
                <c:pt idx="9">
                  <c:v>67</c:v>
                </c:pt>
                <c:pt idx="10">
                  <c:v>64</c:v>
                </c:pt>
                <c:pt idx="11">
                  <c:v>62</c:v>
                </c:pt>
                <c:pt idx="12">
                  <c:v>63</c:v>
                </c:pt>
                <c:pt idx="13">
                  <c:v>66</c:v>
                </c:pt>
                <c:pt idx="14">
                  <c:v>73</c:v>
                </c:pt>
                <c:pt idx="15">
                  <c:v>76</c:v>
                </c:pt>
                <c:pt idx="16">
                  <c:v>73</c:v>
                </c:pt>
                <c:pt idx="17">
                  <c:v>76</c:v>
                </c:pt>
                <c:pt idx="18">
                  <c:v>70</c:v>
                </c:pt>
                <c:pt idx="19">
                  <c:v>63</c:v>
                </c:pt>
                <c:pt idx="20">
                  <c:v>65</c:v>
                </c:pt>
                <c:pt idx="21">
                  <c:v>69</c:v>
                </c:pt>
                <c:pt idx="22">
                  <c:v>71</c:v>
                </c:pt>
                <c:pt idx="23">
                  <c:v>74</c:v>
                </c:pt>
                <c:pt idx="24">
                  <c:v>65</c:v>
                </c:pt>
                <c:pt idx="25">
                  <c:v>69</c:v>
                </c:pt>
                <c:pt idx="26">
                  <c:v>75</c:v>
                </c:pt>
                <c:pt idx="27">
                  <c:v>79</c:v>
                </c:pt>
                <c:pt idx="28">
                  <c:v>76</c:v>
                </c:pt>
                <c:pt idx="29">
                  <c:v>74</c:v>
                </c:pt>
                <c:pt idx="30">
                  <c:v>80</c:v>
                </c:pt>
                <c:pt idx="31">
                  <c:v>83</c:v>
                </c:pt>
                <c:pt idx="32">
                  <c:v>91</c:v>
                </c:pt>
                <c:pt idx="33">
                  <c:v>92</c:v>
                </c:pt>
                <c:pt idx="34">
                  <c:v>94</c:v>
                </c:pt>
                <c:pt idx="35">
                  <c:v>98</c:v>
                </c:pt>
                <c:pt idx="36">
                  <c:v>101</c:v>
                </c:pt>
                <c:pt idx="37">
                  <c:v>105</c:v>
                </c:pt>
                <c:pt idx="38">
                  <c:v>93</c:v>
                </c:pt>
                <c:pt idx="39">
                  <c:v>92</c:v>
                </c:pt>
                <c:pt idx="40">
                  <c:v>94</c:v>
                </c:pt>
                <c:pt idx="41">
                  <c:v>97</c:v>
                </c:pt>
                <c:pt idx="42">
                  <c:v>95</c:v>
                </c:pt>
                <c:pt idx="43">
                  <c:v>99</c:v>
                </c:pt>
                <c:pt idx="44">
                  <c:v>100</c:v>
                </c:pt>
                <c:pt idx="45">
                  <c:v>106</c:v>
                </c:pt>
                <c:pt idx="46">
                  <c:v>108</c:v>
                </c:pt>
                <c:pt idx="47">
                  <c:v>114</c:v>
                </c:pt>
                <c:pt idx="48">
                  <c:v>106</c:v>
                </c:pt>
                <c:pt idx="49">
                  <c:v>112</c:v>
                </c:pt>
                <c:pt idx="50">
                  <c:v>122</c:v>
                </c:pt>
                <c:pt idx="51">
                  <c:v>124</c:v>
                </c:pt>
                <c:pt idx="52">
                  <c:v>126</c:v>
                </c:pt>
                <c:pt idx="53">
                  <c:v>119</c:v>
                </c:pt>
                <c:pt idx="54">
                  <c:v>133</c:v>
                </c:pt>
                <c:pt idx="55">
                  <c:v>131</c:v>
                </c:pt>
                <c:pt idx="56">
                  <c:v>141</c:v>
                </c:pt>
                <c:pt idx="57">
                  <c:v>156</c:v>
                </c:pt>
                <c:pt idx="58">
                  <c:v>141</c:v>
                </c:pt>
                <c:pt idx="59">
                  <c:v>125</c:v>
                </c:pt>
                <c:pt idx="60">
                  <c:v>128</c:v>
                </c:pt>
                <c:pt idx="61">
                  <c:v>131</c:v>
                </c:pt>
                <c:pt idx="62">
                  <c:v>136</c:v>
                </c:pt>
                <c:pt idx="63">
                  <c:v>129</c:v>
                </c:pt>
                <c:pt idx="64">
                  <c:v>133</c:v>
                </c:pt>
              </c:numCache>
            </c:numRef>
          </c:val>
          <c:smooth val="0"/>
          <c:extLst>
            <c:ext xmlns:c16="http://schemas.microsoft.com/office/drawing/2014/chart" uri="{C3380CC4-5D6E-409C-BE32-E72D297353CC}">
              <c16:uniqueId val="{00000002-803B-4550-AA0B-132F46452B8E}"/>
            </c:ext>
          </c:extLst>
        </c:ser>
        <c:ser>
          <c:idx val="2"/>
          <c:order val="2"/>
          <c:tx>
            <c:strRef>
              <c:f>GrafSantiago!$G$30</c:f>
              <c:strCache>
                <c:ptCount val="1"/>
                <c:pt idx="0">
                  <c:v>Camas UCI</c:v>
                </c:pt>
              </c:strCache>
            </c:strRef>
          </c:tx>
          <c:spPr>
            <a:ln w="28575" cap="rnd">
              <a:solidFill>
                <a:srgbClr val="FF0000"/>
              </a:solidFill>
              <a:round/>
            </a:ln>
            <a:effectLst/>
          </c:spPr>
          <c:marker>
            <c:symbol val="none"/>
          </c:marker>
          <c:cat>
            <c:strRef>
              <c:f>GrafSantiago!$D$31:$D$96</c:f>
              <c:strCache>
                <c:ptCount val="65"/>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strCache>
            </c:strRef>
          </c:cat>
          <c:val>
            <c:numRef>
              <c:f>GrafSantiago!$G$31:$G$96</c:f>
              <c:numCache>
                <c:formatCode>General</c:formatCode>
                <c:ptCount val="65"/>
                <c:pt idx="0">
                  <c:v>6</c:v>
                </c:pt>
                <c:pt idx="1">
                  <c:v>6</c:v>
                </c:pt>
                <c:pt idx="2">
                  <c:v>6</c:v>
                </c:pt>
                <c:pt idx="3">
                  <c:v>6</c:v>
                </c:pt>
                <c:pt idx="4">
                  <c:v>6</c:v>
                </c:pt>
                <c:pt idx="5">
                  <c:v>7</c:v>
                </c:pt>
                <c:pt idx="6">
                  <c:v>11</c:v>
                </c:pt>
                <c:pt idx="7">
                  <c:v>10</c:v>
                </c:pt>
                <c:pt idx="8">
                  <c:v>11</c:v>
                </c:pt>
                <c:pt idx="9">
                  <c:v>8</c:v>
                </c:pt>
                <c:pt idx="10">
                  <c:v>7</c:v>
                </c:pt>
                <c:pt idx="11">
                  <c:v>6</c:v>
                </c:pt>
                <c:pt idx="12">
                  <c:v>6</c:v>
                </c:pt>
                <c:pt idx="13">
                  <c:v>6</c:v>
                </c:pt>
                <c:pt idx="14">
                  <c:v>5</c:v>
                </c:pt>
                <c:pt idx="15">
                  <c:v>6</c:v>
                </c:pt>
                <c:pt idx="16">
                  <c:v>7</c:v>
                </c:pt>
                <c:pt idx="17">
                  <c:v>5</c:v>
                </c:pt>
                <c:pt idx="18">
                  <c:v>6</c:v>
                </c:pt>
                <c:pt idx="19">
                  <c:v>7</c:v>
                </c:pt>
                <c:pt idx="20">
                  <c:v>7</c:v>
                </c:pt>
                <c:pt idx="21">
                  <c:v>7</c:v>
                </c:pt>
                <c:pt idx="22">
                  <c:v>7</c:v>
                </c:pt>
                <c:pt idx="23">
                  <c:v>5</c:v>
                </c:pt>
                <c:pt idx="24">
                  <c:v>7</c:v>
                </c:pt>
                <c:pt idx="25">
                  <c:v>7</c:v>
                </c:pt>
                <c:pt idx="26">
                  <c:v>8</c:v>
                </c:pt>
                <c:pt idx="27">
                  <c:v>8</c:v>
                </c:pt>
                <c:pt idx="28">
                  <c:v>11</c:v>
                </c:pt>
                <c:pt idx="29">
                  <c:v>12</c:v>
                </c:pt>
                <c:pt idx="30">
                  <c:v>13</c:v>
                </c:pt>
                <c:pt idx="31">
                  <c:v>13</c:v>
                </c:pt>
                <c:pt idx="32">
                  <c:v>9</c:v>
                </c:pt>
                <c:pt idx="33">
                  <c:v>9</c:v>
                </c:pt>
                <c:pt idx="34">
                  <c:v>8</c:v>
                </c:pt>
                <c:pt idx="35">
                  <c:v>7</c:v>
                </c:pt>
                <c:pt idx="36">
                  <c:v>8</c:v>
                </c:pt>
                <c:pt idx="37">
                  <c:v>7</c:v>
                </c:pt>
                <c:pt idx="38">
                  <c:v>6</c:v>
                </c:pt>
                <c:pt idx="39">
                  <c:v>8</c:v>
                </c:pt>
                <c:pt idx="40">
                  <c:v>10</c:v>
                </c:pt>
                <c:pt idx="41">
                  <c:v>12</c:v>
                </c:pt>
                <c:pt idx="42">
                  <c:v>14</c:v>
                </c:pt>
                <c:pt idx="43">
                  <c:v>16</c:v>
                </c:pt>
                <c:pt idx="44">
                  <c:v>20</c:v>
                </c:pt>
                <c:pt idx="45">
                  <c:v>26</c:v>
                </c:pt>
                <c:pt idx="46">
                  <c:v>28</c:v>
                </c:pt>
                <c:pt idx="47">
                  <c:v>28</c:v>
                </c:pt>
                <c:pt idx="48">
                  <c:v>27</c:v>
                </c:pt>
                <c:pt idx="49">
                  <c:v>29</c:v>
                </c:pt>
                <c:pt idx="50">
                  <c:v>32</c:v>
                </c:pt>
                <c:pt idx="51">
                  <c:v>34</c:v>
                </c:pt>
                <c:pt idx="52">
                  <c:v>36</c:v>
                </c:pt>
                <c:pt idx="53">
                  <c:v>35</c:v>
                </c:pt>
                <c:pt idx="54">
                  <c:v>40</c:v>
                </c:pt>
                <c:pt idx="55">
                  <c:v>40</c:v>
                </c:pt>
                <c:pt idx="56">
                  <c:v>42</c:v>
                </c:pt>
                <c:pt idx="57">
                  <c:v>44</c:v>
                </c:pt>
                <c:pt idx="58">
                  <c:v>47</c:v>
                </c:pt>
                <c:pt idx="59">
                  <c:v>43</c:v>
                </c:pt>
                <c:pt idx="60">
                  <c:v>42</c:v>
                </c:pt>
                <c:pt idx="61">
                  <c:v>43</c:v>
                </c:pt>
                <c:pt idx="62">
                  <c:v>44</c:v>
                </c:pt>
                <c:pt idx="63">
                  <c:v>44</c:v>
                </c:pt>
                <c:pt idx="64">
                  <c:v>47</c:v>
                </c:pt>
              </c:numCache>
            </c:numRef>
          </c:val>
          <c:smooth val="0"/>
          <c:extLst>
            <c:ext xmlns:c16="http://schemas.microsoft.com/office/drawing/2014/chart" uri="{C3380CC4-5D6E-409C-BE32-E72D297353CC}">
              <c16:uniqueId val="{00000003-803B-4550-AA0B-132F46452B8E}"/>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[SeguimientoIncidenciaArea.xlsm]GrafVigo!GrafFerrol</c:name>
    <c:fmtId val="1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Vigo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1"/>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GrafVigo!$H$30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GrafVigo!$D$31:$D$96</c:f>
              <c:strCache>
                <c:ptCount val="65"/>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strCache>
            </c:strRef>
          </c:cat>
          <c:val>
            <c:numRef>
              <c:f>GrafVigo!$H$31:$H$96</c:f>
              <c:numCache>
                <c:formatCode>General</c:formatCode>
                <c:ptCount val="65"/>
                <c:pt idx="0">
                  <c:v>1839</c:v>
                </c:pt>
                <c:pt idx="1">
                  <c:v>1408</c:v>
                </c:pt>
                <c:pt idx="2">
                  <c:v>1383</c:v>
                </c:pt>
                <c:pt idx="3">
                  <c:v>1609</c:v>
                </c:pt>
                <c:pt idx="4">
                  <c:v>2725</c:v>
                </c:pt>
                <c:pt idx="5">
                  <c:v>2064</c:v>
                </c:pt>
                <c:pt idx="6">
                  <c:v>1876</c:v>
                </c:pt>
                <c:pt idx="7">
                  <c:v>2448</c:v>
                </c:pt>
                <c:pt idx="8">
                  <c:v>2135</c:v>
                </c:pt>
                <c:pt idx="9">
                  <c:v>2352</c:v>
                </c:pt>
                <c:pt idx="10">
                  <c:v>2468</c:v>
                </c:pt>
                <c:pt idx="11">
                  <c:v>2761</c:v>
                </c:pt>
                <c:pt idx="12">
                  <c:v>1733</c:v>
                </c:pt>
                <c:pt idx="13">
                  <c:v>1896</c:v>
                </c:pt>
                <c:pt idx="14">
                  <c:v>2659</c:v>
                </c:pt>
                <c:pt idx="15">
                  <c:v>1800</c:v>
                </c:pt>
                <c:pt idx="16">
                  <c:v>2626</c:v>
                </c:pt>
                <c:pt idx="17">
                  <c:v>3059</c:v>
                </c:pt>
                <c:pt idx="18">
                  <c:v>2898</c:v>
                </c:pt>
                <c:pt idx="19">
                  <c:v>2089</c:v>
                </c:pt>
                <c:pt idx="20">
                  <c:v>1228</c:v>
                </c:pt>
                <c:pt idx="21">
                  <c:v>592</c:v>
                </c:pt>
                <c:pt idx="22">
                  <c:v>919</c:v>
                </c:pt>
                <c:pt idx="23">
                  <c:v>819</c:v>
                </c:pt>
                <c:pt idx="24">
                  <c:v>1468</c:v>
                </c:pt>
                <c:pt idx="25">
                  <c:v>1609</c:v>
                </c:pt>
                <c:pt idx="26">
                  <c:v>1809</c:v>
                </c:pt>
                <c:pt idx="27">
                  <c:v>890</c:v>
                </c:pt>
                <c:pt idx="28">
                  <c:v>1114</c:v>
                </c:pt>
                <c:pt idx="29">
                  <c:v>1212</c:v>
                </c:pt>
                <c:pt idx="30">
                  <c:v>834</c:v>
                </c:pt>
                <c:pt idx="31">
                  <c:v>1445</c:v>
                </c:pt>
                <c:pt idx="32">
                  <c:v>1566</c:v>
                </c:pt>
                <c:pt idx="33">
                  <c:v>759</c:v>
                </c:pt>
                <c:pt idx="34">
                  <c:v>2056</c:v>
                </c:pt>
                <c:pt idx="35">
                  <c:v>1826</c:v>
                </c:pt>
                <c:pt idx="36">
                  <c:v>1741</c:v>
                </c:pt>
                <c:pt idx="37">
                  <c:v>1422</c:v>
                </c:pt>
                <c:pt idx="38">
                  <c:v>2193</c:v>
                </c:pt>
                <c:pt idx="39">
                  <c:v>2551</c:v>
                </c:pt>
                <c:pt idx="40">
                  <c:v>2453</c:v>
                </c:pt>
                <c:pt idx="41">
                  <c:v>2554</c:v>
                </c:pt>
                <c:pt idx="42">
                  <c:v>2618</c:v>
                </c:pt>
                <c:pt idx="43">
                  <c:v>1593</c:v>
                </c:pt>
                <c:pt idx="44">
                  <c:v>2865</c:v>
                </c:pt>
                <c:pt idx="45">
                  <c:v>2839</c:v>
                </c:pt>
                <c:pt idx="46">
                  <c:v>3665</c:v>
                </c:pt>
                <c:pt idx="47">
                  <c:v>3193</c:v>
                </c:pt>
                <c:pt idx="48">
                  <c:v>2345</c:v>
                </c:pt>
                <c:pt idx="49">
                  <c:v>3113</c:v>
                </c:pt>
                <c:pt idx="50">
                  <c:v>2925</c:v>
                </c:pt>
                <c:pt idx="51">
                  <c:v>2092</c:v>
                </c:pt>
                <c:pt idx="52">
                  <c:v>3024</c:v>
                </c:pt>
                <c:pt idx="53">
                  <c:v>2703</c:v>
                </c:pt>
                <c:pt idx="54">
                  <c:v>3311</c:v>
                </c:pt>
                <c:pt idx="55">
                  <c:v>2874</c:v>
                </c:pt>
                <c:pt idx="56">
                  <c:v>3267</c:v>
                </c:pt>
                <c:pt idx="57">
                  <c:v>6618</c:v>
                </c:pt>
                <c:pt idx="58">
                  <c:v>6059</c:v>
                </c:pt>
                <c:pt idx="59">
                  <c:v>7097</c:v>
                </c:pt>
                <c:pt idx="60">
                  <c:v>7130</c:v>
                </c:pt>
                <c:pt idx="61">
                  <c:v>6457</c:v>
                </c:pt>
                <c:pt idx="62">
                  <c:v>2728</c:v>
                </c:pt>
                <c:pt idx="63">
                  <c:v>3602</c:v>
                </c:pt>
                <c:pt idx="64">
                  <c:v>2194</c:v>
                </c:pt>
              </c:numCache>
            </c:numRef>
          </c:val>
          <c:extLst>
            <c:ext xmlns:c16="http://schemas.microsoft.com/office/drawing/2014/chart" uri="{C3380CC4-5D6E-409C-BE32-E72D297353CC}">
              <c16:uniqueId val="{00000000-0427-497C-AA4A-342D30BD9FC9}"/>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GrafVigo!$E$30</c:f>
              <c:strCache>
                <c:ptCount val="1"/>
                <c:pt idx="0">
                  <c:v>Nuevos Casos</c:v>
                </c:pt>
              </c:strCache>
            </c:strRef>
          </c:tx>
          <c:spPr>
            <a:ln w="28575" cap="rnd">
              <a:solidFill>
                <a:schemeClr val="accent1"/>
              </a:solidFill>
              <a:round/>
            </a:ln>
            <a:effectLst/>
          </c:spPr>
          <c:marker>
            <c:symbol val="none"/>
          </c:marker>
          <c:cat>
            <c:strRef>
              <c:f>GrafVigo!$D$31:$D$96</c:f>
              <c:strCache>
                <c:ptCount val="65"/>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strCache>
            </c:strRef>
          </c:cat>
          <c:val>
            <c:numRef>
              <c:f>GrafVigo!$E$31:$E$96</c:f>
              <c:numCache>
                <c:formatCode>General</c:formatCode>
                <c:ptCount val="65"/>
                <c:pt idx="0">
                  <c:v>91</c:v>
                </c:pt>
                <c:pt idx="1">
                  <c:v>53</c:v>
                </c:pt>
                <c:pt idx="2">
                  <c:v>60</c:v>
                </c:pt>
                <c:pt idx="3">
                  <c:v>79</c:v>
                </c:pt>
                <c:pt idx="4">
                  <c:v>52</c:v>
                </c:pt>
                <c:pt idx="5">
                  <c:v>127</c:v>
                </c:pt>
                <c:pt idx="6">
                  <c:v>53</c:v>
                </c:pt>
                <c:pt idx="7">
                  <c:v>93</c:v>
                </c:pt>
                <c:pt idx="8">
                  <c:v>56</c:v>
                </c:pt>
                <c:pt idx="9">
                  <c:v>50</c:v>
                </c:pt>
                <c:pt idx="10">
                  <c:v>121</c:v>
                </c:pt>
                <c:pt idx="11">
                  <c:v>95</c:v>
                </c:pt>
                <c:pt idx="12">
                  <c:v>95</c:v>
                </c:pt>
                <c:pt idx="13">
                  <c:v>83</c:v>
                </c:pt>
                <c:pt idx="14">
                  <c:v>76</c:v>
                </c:pt>
                <c:pt idx="15">
                  <c:v>69</c:v>
                </c:pt>
                <c:pt idx="16">
                  <c:v>46</c:v>
                </c:pt>
                <c:pt idx="17">
                  <c:v>92</c:v>
                </c:pt>
                <c:pt idx="18">
                  <c:v>117</c:v>
                </c:pt>
                <c:pt idx="19">
                  <c:v>65</c:v>
                </c:pt>
                <c:pt idx="20">
                  <c:v>88</c:v>
                </c:pt>
                <c:pt idx="21">
                  <c:v>39</c:v>
                </c:pt>
                <c:pt idx="22">
                  <c:v>52</c:v>
                </c:pt>
                <c:pt idx="23">
                  <c:v>77</c:v>
                </c:pt>
                <c:pt idx="24">
                  <c:v>75</c:v>
                </c:pt>
                <c:pt idx="25">
                  <c:v>91</c:v>
                </c:pt>
                <c:pt idx="26">
                  <c:v>131</c:v>
                </c:pt>
                <c:pt idx="27">
                  <c:v>71</c:v>
                </c:pt>
                <c:pt idx="28">
                  <c:v>85</c:v>
                </c:pt>
                <c:pt idx="29">
                  <c:v>33</c:v>
                </c:pt>
                <c:pt idx="30">
                  <c:v>32</c:v>
                </c:pt>
                <c:pt idx="31">
                  <c:v>95</c:v>
                </c:pt>
                <c:pt idx="32">
                  <c:v>184</c:v>
                </c:pt>
                <c:pt idx="33">
                  <c:v>78</c:v>
                </c:pt>
                <c:pt idx="34">
                  <c:v>220</c:v>
                </c:pt>
                <c:pt idx="35">
                  <c:v>136</c:v>
                </c:pt>
                <c:pt idx="36">
                  <c:v>120</c:v>
                </c:pt>
                <c:pt idx="37">
                  <c:v>148</c:v>
                </c:pt>
                <c:pt idx="38">
                  <c:v>221</c:v>
                </c:pt>
                <c:pt idx="39">
                  <c:v>244</c:v>
                </c:pt>
                <c:pt idx="40">
                  <c:v>191</c:v>
                </c:pt>
                <c:pt idx="41">
                  <c:v>278</c:v>
                </c:pt>
                <c:pt idx="42">
                  <c:v>256</c:v>
                </c:pt>
                <c:pt idx="43">
                  <c:v>154</c:v>
                </c:pt>
                <c:pt idx="44">
                  <c:v>187</c:v>
                </c:pt>
                <c:pt idx="45">
                  <c:v>239</c:v>
                </c:pt>
                <c:pt idx="46">
                  <c:v>323</c:v>
                </c:pt>
                <c:pt idx="47">
                  <c:v>354</c:v>
                </c:pt>
                <c:pt idx="48">
                  <c:v>331</c:v>
                </c:pt>
                <c:pt idx="49">
                  <c:v>275</c:v>
                </c:pt>
                <c:pt idx="50">
                  <c:v>230</c:v>
                </c:pt>
                <c:pt idx="51">
                  <c:v>177</c:v>
                </c:pt>
                <c:pt idx="52">
                  <c:v>225</c:v>
                </c:pt>
                <c:pt idx="53">
                  <c:v>255</c:v>
                </c:pt>
                <c:pt idx="54">
                  <c:v>349</c:v>
                </c:pt>
                <c:pt idx="55">
                  <c:v>251</c:v>
                </c:pt>
                <c:pt idx="56">
                  <c:v>277</c:v>
                </c:pt>
                <c:pt idx="57">
                  <c:v>153</c:v>
                </c:pt>
                <c:pt idx="58">
                  <c:v>135</c:v>
                </c:pt>
                <c:pt idx="59">
                  <c:v>239</c:v>
                </c:pt>
                <c:pt idx="60">
                  <c:v>204</c:v>
                </c:pt>
                <c:pt idx="61">
                  <c:v>135</c:v>
                </c:pt>
                <c:pt idx="62">
                  <c:v>156</c:v>
                </c:pt>
                <c:pt idx="63">
                  <c:v>103</c:v>
                </c:pt>
                <c:pt idx="64">
                  <c:v>71</c:v>
                </c:pt>
              </c:numCache>
            </c:numRef>
          </c:val>
          <c:smooth val="0"/>
          <c:extLst>
            <c:ext xmlns:c16="http://schemas.microsoft.com/office/drawing/2014/chart" uri="{C3380CC4-5D6E-409C-BE32-E72D297353CC}">
              <c16:uniqueId val="{00000001-0427-497C-AA4A-342D30BD9FC9}"/>
            </c:ext>
          </c:extLst>
        </c:ser>
        <c:ser>
          <c:idx val="1"/>
          <c:order val="1"/>
          <c:tx>
            <c:strRef>
              <c:f>GrafVigo!$F$30</c:f>
              <c:strCache>
                <c:ptCount val="1"/>
                <c:pt idx="0">
                  <c:v>Camas Hosp</c:v>
                </c:pt>
              </c:strCache>
            </c:strRef>
          </c:tx>
          <c:spPr>
            <a:ln w="28575" cap="rnd">
              <a:solidFill>
                <a:schemeClr val="accent2"/>
              </a:solidFill>
              <a:round/>
            </a:ln>
            <a:effectLst/>
          </c:spPr>
          <c:marker>
            <c:symbol val="none"/>
          </c:marker>
          <c:cat>
            <c:strRef>
              <c:f>GrafVigo!$D$31:$D$96</c:f>
              <c:strCache>
                <c:ptCount val="65"/>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strCache>
            </c:strRef>
          </c:cat>
          <c:val>
            <c:numRef>
              <c:f>GrafVigo!$F$31:$F$96</c:f>
              <c:numCache>
                <c:formatCode>General</c:formatCode>
                <c:ptCount val="65"/>
                <c:pt idx="0">
                  <c:v>65</c:v>
                </c:pt>
                <c:pt idx="1">
                  <c:v>66</c:v>
                </c:pt>
                <c:pt idx="2">
                  <c:v>59</c:v>
                </c:pt>
                <c:pt idx="3">
                  <c:v>59</c:v>
                </c:pt>
                <c:pt idx="4">
                  <c:v>62</c:v>
                </c:pt>
                <c:pt idx="5">
                  <c:v>60</c:v>
                </c:pt>
                <c:pt idx="6">
                  <c:v>51</c:v>
                </c:pt>
                <c:pt idx="7">
                  <c:v>47</c:v>
                </c:pt>
                <c:pt idx="8">
                  <c:v>44</c:v>
                </c:pt>
                <c:pt idx="9">
                  <c:v>48</c:v>
                </c:pt>
                <c:pt idx="10">
                  <c:v>47</c:v>
                </c:pt>
                <c:pt idx="11">
                  <c:v>45</c:v>
                </c:pt>
                <c:pt idx="12">
                  <c:v>53</c:v>
                </c:pt>
                <c:pt idx="13">
                  <c:v>45</c:v>
                </c:pt>
                <c:pt idx="14">
                  <c:v>47</c:v>
                </c:pt>
                <c:pt idx="15">
                  <c:v>49</c:v>
                </c:pt>
                <c:pt idx="16">
                  <c:v>51</c:v>
                </c:pt>
                <c:pt idx="17">
                  <c:v>56</c:v>
                </c:pt>
                <c:pt idx="18">
                  <c:v>54</c:v>
                </c:pt>
                <c:pt idx="19">
                  <c:v>50</c:v>
                </c:pt>
                <c:pt idx="20">
                  <c:v>51</c:v>
                </c:pt>
                <c:pt idx="21">
                  <c:v>50</c:v>
                </c:pt>
                <c:pt idx="22">
                  <c:v>51</c:v>
                </c:pt>
                <c:pt idx="23">
                  <c:v>44</c:v>
                </c:pt>
                <c:pt idx="24">
                  <c:v>40</c:v>
                </c:pt>
                <c:pt idx="25">
                  <c:v>42</c:v>
                </c:pt>
                <c:pt idx="26">
                  <c:v>40</c:v>
                </c:pt>
                <c:pt idx="27">
                  <c:v>41</c:v>
                </c:pt>
                <c:pt idx="28">
                  <c:v>43</c:v>
                </c:pt>
                <c:pt idx="29">
                  <c:v>51</c:v>
                </c:pt>
                <c:pt idx="30">
                  <c:v>49</c:v>
                </c:pt>
                <c:pt idx="31">
                  <c:v>41</c:v>
                </c:pt>
                <c:pt idx="32">
                  <c:v>45</c:v>
                </c:pt>
                <c:pt idx="33">
                  <c:v>39</c:v>
                </c:pt>
                <c:pt idx="34">
                  <c:v>41</c:v>
                </c:pt>
                <c:pt idx="35">
                  <c:v>41</c:v>
                </c:pt>
                <c:pt idx="36">
                  <c:v>42</c:v>
                </c:pt>
                <c:pt idx="37">
                  <c:v>45</c:v>
                </c:pt>
                <c:pt idx="38">
                  <c:v>44</c:v>
                </c:pt>
                <c:pt idx="39">
                  <c:v>47</c:v>
                </c:pt>
                <c:pt idx="40">
                  <c:v>56</c:v>
                </c:pt>
                <c:pt idx="41">
                  <c:v>50</c:v>
                </c:pt>
                <c:pt idx="42">
                  <c:v>66</c:v>
                </c:pt>
                <c:pt idx="43">
                  <c:v>85</c:v>
                </c:pt>
                <c:pt idx="44">
                  <c:v>90</c:v>
                </c:pt>
                <c:pt idx="45">
                  <c:v>112</c:v>
                </c:pt>
                <c:pt idx="46">
                  <c:v>117</c:v>
                </c:pt>
                <c:pt idx="47">
                  <c:v>116</c:v>
                </c:pt>
                <c:pt idx="48">
                  <c:v>126</c:v>
                </c:pt>
                <c:pt idx="49">
                  <c:v>139</c:v>
                </c:pt>
                <c:pt idx="50">
                  <c:v>154</c:v>
                </c:pt>
                <c:pt idx="51">
                  <c:v>159</c:v>
                </c:pt>
                <c:pt idx="52">
                  <c:v>178</c:v>
                </c:pt>
                <c:pt idx="53">
                  <c:v>172</c:v>
                </c:pt>
                <c:pt idx="54">
                  <c:v>164</c:v>
                </c:pt>
                <c:pt idx="55">
                  <c:v>153</c:v>
                </c:pt>
                <c:pt idx="56">
                  <c:v>154</c:v>
                </c:pt>
                <c:pt idx="57">
                  <c:v>166</c:v>
                </c:pt>
                <c:pt idx="58">
                  <c:v>172</c:v>
                </c:pt>
                <c:pt idx="59">
                  <c:v>165</c:v>
                </c:pt>
                <c:pt idx="60">
                  <c:v>153</c:v>
                </c:pt>
                <c:pt idx="61">
                  <c:v>136</c:v>
                </c:pt>
                <c:pt idx="62">
                  <c:v>135</c:v>
                </c:pt>
                <c:pt idx="63">
                  <c:v>136</c:v>
                </c:pt>
                <c:pt idx="64">
                  <c:v>145</c:v>
                </c:pt>
              </c:numCache>
            </c:numRef>
          </c:val>
          <c:smooth val="0"/>
          <c:extLst>
            <c:ext xmlns:c16="http://schemas.microsoft.com/office/drawing/2014/chart" uri="{C3380CC4-5D6E-409C-BE32-E72D297353CC}">
              <c16:uniqueId val="{00000002-0427-497C-AA4A-342D30BD9FC9}"/>
            </c:ext>
          </c:extLst>
        </c:ser>
        <c:ser>
          <c:idx val="2"/>
          <c:order val="2"/>
          <c:tx>
            <c:strRef>
              <c:f>GrafVigo!$G$30</c:f>
              <c:strCache>
                <c:ptCount val="1"/>
                <c:pt idx="0">
                  <c:v>Camas UCI</c:v>
                </c:pt>
              </c:strCache>
            </c:strRef>
          </c:tx>
          <c:spPr>
            <a:ln w="28575" cap="rnd">
              <a:solidFill>
                <a:srgbClr val="FF0000"/>
              </a:solidFill>
              <a:round/>
            </a:ln>
            <a:effectLst/>
          </c:spPr>
          <c:marker>
            <c:symbol val="none"/>
          </c:marker>
          <c:cat>
            <c:strRef>
              <c:f>GrafVigo!$D$31:$D$96</c:f>
              <c:strCache>
                <c:ptCount val="65"/>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strCache>
            </c:strRef>
          </c:cat>
          <c:val>
            <c:numRef>
              <c:f>GrafVigo!$G$31:$G$96</c:f>
              <c:numCache>
                <c:formatCode>General</c:formatCode>
                <c:ptCount val="65"/>
                <c:pt idx="0">
                  <c:v>12</c:v>
                </c:pt>
                <c:pt idx="1">
                  <c:v>11</c:v>
                </c:pt>
                <c:pt idx="2">
                  <c:v>9</c:v>
                </c:pt>
                <c:pt idx="3">
                  <c:v>10</c:v>
                </c:pt>
                <c:pt idx="4">
                  <c:v>11</c:v>
                </c:pt>
                <c:pt idx="5">
                  <c:v>12</c:v>
                </c:pt>
                <c:pt idx="6">
                  <c:v>11</c:v>
                </c:pt>
                <c:pt idx="7">
                  <c:v>11</c:v>
                </c:pt>
                <c:pt idx="8">
                  <c:v>12</c:v>
                </c:pt>
                <c:pt idx="9">
                  <c:v>14</c:v>
                </c:pt>
                <c:pt idx="10">
                  <c:v>13</c:v>
                </c:pt>
                <c:pt idx="11">
                  <c:v>13</c:v>
                </c:pt>
                <c:pt idx="12">
                  <c:v>13</c:v>
                </c:pt>
                <c:pt idx="13">
                  <c:v>12</c:v>
                </c:pt>
                <c:pt idx="14">
                  <c:v>12</c:v>
                </c:pt>
                <c:pt idx="15">
                  <c:v>12</c:v>
                </c:pt>
                <c:pt idx="16">
                  <c:v>9</c:v>
                </c:pt>
                <c:pt idx="17">
                  <c:v>11</c:v>
                </c:pt>
                <c:pt idx="18">
                  <c:v>11</c:v>
                </c:pt>
                <c:pt idx="19">
                  <c:v>12</c:v>
                </c:pt>
                <c:pt idx="20">
                  <c:v>13</c:v>
                </c:pt>
                <c:pt idx="21">
                  <c:v>11</c:v>
                </c:pt>
                <c:pt idx="22">
                  <c:v>12</c:v>
                </c:pt>
                <c:pt idx="23">
                  <c:v>12</c:v>
                </c:pt>
                <c:pt idx="24">
                  <c:v>11</c:v>
                </c:pt>
                <c:pt idx="25">
                  <c:v>11</c:v>
                </c:pt>
                <c:pt idx="26">
                  <c:v>9</c:v>
                </c:pt>
                <c:pt idx="27">
                  <c:v>11</c:v>
                </c:pt>
                <c:pt idx="28">
                  <c:v>12</c:v>
                </c:pt>
                <c:pt idx="29">
                  <c:v>11</c:v>
                </c:pt>
                <c:pt idx="30">
                  <c:v>12</c:v>
                </c:pt>
                <c:pt idx="31">
                  <c:v>13</c:v>
                </c:pt>
                <c:pt idx="32">
                  <c:v>14</c:v>
                </c:pt>
                <c:pt idx="33">
                  <c:v>16</c:v>
                </c:pt>
                <c:pt idx="34">
                  <c:v>18</c:v>
                </c:pt>
                <c:pt idx="35">
                  <c:v>16</c:v>
                </c:pt>
                <c:pt idx="36">
                  <c:v>19</c:v>
                </c:pt>
                <c:pt idx="37">
                  <c:v>20</c:v>
                </c:pt>
                <c:pt idx="38">
                  <c:v>22</c:v>
                </c:pt>
                <c:pt idx="39">
                  <c:v>22</c:v>
                </c:pt>
                <c:pt idx="40">
                  <c:v>22</c:v>
                </c:pt>
                <c:pt idx="41">
                  <c:v>19</c:v>
                </c:pt>
                <c:pt idx="42">
                  <c:v>18</c:v>
                </c:pt>
                <c:pt idx="43">
                  <c:v>20</c:v>
                </c:pt>
                <c:pt idx="44">
                  <c:v>21</c:v>
                </c:pt>
                <c:pt idx="45">
                  <c:v>22</c:v>
                </c:pt>
                <c:pt idx="46">
                  <c:v>22</c:v>
                </c:pt>
                <c:pt idx="47">
                  <c:v>21</c:v>
                </c:pt>
                <c:pt idx="48">
                  <c:v>22</c:v>
                </c:pt>
                <c:pt idx="49">
                  <c:v>23</c:v>
                </c:pt>
                <c:pt idx="50">
                  <c:v>21</c:v>
                </c:pt>
                <c:pt idx="51">
                  <c:v>23</c:v>
                </c:pt>
                <c:pt idx="52">
                  <c:v>23</c:v>
                </c:pt>
                <c:pt idx="53">
                  <c:v>23</c:v>
                </c:pt>
                <c:pt idx="54">
                  <c:v>23</c:v>
                </c:pt>
                <c:pt idx="55">
                  <c:v>21</c:v>
                </c:pt>
                <c:pt idx="56">
                  <c:v>21</c:v>
                </c:pt>
                <c:pt idx="57">
                  <c:v>24</c:v>
                </c:pt>
                <c:pt idx="58">
                  <c:v>25</c:v>
                </c:pt>
                <c:pt idx="59">
                  <c:v>24</c:v>
                </c:pt>
                <c:pt idx="60">
                  <c:v>25</c:v>
                </c:pt>
                <c:pt idx="61">
                  <c:v>26</c:v>
                </c:pt>
                <c:pt idx="62">
                  <c:v>26</c:v>
                </c:pt>
                <c:pt idx="63">
                  <c:v>30</c:v>
                </c:pt>
                <c:pt idx="64">
                  <c:v>29</c:v>
                </c:pt>
              </c:numCache>
            </c:numRef>
          </c:val>
          <c:smooth val="0"/>
          <c:extLst>
            <c:ext xmlns:c16="http://schemas.microsoft.com/office/drawing/2014/chart" uri="{C3380CC4-5D6E-409C-BE32-E72D297353CC}">
              <c16:uniqueId val="{00000003-0427-497C-AA4A-342D30BD9FC9}"/>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[SeguimientoIncidenciaArea.xlsm]IA!PivotTable1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Evolución</a:t>
            </a:r>
            <a:r>
              <a:rPr lang="en-US" baseline="0"/>
              <a:t> Incidencias Acumuladas</a:t>
            </a:r>
            <a:endParaRPr lang="en-US"/>
          </a:p>
        </c:rich>
      </c:tx>
      <c:layout>
        <c:manualLayout>
          <c:xMode val="edge"/>
          <c:yMode val="edge"/>
          <c:x val="0.38628630708248662"/>
          <c:y val="4.584619760778439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4.6436968425039055E-2"/>
          <c:y val="0.15218872670770706"/>
          <c:w val="0.93266839891506548"/>
          <c:h val="0.58004070938174224"/>
        </c:manualLayout>
      </c:layout>
      <c:lineChart>
        <c:grouping val="standard"/>
        <c:varyColors val="0"/>
        <c:ser>
          <c:idx val="0"/>
          <c:order val="0"/>
          <c:tx>
            <c:strRef>
              <c:f>IA!$C$26</c:f>
              <c:strCache>
                <c:ptCount val="1"/>
                <c:pt idx="0">
                  <c:v>IA 7 Normalizada</c:v>
                </c:pt>
              </c:strCache>
            </c:strRef>
          </c:tx>
          <c:spPr>
            <a:ln w="28575" cap="rnd">
              <a:solidFill>
                <a:schemeClr val="accent1"/>
              </a:solidFill>
              <a:round/>
            </a:ln>
            <a:effectLst/>
          </c:spPr>
          <c:marker>
            <c:symbol val="none"/>
          </c:marker>
          <c:cat>
            <c:strRef>
              <c:f>IA!$B$27:$B$79</c:f>
              <c:strCache>
                <c:ptCount val="52"/>
                <c:pt idx="0">
                  <c:v>2020/12/18</c:v>
                </c:pt>
                <c:pt idx="1">
                  <c:v>2020/12/19</c:v>
                </c:pt>
                <c:pt idx="2">
                  <c:v>2020/12/20</c:v>
                </c:pt>
                <c:pt idx="3">
                  <c:v>2020/12/21</c:v>
                </c:pt>
                <c:pt idx="4">
                  <c:v>2020/12/22</c:v>
                </c:pt>
                <c:pt idx="5">
                  <c:v>2020/12/23</c:v>
                </c:pt>
                <c:pt idx="6">
                  <c:v>2020/12/24</c:v>
                </c:pt>
                <c:pt idx="7">
                  <c:v>2020/12/25</c:v>
                </c:pt>
                <c:pt idx="8">
                  <c:v>2020/12/26</c:v>
                </c:pt>
                <c:pt idx="9">
                  <c:v>2020/12/27</c:v>
                </c:pt>
                <c:pt idx="10">
                  <c:v>2020/12/28</c:v>
                </c:pt>
                <c:pt idx="11">
                  <c:v>2020/12/29</c:v>
                </c:pt>
                <c:pt idx="12">
                  <c:v>2020/12/30</c:v>
                </c:pt>
                <c:pt idx="13">
                  <c:v>2020/12/31</c:v>
                </c:pt>
                <c:pt idx="14">
                  <c:v>2021/01/01</c:v>
                </c:pt>
                <c:pt idx="15">
                  <c:v>2021/01/02</c:v>
                </c:pt>
                <c:pt idx="16">
                  <c:v>2021/01/03</c:v>
                </c:pt>
                <c:pt idx="17">
                  <c:v>2021/01/04</c:v>
                </c:pt>
                <c:pt idx="18">
                  <c:v>2021/01/05</c:v>
                </c:pt>
                <c:pt idx="19">
                  <c:v>2021/01/06</c:v>
                </c:pt>
                <c:pt idx="20">
                  <c:v>2021/01/07</c:v>
                </c:pt>
                <c:pt idx="21">
                  <c:v>2021/01/08</c:v>
                </c:pt>
                <c:pt idx="22">
                  <c:v>2021/01/09</c:v>
                </c:pt>
                <c:pt idx="23">
                  <c:v>2021/01/10</c:v>
                </c:pt>
                <c:pt idx="24">
                  <c:v>2021/01/11</c:v>
                </c:pt>
                <c:pt idx="25">
                  <c:v>2021/01/12</c:v>
                </c:pt>
                <c:pt idx="26">
                  <c:v>2021/01/13</c:v>
                </c:pt>
                <c:pt idx="27">
                  <c:v>2021/01/14</c:v>
                </c:pt>
                <c:pt idx="28">
                  <c:v>2021/01/15</c:v>
                </c:pt>
                <c:pt idx="29">
                  <c:v>2021/01/16</c:v>
                </c:pt>
                <c:pt idx="30">
                  <c:v>2021/01/17</c:v>
                </c:pt>
                <c:pt idx="31">
                  <c:v>2021/01/18</c:v>
                </c:pt>
                <c:pt idx="32">
                  <c:v>2021/01/19</c:v>
                </c:pt>
                <c:pt idx="33">
                  <c:v>2021/01/20</c:v>
                </c:pt>
                <c:pt idx="34">
                  <c:v>2021/01/21</c:v>
                </c:pt>
                <c:pt idx="35">
                  <c:v>2021/01/22</c:v>
                </c:pt>
                <c:pt idx="36">
                  <c:v>2021/01/23</c:v>
                </c:pt>
                <c:pt idx="37">
                  <c:v>2021/01/24</c:v>
                </c:pt>
                <c:pt idx="38">
                  <c:v>2021/01/25</c:v>
                </c:pt>
                <c:pt idx="39">
                  <c:v>2021/01/26</c:v>
                </c:pt>
                <c:pt idx="40">
                  <c:v>2021/01/27</c:v>
                </c:pt>
                <c:pt idx="41">
                  <c:v>2021/01/28</c:v>
                </c:pt>
                <c:pt idx="42">
                  <c:v>2021/01/29</c:v>
                </c:pt>
                <c:pt idx="43">
                  <c:v>2021/01/30</c:v>
                </c:pt>
                <c:pt idx="44">
                  <c:v>2021/01/31</c:v>
                </c:pt>
                <c:pt idx="45">
                  <c:v>2021/02/01</c:v>
                </c:pt>
                <c:pt idx="46">
                  <c:v>2021/02/02</c:v>
                </c:pt>
                <c:pt idx="47">
                  <c:v>2021/02/03</c:v>
                </c:pt>
                <c:pt idx="48">
                  <c:v>2021/02/04</c:v>
                </c:pt>
                <c:pt idx="49">
                  <c:v>2021/02/05</c:v>
                </c:pt>
                <c:pt idx="50">
                  <c:v>2021/02/06</c:v>
                </c:pt>
                <c:pt idx="51">
                  <c:v>2021/02/07</c:v>
                </c:pt>
              </c:strCache>
            </c:strRef>
          </c:cat>
          <c:val>
            <c:numRef>
              <c:f>IA!$C$27:$C$79</c:f>
              <c:numCache>
                <c:formatCode>General</c:formatCode>
                <c:ptCount val="52"/>
                <c:pt idx="0">
                  <c:v>0.11916750587445452</c:v>
                </c:pt>
                <c:pt idx="1">
                  <c:v>0.12755958375293722</c:v>
                </c:pt>
                <c:pt idx="2">
                  <c:v>0.12353138637126553</c:v>
                </c:pt>
                <c:pt idx="3">
                  <c:v>0.12420275260154415</c:v>
                </c:pt>
                <c:pt idx="4">
                  <c:v>0.130580731789191</c:v>
                </c:pt>
                <c:pt idx="5">
                  <c:v>0.13024504867405171</c:v>
                </c:pt>
                <c:pt idx="6">
                  <c:v>0.1379657603222558</c:v>
                </c:pt>
                <c:pt idx="7">
                  <c:v>0.13192346424974824</c:v>
                </c:pt>
                <c:pt idx="8">
                  <c:v>0.12151728768042967</c:v>
                </c:pt>
                <c:pt idx="9">
                  <c:v>0.11983887210473314</c:v>
                </c:pt>
                <c:pt idx="10">
                  <c:v>0.13024504867405171</c:v>
                </c:pt>
                <c:pt idx="11">
                  <c:v>0.14937898623699228</c:v>
                </c:pt>
                <c:pt idx="12">
                  <c:v>0.17421953675730112</c:v>
                </c:pt>
                <c:pt idx="13">
                  <c:v>0.18764686136287345</c:v>
                </c:pt>
                <c:pt idx="14">
                  <c:v>0.20745216515609266</c:v>
                </c:pt>
                <c:pt idx="15">
                  <c:v>0.21080899630748573</c:v>
                </c:pt>
                <c:pt idx="16">
                  <c:v>0.23430681436723733</c:v>
                </c:pt>
                <c:pt idx="17">
                  <c:v>0.2450486740516952</c:v>
                </c:pt>
                <c:pt idx="18">
                  <c:v>0.26720375965088955</c:v>
                </c:pt>
                <c:pt idx="19">
                  <c:v>0.27526015441423296</c:v>
                </c:pt>
                <c:pt idx="20">
                  <c:v>0.29003021148036257</c:v>
                </c:pt>
                <c:pt idx="21">
                  <c:v>0.31722054380664655</c:v>
                </c:pt>
                <c:pt idx="22">
                  <c:v>0.36354481369587111</c:v>
                </c:pt>
                <c:pt idx="23">
                  <c:v>0.37697213830144344</c:v>
                </c:pt>
                <c:pt idx="24">
                  <c:v>0.40819066800939913</c:v>
                </c:pt>
                <c:pt idx="25">
                  <c:v>0.43135280295401141</c:v>
                </c:pt>
                <c:pt idx="26">
                  <c:v>0.4783484390735146</c:v>
                </c:pt>
                <c:pt idx="27">
                  <c:v>0.52668680765357501</c:v>
                </c:pt>
                <c:pt idx="28">
                  <c:v>0.57066129573682445</c:v>
                </c:pt>
                <c:pt idx="29">
                  <c:v>0.62974152400134276</c:v>
                </c:pt>
                <c:pt idx="30">
                  <c:v>0.67136623027861697</c:v>
                </c:pt>
                <c:pt idx="31">
                  <c:v>0.70426317556226925</c:v>
                </c:pt>
                <c:pt idx="32">
                  <c:v>0.7643504531722054</c:v>
                </c:pt>
                <c:pt idx="33">
                  <c:v>0.81268882175226587</c:v>
                </c:pt>
                <c:pt idx="34">
                  <c:v>0.86337697213830145</c:v>
                </c:pt>
                <c:pt idx="35">
                  <c:v>0.93689157435380999</c:v>
                </c:pt>
                <c:pt idx="36">
                  <c:v>0.96676737160120851</c:v>
                </c:pt>
                <c:pt idx="37">
                  <c:v>0.97280966767371602</c:v>
                </c:pt>
                <c:pt idx="38">
                  <c:v>0.99630748573346761</c:v>
                </c:pt>
                <c:pt idx="39">
                  <c:v>1</c:v>
                </c:pt>
                <c:pt idx="40">
                  <c:v>0.98892245720040284</c:v>
                </c:pt>
                <c:pt idx="41">
                  <c:v>0.96173212487411885</c:v>
                </c:pt>
                <c:pt idx="42">
                  <c:v>0.88486069150721713</c:v>
                </c:pt>
                <c:pt idx="43">
                  <c:v>0.84793554884189326</c:v>
                </c:pt>
                <c:pt idx="44">
                  <c:v>0.81906680093991269</c:v>
                </c:pt>
                <c:pt idx="45">
                  <c:v>0.78046324269889222</c:v>
                </c:pt>
                <c:pt idx="46">
                  <c:v>0.72910372608257801</c:v>
                </c:pt>
                <c:pt idx="47">
                  <c:v>0.6915072171869755</c:v>
                </c:pt>
                <c:pt idx="48">
                  <c:v>0.65592480698220879</c:v>
                </c:pt>
                <c:pt idx="49">
                  <c:v>0.63611950318898958</c:v>
                </c:pt>
                <c:pt idx="50">
                  <c:v>0.61799261497146696</c:v>
                </c:pt>
                <c:pt idx="51">
                  <c:v>0.60557233971131252</c:v>
                </c:pt>
              </c:numCache>
            </c:numRef>
          </c:val>
          <c:smooth val="0"/>
          <c:extLst>
            <c:ext xmlns:c16="http://schemas.microsoft.com/office/drawing/2014/chart" uri="{C3380CC4-5D6E-409C-BE32-E72D297353CC}">
              <c16:uniqueId val="{00000003-5E2F-43A4-BDBE-DF9333AD69B9}"/>
            </c:ext>
          </c:extLst>
        </c:ser>
        <c:ser>
          <c:idx val="1"/>
          <c:order val="1"/>
          <c:tx>
            <c:strRef>
              <c:f>IA!$D$26</c:f>
              <c:strCache>
                <c:ptCount val="1"/>
                <c:pt idx="0">
                  <c:v>IA 14 Normalizada</c:v>
                </c:pt>
              </c:strCache>
            </c:strRef>
          </c:tx>
          <c:spPr>
            <a:ln w="28575" cap="rnd">
              <a:solidFill>
                <a:schemeClr val="accent2"/>
              </a:solidFill>
              <a:round/>
            </a:ln>
            <a:effectLst/>
          </c:spPr>
          <c:marker>
            <c:symbol val="none"/>
          </c:marker>
          <c:cat>
            <c:strRef>
              <c:f>IA!$B$27:$B$79</c:f>
              <c:strCache>
                <c:ptCount val="52"/>
                <c:pt idx="0">
                  <c:v>2020/12/18</c:v>
                </c:pt>
                <c:pt idx="1">
                  <c:v>2020/12/19</c:v>
                </c:pt>
                <c:pt idx="2">
                  <c:v>2020/12/20</c:v>
                </c:pt>
                <c:pt idx="3">
                  <c:v>2020/12/21</c:v>
                </c:pt>
                <c:pt idx="4">
                  <c:v>2020/12/22</c:v>
                </c:pt>
                <c:pt idx="5">
                  <c:v>2020/12/23</c:v>
                </c:pt>
                <c:pt idx="6">
                  <c:v>2020/12/24</c:v>
                </c:pt>
                <c:pt idx="7">
                  <c:v>2020/12/25</c:v>
                </c:pt>
                <c:pt idx="8">
                  <c:v>2020/12/26</c:v>
                </c:pt>
                <c:pt idx="9">
                  <c:v>2020/12/27</c:v>
                </c:pt>
                <c:pt idx="10">
                  <c:v>2020/12/28</c:v>
                </c:pt>
                <c:pt idx="11">
                  <c:v>2020/12/29</c:v>
                </c:pt>
                <c:pt idx="12">
                  <c:v>2020/12/30</c:v>
                </c:pt>
                <c:pt idx="13">
                  <c:v>2020/12/31</c:v>
                </c:pt>
                <c:pt idx="14">
                  <c:v>2021/01/01</c:v>
                </c:pt>
                <c:pt idx="15">
                  <c:v>2021/01/02</c:v>
                </c:pt>
                <c:pt idx="16">
                  <c:v>2021/01/03</c:v>
                </c:pt>
                <c:pt idx="17">
                  <c:v>2021/01/04</c:v>
                </c:pt>
                <c:pt idx="18">
                  <c:v>2021/01/05</c:v>
                </c:pt>
                <c:pt idx="19">
                  <c:v>2021/01/06</c:v>
                </c:pt>
                <c:pt idx="20">
                  <c:v>2021/01/07</c:v>
                </c:pt>
                <c:pt idx="21">
                  <c:v>2021/01/08</c:v>
                </c:pt>
                <c:pt idx="22">
                  <c:v>2021/01/09</c:v>
                </c:pt>
                <c:pt idx="23">
                  <c:v>2021/01/10</c:v>
                </c:pt>
                <c:pt idx="24">
                  <c:v>2021/01/11</c:v>
                </c:pt>
                <c:pt idx="25">
                  <c:v>2021/01/12</c:v>
                </c:pt>
                <c:pt idx="26">
                  <c:v>2021/01/13</c:v>
                </c:pt>
                <c:pt idx="27">
                  <c:v>2021/01/14</c:v>
                </c:pt>
                <c:pt idx="28">
                  <c:v>2021/01/15</c:v>
                </c:pt>
                <c:pt idx="29">
                  <c:v>2021/01/16</c:v>
                </c:pt>
                <c:pt idx="30">
                  <c:v>2021/01/17</c:v>
                </c:pt>
                <c:pt idx="31">
                  <c:v>2021/01/18</c:v>
                </c:pt>
                <c:pt idx="32">
                  <c:v>2021/01/19</c:v>
                </c:pt>
                <c:pt idx="33">
                  <c:v>2021/01/20</c:v>
                </c:pt>
                <c:pt idx="34">
                  <c:v>2021/01/21</c:v>
                </c:pt>
                <c:pt idx="35">
                  <c:v>2021/01/22</c:v>
                </c:pt>
                <c:pt idx="36">
                  <c:v>2021/01/23</c:v>
                </c:pt>
                <c:pt idx="37">
                  <c:v>2021/01/24</c:v>
                </c:pt>
                <c:pt idx="38">
                  <c:v>2021/01/25</c:v>
                </c:pt>
                <c:pt idx="39">
                  <c:v>2021/01/26</c:v>
                </c:pt>
                <c:pt idx="40">
                  <c:v>2021/01/27</c:v>
                </c:pt>
                <c:pt idx="41">
                  <c:v>2021/01/28</c:v>
                </c:pt>
                <c:pt idx="42">
                  <c:v>2021/01/29</c:v>
                </c:pt>
                <c:pt idx="43">
                  <c:v>2021/01/30</c:v>
                </c:pt>
                <c:pt idx="44">
                  <c:v>2021/01/31</c:v>
                </c:pt>
                <c:pt idx="45">
                  <c:v>2021/02/01</c:v>
                </c:pt>
                <c:pt idx="46">
                  <c:v>2021/02/02</c:v>
                </c:pt>
                <c:pt idx="47">
                  <c:v>2021/02/03</c:v>
                </c:pt>
                <c:pt idx="48">
                  <c:v>2021/02/04</c:v>
                </c:pt>
                <c:pt idx="49">
                  <c:v>2021/02/05</c:v>
                </c:pt>
                <c:pt idx="50">
                  <c:v>2021/02/06</c:v>
                </c:pt>
                <c:pt idx="51">
                  <c:v>2021/02/07</c:v>
                </c:pt>
              </c:strCache>
            </c:strRef>
          </c:cat>
          <c:val>
            <c:numRef>
              <c:f>IA!$D$27:$D$79</c:f>
              <c:numCache>
                <c:formatCode>General</c:formatCode>
                <c:ptCount val="52"/>
                <c:pt idx="0">
                  <c:v>0.1230457973146956</c:v>
                </c:pt>
                <c:pt idx="1">
                  <c:v>0.12801177119735149</c:v>
                </c:pt>
                <c:pt idx="2">
                  <c:v>0.12801177119735149</c:v>
                </c:pt>
                <c:pt idx="3">
                  <c:v>0.12543682177671511</c:v>
                </c:pt>
                <c:pt idx="4">
                  <c:v>0.12856354607320214</c:v>
                </c:pt>
                <c:pt idx="5">
                  <c:v>0.13169027036968917</c:v>
                </c:pt>
                <c:pt idx="6">
                  <c:v>0.1361044693764944</c:v>
                </c:pt>
                <c:pt idx="7">
                  <c:v>0.13757586904542946</c:v>
                </c:pt>
                <c:pt idx="8">
                  <c:v>0.13647231929372816</c:v>
                </c:pt>
                <c:pt idx="9">
                  <c:v>0.13334559499724113</c:v>
                </c:pt>
                <c:pt idx="10">
                  <c:v>0.13941511863159831</c:v>
                </c:pt>
                <c:pt idx="11">
                  <c:v>0.15339341548648153</c:v>
                </c:pt>
                <c:pt idx="12">
                  <c:v>0.16681993746551407</c:v>
                </c:pt>
                <c:pt idx="13">
                  <c:v>0.17840720985837777</c:v>
                </c:pt>
                <c:pt idx="14">
                  <c:v>0.18594813316167003</c:v>
                </c:pt>
                <c:pt idx="15">
                  <c:v>0.18208570903071547</c:v>
                </c:pt>
                <c:pt idx="16">
                  <c:v>0.19404083134081296</c:v>
                </c:pt>
                <c:pt idx="17">
                  <c:v>0.20562810373367665</c:v>
                </c:pt>
                <c:pt idx="18">
                  <c:v>0.22825087364355343</c:v>
                </c:pt>
                <c:pt idx="19">
                  <c:v>0.24627551958800808</c:v>
                </c:pt>
                <c:pt idx="20">
                  <c:v>0.26172521611182636</c:v>
                </c:pt>
                <c:pt idx="21">
                  <c:v>0.28747471031819016</c:v>
                </c:pt>
                <c:pt idx="22">
                  <c:v>0.31469560419348908</c:v>
                </c:pt>
                <c:pt idx="23">
                  <c:v>0.33492734964134635</c:v>
                </c:pt>
                <c:pt idx="24">
                  <c:v>0.35791796946845689</c:v>
                </c:pt>
                <c:pt idx="25">
                  <c:v>0.38274783888173625</c:v>
                </c:pt>
                <c:pt idx="26">
                  <c:v>0.41291153209490528</c:v>
                </c:pt>
                <c:pt idx="27">
                  <c:v>0.44748942431487954</c:v>
                </c:pt>
                <c:pt idx="28">
                  <c:v>0.48648151554165903</c:v>
                </c:pt>
                <c:pt idx="29">
                  <c:v>0.54423395254736062</c:v>
                </c:pt>
                <c:pt idx="30">
                  <c:v>0.57439764576052965</c:v>
                </c:pt>
                <c:pt idx="31">
                  <c:v>0.60952731285635464</c:v>
                </c:pt>
                <c:pt idx="32">
                  <c:v>0.65514070259334189</c:v>
                </c:pt>
                <c:pt idx="33">
                  <c:v>0.70737539084053702</c:v>
                </c:pt>
                <c:pt idx="34">
                  <c:v>0.76163325363251788</c:v>
                </c:pt>
                <c:pt idx="35">
                  <c:v>0.82600698914842741</c:v>
                </c:pt>
                <c:pt idx="36">
                  <c:v>0.87474710318190174</c:v>
                </c:pt>
                <c:pt idx="37">
                  <c:v>0.90086444730549931</c:v>
                </c:pt>
                <c:pt idx="38">
                  <c:v>0.93176384035313597</c:v>
                </c:pt>
                <c:pt idx="39">
                  <c:v>0.96670958249034389</c:v>
                </c:pt>
                <c:pt idx="40">
                  <c:v>0.98712525289681807</c:v>
                </c:pt>
                <c:pt idx="41">
                  <c:v>1</c:v>
                </c:pt>
                <c:pt idx="42">
                  <c:v>0.99816075041383112</c:v>
                </c:pt>
                <c:pt idx="43">
                  <c:v>0.99429832628287662</c:v>
                </c:pt>
                <c:pt idx="44">
                  <c:v>0.9817914290969284</c:v>
                </c:pt>
                <c:pt idx="45">
                  <c:v>0.97351480595916862</c:v>
                </c:pt>
                <c:pt idx="46">
                  <c:v>0.94739746183557105</c:v>
                </c:pt>
                <c:pt idx="47">
                  <c:v>0.92072834283612282</c:v>
                </c:pt>
                <c:pt idx="48">
                  <c:v>0.88633437557476547</c:v>
                </c:pt>
                <c:pt idx="49">
                  <c:v>0.83336398749310281</c:v>
                </c:pt>
                <c:pt idx="50">
                  <c:v>0.80320029427993378</c:v>
                </c:pt>
                <c:pt idx="51">
                  <c:v>0.78057752437005701</c:v>
                </c:pt>
              </c:numCache>
            </c:numRef>
          </c:val>
          <c:smooth val="0"/>
          <c:extLst>
            <c:ext xmlns:c16="http://schemas.microsoft.com/office/drawing/2014/chart" uri="{C3380CC4-5D6E-409C-BE32-E72D297353CC}">
              <c16:uniqueId val="{00000004-5E2F-43A4-BDBE-DF9333AD69B9}"/>
            </c:ext>
          </c:extLst>
        </c:ser>
        <c:dLbls>
          <c:showLegendKey val="0"/>
          <c:showVal val="0"/>
          <c:showCatName val="0"/>
          <c:showSerName val="0"/>
          <c:showPercent val="0"/>
          <c:showBubbleSize val="0"/>
        </c:dLbls>
        <c:smooth val="0"/>
        <c:axId val="1159379912"/>
        <c:axId val="1159376072"/>
      </c:lineChart>
      <c:catAx>
        <c:axId val="115937991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159376072"/>
        <c:crosses val="autoZero"/>
        <c:auto val="1"/>
        <c:lblAlgn val="ctr"/>
        <c:lblOffset val="100"/>
        <c:noMultiLvlLbl val="0"/>
      </c:catAx>
      <c:valAx>
        <c:axId val="1159376072"/>
        <c:scaling>
          <c:orientation val="minMax"/>
          <c:max val="1"/>
        </c:scaling>
        <c:delete val="0"/>
        <c:axPos val="l"/>
        <c:majorGridlines>
          <c:spPr>
            <a:ln w="25400" cap="flat" cmpd="sng" algn="ctr">
              <a:solidFill>
                <a:schemeClr val="accent6">
                  <a:lumMod val="75000"/>
                </a:schemeClr>
              </a:solidFill>
              <a:prstDash val="dash"/>
              <a:round/>
            </a:ln>
            <a:effectLst/>
          </c:spPr>
        </c:majorGridlines>
        <c:minorGridlines>
          <c:spPr>
            <a:ln w="9525" cap="flat" cmpd="sng" algn="ctr">
              <a:solidFill>
                <a:schemeClr val="tx1">
                  <a:lumMod val="5000"/>
                  <a:lumOff val="95000"/>
                </a:schemeClr>
              </a:solidFill>
              <a:round/>
            </a:ln>
            <a:effectLst/>
          </c:spPr>
        </c:minorGridlines>
        <c:numFmt formatCode="General" sourceLinked="1"/>
        <c:majorTickMark val="none"/>
        <c:minorTickMark val="none"/>
        <c:tickLblPos val="nextTo"/>
        <c:spPr>
          <a:solidFill>
            <a:sysClr val="window" lastClr="FFFFFF"/>
          </a:solid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s-ES"/>
          </a:p>
        </c:txPr>
        <c:crossAx val="1159379912"/>
        <c:crosses val="autoZero"/>
        <c:crossBetween val="midCat"/>
        <c:majorUnit val="0.2"/>
        <c:minorUnit val="0.1"/>
      </c:valAx>
      <c:spPr>
        <a:noFill/>
        <a:ln>
          <a:noFill/>
        </a:ln>
        <a:effectLst/>
      </c:spPr>
    </c:plotArea>
    <c:legend>
      <c:legendPos val="b"/>
      <c:layout>
        <c:manualLayout>
          <c:xMode val="edge"/>
          <c:yMode val="edge"/>
          <c:x val="0.38048958810008471"/>
          <c:y val="0.88454020277661827"/>
          <c:w val="0.23679414822646166"/>
          <c:h val="9.2536698419489458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[SeguimientoIncidenciaArea.xlsm]TotalesIncDiario!PivotTable1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Seguimiento</a:t>
            </a:r>
            <a:r>
              <a:rPr lang="es-ES" baseline="0"/>
              <a:t> Incremento Casos Activos</a:t>
            </a:r>
            <a:endParaRPr lang="es-ES"/>
          </a:p>
        </c:rich>
      </c:tx>
      <c:layout>
        <c:manualLayout>
          <c:xMode val="edge"/>
          <c:yMode val="edge"/>
          <c:x val="0.3442922993798902"/>
          <c:y val="4.4512889599126401E-2"/>
        </c:manualLayout>
      </c:layout>
      <c:overlay val="1"/>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TotalesIncDiario!$C$26</c:f>
              <c:strCache>
                <c:ptCount val="1"/>
                <c:pt idx="0">
                  <c:v>Casos Activos</c:v>
                </c:pt>
              </c:strCache>
            </c:strRef>
          </c:tx>
          <c:spPr>
            <a:solidFill>
              <a:schemeClr val="accent1"/>
            </a:solidFill>
            <a:ln>
              <a:noFill/>
            </a:ln>
            <a:effectLst/>
          </c:spPr>
          <c:invertIfNegative val="0"/>
          <c:cat>
            <c:strRef>
              <c:f>TotalesIncDiario!$B$27:$B$92</c:f>
              <c:strCache>
                <c:ptCount val="65"/>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strCache>
            </c:strRef>
          </c:cat>
          <c:val>
            <c:numRef>
              <c:f>TotalesIncDiario!$C$27:$C$92</c:f>
              <c:numCache>
                <c:formatCode>#,##0.00</c:formatCode>
                <c:ptCount val="65"/>
                <c:pt idx="0">
                  <c:v>1376</c:v>
                </c:pt>
                <c:pt idx="1">
                  <c:v>1349</c:v>
                </c:pt>
                <c:pt idx="2">
                  <c:v>1244</c:v>
                </c:pt>
                <c:pt idx="3">
                  <c:v>1193</c:v>
                </c:pt>
                <c:pt idx="4">
                  <c:v>1146</c:v>
                </c:pt>
                <c:pt idx="5">
                  <c:v>1093</c:v>
                </c:pt>
                <c:pt idx="6">
                  <c:v>1017</c:v>
                </c:pt>
                <c:pt idx="7">
                  <c:v>993</c:v>
                </c:pt>
                <c:pt idx="8">
                  <c:v>955</c:v>
                </c:pt>
                <c:pt idx="9">
                  <c:v>929</c:v>
                </c:pt>
                <c:pt idx="10">
                  <c:v>907</c:v>
                </c:pt>
                <c:pt idx="11">
                  <c:v>899</c:v>
                </c:pt>
                <c:pt idx="12">
                  <c:v>861</c:v>
                </c:pt>
                <c:pt idx="13">
                  <c:v>870</c:v>
                </c:pt>
                <c:pt idx="14">
                  <c:v>887</c:v>
                </c:pt>
                <c:pt idx="15">
                  <c:v>882</c:v>
                </c:pt>
                <c:pt idx="16">
                  <c:v>866</c:v>
                </c:pt>
                <c:pt idx="17">
                  <c:v>880</c:v>
                </c:pt>
                <c:pt idx="18">
                  <c:v>878</c:v>
                </c:pt>
                <c:pt idx="19">
                  <c:v>899</c:v>
                </c:pt>
                <c:pt idx="20">
                  <c:v>901</c:v>
                </c:pt>
                <c:pt idx="21">
                  <c:v>873</c:v>
                </c:pt>
                <c:pt idx="22">
                  <c:v>860</c:v>
                </c:pt>
                <c:pt idx="23">
                  <c:v>884</c:v>
                </c:pt>
                <c:pt idx="24">
                  <c:v>956</c:v>
                </c:pt>
                <c:pt idx="25">
                  <c:v>1029</c:v>
                </c:pt>
                <c:pt idx="26">
                  <c:v>1091</c:v>
                </c:pt>
                <c:pt idx="27">
                  <c:v>1150</c:v>
                </c:pt>
                <c:pt idx="28">
                  <c:v>1134</c:v>
                </c:pt>
                <c:pt idx="29">
                  <c:v>1193</c:v>
                </c:pt>
                <c:pt idx="30">
                  <c:v>1224</c:v>
                </c:pt>
                <c:pt idx="31">
                  <c:v>1377</c:v>
                </c:pt>
                <c:pt idx="32">
                  <c:v>1470</c:v>
                </c:pt>
                <c:pt idx="33">
                  <c:v>1557</c:v>
                </c:pt>
                <c:pt idx="34">
                  <c:v>1696</c:v>
                </c:pt>
                <c:pt idx="35">
                  <c:v>1831</c:v>
                </c:pt>
                <c:pt idx="36">
                  <c:v>1944</c:v>
                </c:pt>
                <c:pt idx="37">
                  <c:v>2064</c:v>
                </c:pt>
                <c:pt idx="38">
                  <c:v>2260</c:v>
                </c:pt>
                <c:pt idx="39">
                  <c:v>2469</c:v>
                </c:pt>
                <c:pt idx="40">
                  <c:v>2635</c:v>
                </c:pt>
                <c:pt idx="41">
                  <c:v>2843</c:v>
                </c:pt>
                <c:pt idx="42">
                  <c:v>3129</c:v>
                </c:pt>
                <c:pt idx="43">
                  <c:v>3346</c:v>
                </c:pt>
                <c:pt idx="44">
                  <c:v>3533</c:v>
                </c:pt>
                <c:pt idx="45">
                  <c:v>3839</c:v>
                </c:pt>
                <c:pt idx="46">
                  <c:v>4124</c:v>
                </c:pt>
                <c:pt idx="47">
                  <c:v>4414</c:v>
                </c:pt>
                <c:pt idx="48">
                  <c:v>4826</c:v>
                </c:pt>
                <c:pt idx="49">
                  <c:v>5057</c:v>
                </c:pt>
                <c:pt idx="50">
                  <c:v>5225</c:v>
                </c:pt>
                <c:pt idx="51">
                  <c:v>5389</c:v>
                </c:pt>
                <c:pt idx="52">
                  <c:v>5679</c:v>
                </c:pt>
                <c:pt idx="53">
                  <c:v>5855</c:v>
                </c:pt>
                <c:pt idx="54">
                  <c:v>5912</c:v>
                </c:pt>
                <c:pt idx="55">
                  <c:v>5984</c:v>
                </c:pt>
                <c:pt idx="56">
                  <c:v>6020</c:v>
                </c:pt>
                <c:pt idx="57">
                  <c:v>5934</c:v>
                </c:pt>
                <c:pt idx="58">
                  <c:v>5883</c:v>
                </c:pt>
                <c:pt idx="59">
                  <c:v>5889</c:v>
                </c:pt>
                <c:pt idx="60">
                  <c:v>5845</c:v>
                </c:pt>
                <c:pt idx="61">
                  <c:v>5713</c:v>
                </c:pt>
                <c:pt idx="62">
                  <c:v>5542</c:v>
                </c:pt>
                <c:pt idx="63">
                  <c:v>5319</c:v>
                </c:pt>
                <c:pt idx="64">
                  <c:v>5161</c:v>
                </c:pt>
              </c:numCache>
            </c:numRef>
          </c:val>
          <c:extLst>
            <c:ext xmlns:c16="http://schemas.microsoft.com/office/drawing/2014/chart" uri="{C3380CC4-5D6E-409C-BE32-E72D297353CC}">
              <c16:uniqueId val="{00000002-D388-41E8-B3AF-C599CB98127A}"/>
            </c:ext>
          </c:extLst>
        </c:ser>
        <c:dLbls>
          <c:showLegendKey val="0"/>
          <c:showVal val="0"/>
          <c:showCatName val="0"/>
          <c:showSerName val="0"/>
          <c:showPercent val="0"/>
          <c:showBubbleSize val="0"/>
        </c:dLbls>
        <c:gapWidth val="219"/>
        <c:axId val="987955400"/>
        <c:axId val="987955720"/>
      </c:barChart>
      <c:lineChart>
        <c:grouping val="standard"/>
        <c:varyColors val="0"/>
        <c:ser>
          <c:idx val="1"/>
          <c:order val="1"/>
          <c:tx>
            <c:strRef>
              <c:f>TotalesIncDiario!$D$26</c:f>
              <c:strCache>
                <c:ptCount val="1"/>
                <c:pt idx="0">
                  <c:v>Ratio Incremento Activos</c:v>
                </c:pt>
              </c:strCache>
            </c:strRef>
          </c:tx>
          <c:spPr>
            <a:ln w="28575" cap="rnd">
              <a:solidFill>
                <a:schemeClr val="accent2"/>
              </a:solidFill>
              <a:round/>
            </a:ln>
            <a:effectLst/>
          </c:spPr>
          <c:marker>
            <c:symbol val="none"/>
          </c:marker>
          <c:cat>
            <c:strRef>
              <c:f>TotalesIncDiario!$B$27:$B$92</c:f>
              <c:strCache>
                <c:ptCount val="65"/>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strCache>
            </c:strRef>
          </c:cat>
          <c:val>
            <c:numRef>
              <c:f>TotalesIncDiario!$D$27:$D$92</c:f>
              <c:numCache>
                <c:formatCode>#,##0.00</c:formatCode>
                <c:ptCount val="65"/>
                <c:pt idx="0">
                  <c:v>0.96223776223776225</c:v>
                </c:pt>
                <c:pt idx="1">
                  <c:v>0.98037790697674421</c:v>
                </c:pt>
                <c:pt idx="2">
                  <c:v>0.92216456634544108</c:v>
                </c:pt>
                <c:pt idx="3">
                  <c:v>0.95900321543408362</c:v>
                </c:pt>
                <c:pt idx="4">
                  <c:v>0.9606035205364627</c:v>
                </c:pt>
                <c:pt idx="5">
                  <c:v>0.9537521815008726</c:v>
                </c:pt>
                <c:pt idx="6">
                  <c:v>0.93046660567246109</c:v>
                </c:pt>
                <c:pt idx="7">
                  <c:v>0.97640117994100295</c:v>
                </c:pt>
                <c:pt idx="8">
                  <c:v>0.96173212487411885</c:v>
                </c:pt>
                <c:pt idx="9">
                  <c:v>0.97277486910994759</c:v>
                </c:pt>
                <c:pt idx="10">
                  <c:v>0.97631862217438103</c:v>
                </c:pt>
                <c:pt idx="11">
                  <c:v>0.99117971334068355</c:v>
                </c:pt>
                <c:pt idx="12">
                  <c:v>0.9577308120133482</c:v>
                </c:pt>
                <c:pt idx="13">
                  <c:v>1.0104529616724738</c:v>
                </c:pt>
                <c:pt idx="14">
                  <c:v>1.0195402298850575</c:v>
                </c:pt>
                <c:pt idx="15">
                  <c:v>0.99436302142051858</c:v>
                </c:pt>
                <c:pt idx="16">
                  <c:v>0.98185941043083902</c:v>
                </c:pt>
                <c:pt idx="17">
                  <c:v>1.0161662817551964</c:v>
                </c:pt>
                <c:pt idx="18">
                  <c:v>0.99772727272727268</c:v>
                </c:pt>
                <c:pt idx="19">
                  <c:v>1.0239179954441913</c:v>
                </c:pt>
                <c:pt idx="20">
                  <c:v>1.0022246941045607</c:v>
                </c:pt>
                <c:pt idx="21">
                  <c:v>0.96892341842397334</c:v>
                </c:pt>
                <c:pt idx="22">
                  <c:v>0.98510882016036661</c:v>
                </c:pt>
                <c:pt idx="23">
                  <c:v>1.027906976744186</c:v>
                </c:pt>
                <c:pt idx="24">
                  <c:v>1.0814479638009049</c:v>
                </c:pt>
                <c:pt idx="25">
                  <c:v>1.0763598326359833</c:v>
                </c:pt>
                <c:pt idx="26">
                  <c:v>1.0602526724975705</c:v>
                </c:pt>
                <c:pt idx="27">
                  <c:v>1.0540788267644363</c:v>
                </c:pt>
                <c:pt idx="28">
                  <c:v>0.98608695652173917</c:v>
                </c:pt>
                <c:pt idx="29">
                  <c:v>1.0520282186948853</c:v>
                </c:pt>
                <c:pt idx="30">
                  <c:v>1.0259849119865885</c:v>
                </c:pt>
                <c:pt idx="31">
                  <c:v>1.125</c:v>
                </c:pt>
                <c:pt idx="32">
                  <c:v>1.0675381263616557</c:v>
                </c:pt>
                <c:pt idx="33">
                  <c:v>1.0591836734693878</c:v>
                </c:pt>
                <c:pt idx="34">
                  <c:v>1.0892742453436095</c:v>
                </c:pt>
                <c:pt idx="35">
                  <c:v>1.0795990566037736</c:v>
                </c:pt>
                <c:pt idx="36">
                  <c:v>1.0617149098853085</c:v>
                </c:pt>
                <c:pt idx="37">
                  <c:v>1.0617283950617284</c:v>
                </c:pt>
                <c:pt idx="38">
                  <c:v>1.0949612403100775</c:v>
                </c:pt>
                <c:pt idx="39">
                  <c:v>1.0924778761061946</c:v>
                </c:pt>
                <c:pt idx="40">
                  <c:v>1.0672336978533818</c:v>
                </c:pt>
                <c:pt idx="41">
                  <c:v>1.0789373814041745</c:v>
                </c:pt>
                <c:pt idx="42">
                  <c:v>1.1005979599015125</c:v>
                </c:pt>
                <c:pt idx="43">
                  <c:v>1.0693512304250559</c:v>
                </c:pt>
                <c:pt idx="44">
                  <c:v>1.0558876270173341</c:v>
                </c:pt>
                <c:pt idx="45">
                  <c:v>1.0866119445230682</c:v>
                </c:pt>
                <c:pt idx="46">
                  <c:v>1.0742380828340714</c:v>
                </c:pt>
                <c:pt idx="47">
                  <c:v>1.0703200775945685</c:v>
                </c:pt>
                <c:pt idx="48">
                  <c:v>1.0933393747168101</c:v>
                </c:pt>
                <c:pt idx="49">
                  <c:v>1.047865727310402</c:v>
                </c:pt>
                <c:pt idx="50">
                  <c:v>1.0332212774372158</c:v>
                </c:pt>
                <c:pt idx="51">
                  <c:v>1.0313875598086124</c:v>
                </c:pt>
                <c:pt idx="52">
                  <c:v>1.0538133234366303</c:v>
                </c:pt>
                <c:pt idx="53">
                  <c:v>1.0309913717203734</c:v>
                </c:pt>
                <c:pt idx="54">
                  <c:v>1.0097352690008539</c:v>
                </c:pt>
                <c:pt idx="55">
                  <c:v>1.0121786197564275</c:v>
                </c:pt>
                <c:pt idx="56">
                  <c:v>1.0060160427807487</c:v>
                </c:pt>
                <c:pt idx="57">
                  <c:v>0.98571428571428577</c:v>
                </c:pt>
                <c:pt idx="58">
                  <c:v>0.99140546006066732</c:v>
                </c:pt>
                <c:pt idx="59">
                  <c:v>1.0010198878123406</c:v>
                </c:pt>
                <c:pt idx="60">
                  <c:v>0.99252844285956865</c:v>
                </c:pt>
                <c:pt idx="61">
                  <c:v>0.97741659538066727</c:v>
                </c:pt>
                <c:pt idx="62">
                  <c:v>0.97006826535970592</c:v>
                </c:pt>
                <c:pt idx="63">
                  <c:v>0.95976181883796463</c:v>
                </c:pt>
                <c:pt idx="64">
                  <c:v>0.97029516826471141</c:v>
                </c:pt>
              </c:numCache>
            </c:numRef>
          </c:val>
          <c:smooth val="0"/>
          <c:extLst>
            <c:ext xmlns:c16="http://schemas.microsoft.com/office/drawing/2014/chart" uri="{C3380CC4-5D6E-409C-BE32-E72D297353CC}">
              <c16:uniqueId val="{00000003-D388-41E8-B3AF-C599CB98127A}"/>
            </c:ext>
          </c:extLst>
        </c:ser>
        <c:dLbls>
          <c:showLegendKey val="0"/>
          <c:showVal val="0"/>
          <c:showCatName val="0"/>
          <c:showSerName val="0"/>
          <c:showPercent val="0"/>
          <c:showBubbleSize val="0"/>
        </c:dLbls>
        <c:marker val="1"/>
        <c:smooth val="0"/>
        <c:axId val="1340118344"/>
        <c:axId val="1340116744"/>
      </c:lineChart>
      <c:catAx>
        <c:axId val="9879554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87955720"/>
        <c:crosses val="autoZero"/>
        <c:auto val="1"/>
        <c:lblAlgn val="ctr"/>
        <c:lblOffset val="100"/>
        <c:noMultiLvlLbl val="0"/>
      </c:catAx>
      <c:valAx>
        <c:axId val="9879557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87955400"/>
        <c:crosses val="autoZero"/>
        <c:crossBetween val="between"/>
      </c:valAx>
      <c:valAx>
        <c:axId val="1340116744"/>
        <c:scaling>
          <c:orientation val="minMax"/>
          <c:max val="1.2"/>
        </c:scaling>
        <c:delete val="0"/>
        <c:axPos val="r"/>
        <c:majorGridlines>
          <c:spPr>
            <a:ln w="9525" cap="flat" cmpd="sng" algn="ctr">
              <a:solidFill>
                <a:schemeClr val="accent2"/>
              </a:solidFill>
              <a:prstDash val="dash"/>
              <a:round/>
            </a:ln>
            <a:effectLst/>
          </c:spPr>
        </c:majorGridlines>
        <c:numFmt formatCode="#,##0.00" sourceLinked="1"/>
        <c:majorTickMark val="out"/>
        <c:minorTickMark val="none"/>
        <c:tickLblPos val="nextTo"/>
        <c:spPr>
          <a:solidFill>
            <a:schemeClr val="accent2"/>
          </a:solid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S"/>
          </a:p>
        </c:txPr>
        <c:crossAx val="1340118344"/>
        <c:crosses val="max"/>
        <c:crossBetween val="between"/>
        <c:majorUnit val="0.1"/>
      </c:valAx>
      <c:catAx>
        <c:axId val="1340118344"/>
        <c:scaling>
          <c:orientation val="minMax"/>
        </c:scaling>
        <c:delete val="1"/>
        <c:axPos val="b"/>
        <c:numFmt formatCode="General" sourceLinked="1"/>
        <c:majorTickMark val="out"/>
        <c:minorTickMark val="none"/>
        <c:tickLblPos val="nextTo"/>
        <c:crossAx val="134011674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[SeguimientoIncidenciaArea.xlsm]Camas_Hospital!PivotTable1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Seguimiento</a:t>
            </a:r>
            <a:r>
              <a:rPr lang="en-US" baseline="0"/>
              <a:t> evolución hospitalaria y factores casos activos</a:t>
            </a:r>
            <a:endParaRPr lang="en-US"/>
          </a:p>
        </c:rich>
      </c:tx>
      <c:layout>
        <c:manualLayout>
          <c:xMode val="edge"/>
          <c:yMode val="edge"/>
          <c:x val="0.32538719602428878"/>
          <c:y val="3.1998450058972991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no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5">
              <a:lumMod val="60000"/>
              <a:lumOff val="40000"/>
            </a:schemeClr>
          </a:solidFill>
          <a:ln>
            <a:solidFill>
              <a:schemeClr val="accent5">
                <a:lumMod val="60000"/>
                <a:lumOff val="40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ln w="28575" cap="rnd">
            <a:solidFill>
              <a:srgbClr val="C0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rgbClr val="7030A0"/>
          </a:solidFill>
          <a:ln>
            <a:solidFill>
              <a:srgbClr val="7030A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chemeClr val="accent2"/>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3"/>
        <c:spPr>
          <a:ln w="28575" cap="rnd">
            <a:solidFill>
              <a:schemeClr val="accent6">
                <a:lumMod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4"/>
        <c:spPr>
          <a:ln w="28575" cap="rnd">
            <a:solidFill>
              <a:schemeClr val="accent4">
                <a:lumMod val="60000"/>
                <a:lumOff val="4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7"/>
        <c:spPr>
          <a:ln w="28575" cap="rnd">
            <a:solidFill>
              <a:schemeClr val="accent6">
                <a:lumMod val="60000"/>
                <a:lumOff val="4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8"/>
        <c:spPr>
          <a:ln w="28575" cap="rnd">
            <a:solidFill>
              <a:schemeClr val="accent4"/>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Camas_Hospital!$C$24:$C$26</c:f>
              <c:strCache>
                <c:ptCount val="1"/>
                <c:pt idx="0">
                  <c:v>A.S. A CORUÑA E CEE - Camas Ocupadas</c:v>
                </c:pt>
              </c:strCache>
            </c:strRef>
          </c:tx>
          <c:spPr>
            <a:solidFill>
              <a:schemeClr val="accent5">
                <a:lumMod val="60000"/>
                <a:lumOff val="40000"/>
              </a:schemeClr>
            </a:solidFill>
            <a:ln>
              <a:solidFill>
                <a:schemeClr val="accent5">
                  <a:lumMod val="60000"/>
                  <a:lumOff val="40000"/>
                </a:schemeClr>
              </a:solidFill>
            </a:ln>
            <a:effectLst/>
          </c:spPr>
          <c:cat>
            <c:strRef>
              <c:f>Camas_Hospital!$B$27:$B$92</c:f>
              <c:strCache>
                <c:ptCount val="65"/>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strCache>
            </c:strRef>
          </c:cat>
          <c:val>
            <c:numRef>
              <c:f>Camas_Hospital!$C$27:$C$92</c:f>
              <c:numCache>
                <c:formatCode>General</c:formatCode>
                <c:ptCount val="65"/>
                <c:pt idx="0">
                  <c:v>97</c:v>
                </c:pt>
                <c:pt idx="1">
                  <c:v>98</c:v>
                </c:pt>
                <c:pt idx="2">
                  <c:v>87</c:v>
                </c:pt>
                <c:pt idx="3">
                  <c:v>84</c:v>
                </c:pt>
                <c:pt idx="4">
                  <c:v>76</c:v>
                </c:pt>
                <c:pt idx="5">
                  <c:v>78</c:v>
                </c:pt>
                <c:pt idx="6">
                  <c:v>74</c:v>
                </c:pt>
                <c:pt idx="7">
                  <c:v>74</c:v>
                </c:pt>
                <c:pt idx="8">
                  <c:v>75</c:v>
                </c:pt>
                <c:pt idx="9">
                  <c:v>72</c:v>
                </c:pt>
                <c:pt idx="10">
                  <c:v>63</c:v>
                </c:pt>
                <c:pt idx="11">
                  <c:v>69</c:v>
                </c:pt>
                <c:pt idx="12">
                  <c:v>64</c:v>
                </c:pt>
                <c:pt idx="13">
                  <c:v>58</c:v>
                </c:pt>
                <c:pt idx="14">
                  <c:v>59</c:v>
                </c:pt>
                <c:pt idx="15">
                  <c:v>60</c:v>
                </c:pt>
                <c:pt idx="16">
                  <c:v>63</c:v>
                </c:pt>
                <c:pt idx="17">
                  <c:v>56</c:v>
                </c:pt>
                <c:pt idx="18">
                  <c:v>55</c:v>
                </c:pt>
                <c:pt idx="19">
                  <c:v>56</c:v>
                </c:pt>
                <c:pt idx="20">
                  <c:v>56</c:v>
                </c:pt>
                <c:pt idx="21">
                  <c:v>61</c:v>
                </c:pt>
                <c:pt idx="22">
                  <c:v>66</c:v>
                </c:pt>
                <c:pt idx="23">
                  <c:v>71</c:v>
                </c:pt>
                <c:pt idx="24">
                  <c:v>71</c:v>
                </c:pt>
                <c:pt idx="25">
                  <c:v>70</c:v>
                </c:pt>
                <c:pt idx="26">
                  <c:v>67</c:v>
                </c:pt>
                <c:pt idx="27">
                  <c:v>72</c:v>
                </c:pt>
                <c:pt idx="28">
                  <c:v>77</c:v>
                </c:pt>
                <c:pt idx="29">
                  <c:v>83</c:v>
                </c:pt>
                <c:pt idx="30">
                  <c:v>81</c:v>
                </c:pt>
                <c:pt idx="31">
                  <c:v>79</c:v>
                </c:pt>
                <c:pt idx="32">
                  <c:v>85</c:v>
                </c:pt>
                <c:pt idx="33">
                  <c:v>88</c:v>
                </c:pt>
                <c:pt idx="34">
                  <c:v>84</c:v>
                </c:pt>
                <c:pt idx="35">
                  <c:v>83</c:v>
                </c:pt>
                <c:pt idx="36">
                  <c:v>93</c:v>
                </c:pt>
                <c:pt idx="37">
                  <c:v>95</c:v>
                </c:pt>
                <c:pt idx="38">
                  <c:v>108</c:v>
                </c:pt>
                <c:pt idx="39">
                  <c:v>123</c:v>
                </c:pt>
                <c:pt idx="40">
                  <c:v>138</c:v>
                </c:pt>
                <c:pt idx="41">
                  <c:v>130</c:v>
                </c:pt>
                <c:pt idx="42">
                  <c:v>145</c:v>
                </c:pt>
                <c:pt idx="43">
                  <c:v>163</c:v>
                </c:pt>
                <c:pt idx="44">
                  <c:v>167</c:v>
                </c:pt>
                <c:pt idx="45">
                  <c:v>179</c:v>
                </c:pt>
                <c:pt idx="46">
                  <c:v>188</c:v>
                </c:pt>
                <c:pt idx="47">
                  <c:v>210</c:v>
                </c:pt>
                <c:pt idx="48">
                  <c:v>226</c:v>
                </c:pt>
                <c:pt idx="49">
                  <c:v>248</c:v>
                </c:pt>
                <c:pt idx="50">
                  <c:v>272</c:v>
                </c:pt>
                <c:pt idx="51">
                  <c:v>282</c:v>
                </c:pt>
                <c:pt idx="52">
                  <c:v>305</c:v>
                </c:pt>
                <c:pt idx="53">
                  <c:v>310</c:v>
                </c:pt>
                <c:pt idx="54">
                  <c:v>321</c:v>
                </c:pt>
                <c:pt idx="55">
                  <c:v>313</c:v>
                </c:pt>
                <c:pt idx="56">
                  <c:v>326</c:v>
                </c:pt>
                <c:pt idx="57">
                  <c:v>341</c:v>
                </c:pt>
                <c:pt idx="58">
                  <c:v>323</c:v>
                </c:pt>
                <c:pt idx="59">
                  <c:v>306</c:v>
                </c:pt>
                <c:pt idx="60">
                  <c:v>282</c:v>
                </c:pt>
                <c:pt idx="61">
                  <c:v>276</c:v>
                </c:pt>
                <c:pt idx="62">
                  <c:v>287</c:v>
                </c:pt>
                <c:pt idx="63">
                  <c:v>286</c:v>
                </c:pt>
                <c:pt idx="64">
                  <c:v>287</c:v>
                </c:pt>
              </c:numCache>
            </c:numRef>
          </c:val>
          <c:extLst>
            <c:ext xmlns:c16="http://schemas.microsoft.com/office/drawing/2014/chart" uri="{C3380CC4-5D6E-409C-BE32-E72D297353CC}">
              <c16:uniqueId val="{00000002-4339-4582-867A-F2F8F253EF8D}"/>
            </c:ext>
          </c:extLst>
        </c:ser>
        <c:ser>
          <c:idx val="1"/>
          <c:order val="1"/>
          <c:tx>
            <c:strRef>
              <c:f>Camas_Hospital!$D$24:$D$26</c:f>
              <c:strCache>
                <c:ptCount val="1"/>
                <c:pt idx="0">
                  <c:v>A.S. A CORUÑA E CEE - Camas UCI Ocupadas</c:v>
                </c:pt>
              </c:strCache>
            </c:strRef>
          </c:tx>
          <c:spPr>
            <a:solidFill>
              <a:srgbClr val="7030A0"/>
            </a:solidFill>
            <a:ln>
              <a:solidFill>
                <a:srgbClr val="7030A0"/>
              </a:solidFill>
            </a:ln>
            <a:effectLst/>
          </c:spPr>
          <c:cat>
            <c:strRef>
              <c:f>Camas_Hospital!$B$27:$B$92</c:f>
              <c:strCache>
                <c:ptCount val="65"/>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strCache>
            </c:strRef>
          </c:cat>
          <c:val>
            <c:numRef>
              <c:f>Camas_Hospital!$D$27:$D$92</c:f>
              <c:numCache>
                <c:formatCode>General</c:formatCode>
                <c:ptCount val="65"/>
                <c:pt idx="0">
                  <c:v>23</c:v>
                </c:pt>
                <c:pt idx="1">
                  <c:v>22</c:v>
                </c:pt>
                <c:pt idx="2">
                  <c:v>17</c:v>
                </c:pt>
                <c:pt idx="3">
                  <c:v>16</c:v>
                </c:pt>
                <c:pt idx="4">
                  <c:v>14</c:v>
                </c:pt>
                <c:pt idx="5">
                  <c:v>13</c:v>
                </c:pt>
                <c:pt idx="6">
                  <c:v>13</c:v>
                </c:pt>
                <c:pt idx="7">
                  <c:v>13</c:v>
                </c:pt>
                <c:pt idx="8">
                  <c:v>13</c:v>
                </c:pt>
                <c:pt idx="9">
                  <c:v>14</c:v>
                </c:pt>
                <c:pt idx="10">
                  <c:v>13</c:v>
                </c:pt>
                <c:pt idx="11">
                  <c:v>12</c:v>
                </c:pt>
                <c:pt idx="12">
                  <c:v>14</c:v>
                </c:pt>
                <c:pt idx="13">
                  <c:v>14</c:v>
                </c:pt>
                <c:pt idx="14">
                  <c:v>14</c:v>
                </c:pt>
                <c:pt idx="15">
                  <c:v>14</c:v>
                </c:pt>
                <c:pt idx="16">
                  <c:v>15</c:v>
                </c:pt>
                <c:pt idx="17">
                  <c:v>15</c:v>
                </c:pt>
                <c:pt idx="18">
                  <c:v>17</c:v>
                </c:pt>
                <c:pt idx="19">
                  <c:v>18</c:v>
                </c:pt>
                <c:pt idx="20">
                  <c:v>17</c:v>
                </c:pt>
                <c:pt idx="21">
                  <c:v>18</c:v>
                </c:pt>
                <c:pt idx="22">
                  <c:v>17</c:v>
                </c:pt>
                <c:pt idx="23">
                  <c:v>18</c:v>
                </c:pt>
                <c:pt idx="24">
                  <c:v>18</c:v>
                </c:pt>
                <c:pt idx="25">
                  <c:v>19</c:v>
                </c:pt>
                <c:pt idx="26">
                  <c:v>20</c:v>
                </c:pt>
                <c:pt idx="27">
                  <c:v>20</c:v>
                </c:pt>
                <c:pt idx="28">
                  <c:v>18</c:v>
                </c:pt>
                <c:pt idx="29">
                  <c:v>19</c:v>
                </c:pt>
                <c:pt idx="30">
                  <c:v>17</c:v>
                </c:pt>
                <c:pt idx="31">
                  <c:v>18</c:v>
                </c:pt>
                <c:pt idx="32">
                  <c:v>19</c:v>
                </c:pt>
                <c:pt idx="33">
                  <c:v>21</c:v>
                </c:pt>
                <c:pt idx="34">
                  <c:v>18</c:v>
                </c:pt>
                <c:pt idx="35">
                  <c:v>18</c:v>
                </c:pt>
                <c:pt idx="36">
                  <c:v>21</c:v>
                </c:pt>
                <c:pt idx="37">
                  <c:v>22</c:v>
                </c:pt>
                <c:pt idx="38">
                  <c:v>22</c:v>
                </c:pt>
                <c:pt idx="39">
                  <c:v>27</c:v>
                </c:pt>
                <c:pt idx="40">
                  <c:v>26</c:v>
                </c:pt>
                <c:pt idx="41">
                  <c:v>26</c:v>
                </c:pt>
                <c:pt idx="42">
                  <c:v>28</c:v>
                </c:pt>
                <c:pt idx="43">
                  <c:v>31</c:v>
                </c:pt>
                <c:pt idx="44">
                  <c:v>36</c:v>
                </c:pt>
                <c:pt idx="45">
                  <c:v>39</c:v>
                </c:pt>
                <c:pt idx="46">
                  <c:v>38</c:v>
                </c:pt>
                <c:pt idx="47">
                  <c:v>38</c:v>
                </c:pt>
                <c:pt idx="48">
                  <c:v>38</c:v>
                </c:pt>
                <c:pt idx="49">
                  <c:v>39</c:v>
                </c:pt>
                <c:pt idx="50">
                  <c:v>43</c:v>
                </c:pt>
                <c:pt idx="51">
                  <c:v>47</c:v>
                </c:pt>
                <c:pt idx="52">
                  <c:v>48</c:v>
                </c:pt>
                <c:pt idx="53">
                  <c:v>59</c:v>
                </c:pt>
                <c:pt idx="54">
                  <c:v>69</c:v>
                </c:pt>
                <c:pt idx="55">
                  <c:v>79</c:v>
                </c:pt>
                <c:pt idx="56">
                  <c:v>82</c:v>
                </c:pt>
                <c:pt idx="57">
                  <c:v>86</c:v>
                </c:pt>
                <c:pt idx="58">
                  <c:v>93</c:v>
                </c:pt>
                <c:pt idx="59">
                  <c:v>85</c:v>
                </c:pt>
                <c:pt idx="60">
                  <c:v>87</c:v>
                </c:pt>
                <c:pt idx="61">
                  <c:v>85</c:v>
                </c:pt>
                <c:pt idx="62">
                  <c:v>81</c:v>
                </c:pt>
                <c:pt idx="63">
                  <c:v>81</c:v>
                </c:pt>
                <c:pt idx="64">
                  <c:v>85</c:v>
                </c:pt>
              </c:numCache>
            </c:numRef>
          </c:val>
          <c:extLst>
            <c:ext xmlns:c16="http://schemas.microsoft.com/office/drawing/2014/chart" uri="{C3380CC4-5D6E-409C-BE32-E72D297353CC}">
              <c16:uniqueId val="{00000003-873C-4E20-91BB-974BCDD12569}"/>
            </c:ext>
          </c:extLst>
        </c:ser>
        <c:dLbls>
          <c:showLegendKey val="0"/>
          <c:showVal val="0"/>
          <c:showCatName val="0"/>
          <c:showSerName val="0"/>
          <c:showPercent val="0"/>
          <c:showBubbleSize val="0"/>
        </c:dLbls>
        <c:axId val="1732821040"/>
        <c:axId val="1732817520"/>
      </c:areaChart>
      <c:lineChart>
        <c:grouping val="standard"/>
        <c:varyColors val="0"/>
        <c:ser>
          <c:idx val="3"/>
          <c:order val="3"/>
          <c:tx>
            <c:strRef>
              <c:f>Camas_Hospital!$F$24:$F$26</c:f>
              <c:strCache>
                <c:ptCount val="1"/>
                <c:pt idx="0">
                  <c:v>A.S. A CORUÑA E CEE - Nuevas Altas</c:v>
                </c:pt>
              </c:strCache>
            </c:strRef>
          </c:tx>
          <c:spPr>
            <a:ln w="28575" cap="rnd">
              <a:solidFill>
                <a:schemeClr val="accent6">
                  <a:lumMod val="50000"/>
                </a:schemeClr>
              </a:solidFill>
              <a:round/>
            </a:ln>
            <a:effectLst/>
          </c:spPr>
          <c:marker>
            <c:symbol val="none"/>
          </c:marker>
          <c:cat>
            <c:strRef>
              <c:f>Camas_Hospital!$B$27:$B$92</c:f>
              <c:strCache>
                <c:ptCount val="65"/>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strCache>
            </c:strRef>
          </c:cat>
          <c:val>
            <c:numRef>
              <c:f>Camas_Hospital!$F$27:$F$92</c:f>
              <c:numCache>
                <c:formatCode>General</c:formatCode>
                <c:ptCount val="65"/>
                <c:pt idx="0">
                  <c:v>94</c:v>
                </c:pt>
                <c:pt idx="1">
                  <c:v>80</c:v>
                </c:pt>
                <c:pt idx="2">
                  <c:v>140</c:v>
                </c:pt>
                <c:pt idx="3">
                  <c:v>98</c:v>
                </c:pt>
                <c:pt idx="4">
                  <c:v>90</c:v>
                </c:pt>
                <c:pt idx="5">
                  <c:v>96</c:v>
                </c:pt>
                <c:pt idx="6">
                  <c:v>124</c:v>
                </c:pt>
                <c:pt idx="7">
                  <c:v>66</c:v>
                </c:pt>
                <c:pt idx="8">
                  <c:v>101</c:v>
                </c:pt>
                <c:pt idx="9">
                  <c:v>45</c:v>
                </c:pt>
                <c:pt idx="10">
                  <c:v>66</c:v>
                </c:pt>
                <c:pt idx="11">
                  <c:v>67</c:v>
                </c:pt>
                <c:pt idx="12">
                  <c:v>80</c:v>
                </c:pt>
                <c:pt idx="13">
                  <c:v>68</c:v>
                </c:pt>
                <c:pt idx="14">
                  <c:v>50</c:v>
                </c:pt>
                <c:pt idx="15">
                  <c:v>58</c:v>
                </c:pt>
                <c:pt idx="16">
                  <c:v>39</c:v>
                </c:pt>
                <c:pt idx="17">
                  <c:v>50</c:v>
                </c:pt>
                <c:pt idx="18">
                  <c:v>62</c:v>
                </c:pt>
                <c:pt idx="19">
                  <c:v>46</c:v>
                </c:pt>
                <c:pt idx="20">
                  <c:v>55</c:v>
                </c:pt>
                <c:pt idx="21">
                  <c:v>64</c:v>
                </c:pt>
                <c:pt idx="22">
                  <c:v>61</c:v>
                </c:pt>
                <c:pt idx="23">
                  <c:v>26</c:v>
                </c:pt>
                <c:pt idx="24">
                  <c:v>49</c:v>
                </c:pt>
                <c:pt idx="25">
                  <c:v>61</c:v>
                </c:pt>
                <c:pt idx="26">
                  <c:v>44</c:v>
                </c:pt>
                <c:pt idx="27">
                  <c:v>57</c:v>
                </c:pt>
                <c:pt idx="28">
                  <c:v>62</c:v>
                </c:pt>
                <c:pt idx="29">
                  <c:v>58</c:v>
                </c:pt>
                <c:pt idx="30">
                  <c:v>50</c:v>
                </c:pt>
                <c:pt idx="31">
                  <c:v>33</c:v>
                </c:pt>
                <c:pt idx="32">
                  <c:v>63</c:v>
                </c:pt>
                <c:pt idx="33">
                  <c:v>64</c:v>
                </c:pt>
                <c:pt idx="34">
                  <c:v>58</c:v>
                </c:pt>
                <c:pt idx="35">
                  <c:v>49</c:v>
                </c:pt>
                <c:pt idx="36">
                  <c:v>45</c:v>
                </c:pt>
                <c:pt idx="37">
                  <c:v>57</c:v>
                </c:pt>
                <c:pt idx="38">
                  <c:v>58</c:v>
                </c:pt>
                <c:pt idx="39">
                  <c:v>88</c:v>
                </c:pt>
                <c:pt idx="40">
                  <c:v>129</c:v>
                </c:pt>
                <c:pt idx="41">
                  <c:v>118</c:v>
                </c:pt>
                <c:pt idx="42">
                  <c:v>74</c:v>
                </c:pt>
                <c:pt idx="43">
                  <c:v>62</c:v>
                </c:pt>
                <c:pt idx="44">
                  <c:v>82</c:v>
                </c:pt>
                <c:pt idx="45">
                  <c:v>127</c:v>
                </c:pt>
                <c:pt idx="46">
                  <c:v>156</c:v>
                </c:pt>
                <c:pt idx="47">
                  <c:v>152</c:v>
                </c:pt>
                <c:pt idx="48">
                  <c:v>132</c:v>
                </c:pt>
                <c:pt idx="49">
                  <c:v>217</c:v>
                </c:pt>
                <c:pt idx="50">
                  <c:v>124</c:v>
                </c:pt>
                <c:pt idx="51">
                  <c:v>176</c:v>
                </c:pt>
                <c:pt idx="52">
                  <c:v>153</c:v>
                </c:pt>
                <c:pt idx="53">
                  <c:v>222</c:v>
                </c:pt>
                <c:pt idx="54">
                  <c:v>300</c:v>
                </c:pt>
                <c:pt idx="55">
                  <c:v>237</c:v>
                </c:pt>
                <c:pt idx="56">
                  <c:v>296</c:v>
                </c:pt>
                <c:pt idx="57">
                  <c:v>299</c:v>
                </c:pt>
                <c:pt idx="58">
                  <c:v>268</c:v>
                </c:pt>
                <c:pt idx="59">
                  <c:v>278</c:v>
                </c:pt>
                <c:pt idx="60">
                  <c:v>331</c:v>
                </c:pt>
                <c:pt idx="61">
                  <c:v>386</c:v>
                </c:pt>
                <c:pt idx="62">
                  <c:v>422</c:v>
                </c:pt>
                <c:pt idx="63">
                  <c:v>500</c:v>
                </c:pt>
                <c:pt idx="64">
                  <c:v>331</c:v>
                </c:pt>
              </c:numCache>
            </c:numRef>
          </c:val>
          <c:smooth val="0"/>
          <c:extLst>
            <c:ext xmlns:c16="http://schemas.microsoft.com/office/drawing/2014/chart" uri="{C3380CC4-5D6E-409C-BE32-E72D297353CC}">
              <c16:uniqueId val="{00000003-5A39-4FA1-966F-FB7A643E48A8}"/>
            </c:ext>
          </c:extLst>
        </c:ser>
        <c:ser>
          <c:idx val="4"/>
          <c:order val="4"/>
          <c:tx>
            <c:strRef>
              <c:f>Camas_Hospital!$G$24:$G$26</c:f>
              <c:strCache>
                <c:ptCount val="1"/>
                <c:pt idx="0">
                  <c:v>A.S. A CORUÑA E CEE - Nuevos Casos</c:v>
                </c:pt>
              </c:strCache>
            </c:strRef>
          </c:tx>
          <c:spPr>
            <a:ln w="28575" cap="rnd">
              <a:solidFill>
                <a:schemeClr val="accent4">
                  <a:lumMod val="60000"/>
                  <a:lumOff val="40000"/>
                </a:schemeClr>
              </a:solidFill>
              <a:round/>
            </a:ln>
            <a:effectLst/>
          </c:spPr>
          <c:marker>
            <c:symbol val="none"/>
          </c:marker>
          <c:cat>
            <c:strRef>
              <c:f>Camas_Hospital!$B$27:$B$92</c:f>
              <c:strCache>
                <c:ptCount val="65"/>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strCache>
            </c:strRef>
          </c:cat>
          <c:val>
            <c:numRef>
              <c:f>Camas_Hospital!$G$27:$G$92</c:f>
              <c:numCache>
                <c:formatCode>General</c:formatCode>
                <c:ptCount val="65"/>
                <c:pt idx="0">
                  <c:v>40</c:v>
                </c:pt>
                <c:pt idx="1">
                  <c:v>53</c:v>
                </c:pt>
                <c:pt idx="2">
                  <c:v>37</c:v>
                </c:pt>
                <c:pt idx="3">
                  <c:v>47</c:v>
                </c:pt>
                <c:pt idx="4">
                  <c:v>43</c:v>
                </c:pt>
                <c:pt idx="5">
                  <c:v>43</c:v>
                </c:pt>
                <c:pt idx="6">
                  <c:v>51</c:v>
                </c:pt>
                <c:pt idx="7">
                  <c:v>42</c:v>
                </c:pt>
                <c:pt idx="8">
                  <c:v>65</c:v>
                </c:pt>
                <c:pt idx="9">
                  <c:v>21</c:v>
                </c:pt>
                <c:pt idx="10">
                  <c:v>45</c:v>
                </c:pt>
                <c:pt idx="11">
                  <c:v>61</c:v>
                </c:pt>
                <c:pt idx="12">
                  <c:v>44</c:v>
                </c:pt>
                <c:pt idx="13">
                  <c:v>77</c:v>
                </c:pt>
                <c:pt idx="14">
                  <c:v>67</c:v>
                </c:pt>
                <c:pt idx="15">
                  <c:v>53</c:v>
                </c:pt>
                <c:pt idx="16">
                  <c:v>23</c:v>
                </c:pt>
                <c:pt idx="17">
                  <c:v>64</c:v>
                </c:pt>
                <c:pt idx="18">
                  <c:v>60</c:v>
                </c:pt>
                <c:pt idx="19">
                  <c:v>67</c:v>
                </c:pt>
                <c:pt idx="20">
                  <c:v>59</c:v>
                </c:pt>
                <c:pt idx="21">
                  <c:v>36</c:v>
                </c:pt>
                <c:pt idx="22">
                  <c:v>48</c:v>
                </c:pt>
                <c:pt idx="23">
                  <c:v>54</c:v>
                </c:pt>
                <c:pt idx="24">
                  <c:v>121</c:v>
                </c:pt>
                <c:pt idx="25">
                  <c:v>134</c:v>
                </c:pt>
                <c:pt idx="26">
                  <c:v>107</c:v>
                </c:pt>
                <c:pt idx="27">
                  <c:v>118</c:v>
                </c:pt>
                <c:pt idx="28">
                  <c:v>46</c:v>
                </c:pt>
                <c:pt idx="29">
                  <c:v>118</c:v>
                </c:pt>
                <c:pt idx="30">
                  <c:v>86</c:v>
                </c:pt>
                <c:pt idx="31">
                  <c:v>187</c:v>
                </c:pt>
                <c:pt idx="32">
                  <c:v>158</c:v>
                </c:pt>
                <c:pt idx="33">
                  <c:v>151</c:v>
                </c:pt>
                <c:pt idx="34">
                  <c:v>199</c:v>
                </c:pt>
                <c:pt idx="35">
                  <c:v>184</c:v>
                </c:pt>
                <c:pt idx="36">
                  <c:v>158</c:v>
                </c:pt>
                <c:pt idx="37">
                  <c:v>179</c:v>
                </c:pt>
                <c:pt idx="38">
                  <c:v>256</c:v>
                </c:pt>
                <c:pt idx="39">
                  <c:v>298</c:v>
                </c:pt>
                <c:pt idx="40">
                  <c:v>295</c:v>
                </c:pt>
                <c:pt idx="41">
                  <c:v>330</c:v>
                </c:pt>
                <c:pt idx="42">
                  <c:v>360</c:v>
                </c:pt>
                <c:pt idx="43">
                  <c:v>282</c:v>
                </c:pt>
                <c:pt idx="44">
                  <c:v>277</c:v>
                </c:pt>
                <c:pt idx="45">
                  <c:v>435</c:v>
                </c:pt>
                <c:pt idx="46">
                  <c:v>442</c:v>
                </c:pt>
                <c:pt idx="47">
                  <c:v>446</c:v>
                </c:pt>
                <c:pt idx="48">
                  <c:v>549</c:v>
                </c:pt>
                <c:pt idx="49">
                  <c:v>449</c:v>
                </c:pt>
                <c:pt idx="50">
                  <c:v>300</c:v>
                </c:pt>
                <c:pt idx="51">
                  <c:v>347</c:v>
                </c:pt>
                <c:pt idx="52">
                  <c:v>446</c:v>
                </c:pt>
                <c:pt idx="53">
                  <c:v>409</c:v>
                </c:pt>
                <c:pt idx="54">
                  <c:v>365</c:v>
                </c:pt>
                <c:pt idx="55">
                  <c:v>320</c:v>
                </c:pt>
                <c:pt idx="56">
                  <c:v>339</c:v>
                </c:pt>
                <c:pt idx="57">
                  <c:v>214</c:v>
                </c:pt>
                <c:pt idx="58">
                  <c:v>232</c:v>
                </c:pt>
                <c:pt idx="59">
                  <c:v>293</c:v>
                </c:pt>
                <c:pt idx="60">
                  <c:v>297</c:v>
                </c:pt>
                <c:pt idx="61">
                  <c:v>259</c:v>
                </c:pt>
                <c:pt idx="62">
                  <c:v>261</c:v>
                </c:pt>
                <c:pt idx="63">
                  <c:v>285</c:v>
                </c:pt>
                <c:pt idx="64">
                  <c:v>177</c:v>
                </c:pt>
              </c:numCache>
            </c:numRef>
          </c:val>
          <c:smooth val="0"/>
          <c:extLst>
            <c:ext xmlns:c16="http://schemas.microsoft.com/office/drawing/2014/chart" uri="{C3380CC4-5D6E-409C-BE32-E72D297353CC}">
              <c16:uniqueId val="{00000004-5A39-4FA1-966F-FB7A643E48A8}"/>
            </c:ext>
          </c:extLst>
        </c:ser>
        <c:dLbls>
          <c:showLegendKey val="0"/>
          <c:showVal val="0"/>
          <c:showCatName val="0"/>
          <c:showSerName val="0"/>
          <c:showPercent val="0"/>
          <c:showBubbleSize val="0"/>
        </c:dLbls>
        <c:marker val="1"/>
        <c:smooth val="0"/>
        <c:axId val="1732821040"/>
        <c:axId val="1732817520"/>
      </c:lineChart>
      <c:lineChart>
        <c:grouping val="standard"/>
        <c:varyColors val="0"/>
        <c:ser>
          <c:idx val="2"/>
          <c:order val="2"/>
          <c:tx>
            <c:strRef>
              <c:f>Camas_Hospital!$E$24:$E$26</c:f>
              <c:strCache>
                <c:ptCount val="1"/>
                <c:pt idx="0">
                  <c:v>A.S. A CORUÑA E CEE - Fallecidos</c:v>
                </c:pt>
              </c:strCache>
            </c:strRef>
          </c:tx>
          <c:spPr>
            <a:ln w="28575" cap="rnd">
              <a:solidFill>
                <a:srgbClr val="C00000"/>
              </a:solidFill>
              <a:round/>
            </a:ln>
            <a:effectLst/>
          </c:spPr>
          <c:marker>
            <c:symbol val="none"/>
          </c:marker>
          <c:trendline>
            <c:spPr>
              <a:ln w="25400" cap="rnd">
                <a:solidFill>
                  <a:srgbClr val="FF0000"/>
                </a:solidFill>
                <a:prstDash val="sysDot"/>
              </a:ln>
              <a:effectLst/>
            </c:spPr>
            <c:trendlineType val="movingAvg"/>
            <c:period val="4"/>
            <c:dispRSqr val="0"/>
            <c:dispEq val="0"/>
          </c:trendline>
          <c:cat>
            <c:strRef>
              <c:f>Camas_Hospital!$B$27:$B$92</c:f>
              <c:strCache>
                <c:ptCount val="65"/>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strCache>
            </c:strRef>
          </c:cat>
          <c:val>
            <c:numRef>
              <c:f>Camas_Hospital!$E$27:$E$92</c:f>
              <c:numCache>
                <c:formatCode>General</c:formatCode>
                <c:ptCount val="65"/>
                <c:pt idx="0">
                  <c:v>0</c:v>
                </c:pt>
                <c:pt idx="1">
                  <c:v>0</c:v>
                </c:pt>
                <c:pt idx="2">
                  <c:v>2</c:v>
                </c:pt>
                <c:pt idx="3">
                  <c:v>0</c:v>
                </c:pt>
                <c:pt idx="4">
                  <c:v>0</c:v>
                </c:pt>
                <c:pt idx="5">
                  <c:v>0</c:v>
                </c:pt>
                <c:pt idx="6">
                  <c:v>3</c:v>
                </c:pt>
                <c:pt idx="7">
                  <c:v>0</c:v>
                </c:pt>
                <c:pt idx="8">
                  <c:v>2</c:v>
                </c:pt>
                <c:pt idx="9">
                  <c:v>2</c:v>
                </c:pt>
                <c:pt idx="10">
                  <c:v>1</c:v>
                </c:pt>
                <c:pt idx="11">
                  <c:v>2</c:v>
                </c:pt>
                <c:pt idx="12">
                  <c:v>2</c:v>
                </c:pt>
                <c:pt idx="13">
                  <c:v>0</c:v>
                </c:pt>
                <c:pt idx="14">
                  <c:v>0</c:v>
                </c:pt>
                <c:pt idx="15">
                  <c:v>0</c:v>
                </c:pt>
                <c:pt idx="16">
                  <c:v>0</c:v>
                </c:pt>
                <c:pt idx="17">
                  <c:v>0</c:v>
                </c:pt>
                <c:pt idx="18">
                  <c:v>0</c:v>
                </c:pt>
                <c:pt idx="19">
                  <c:v>0</c:v>
                </c:pt>
                <c:pt idx="20">
                  <c:v>2</c:v>
                </c:pt>
                <c:pt idx="21">
                  <c:v>0</c:v>
                </c:pt>
                <c:pt idx="22">
                  <c:v>0</c:v>
                </c:pt>
                <c:pt idx="23">
                  <c:v>4</c:v>
                </c:pt>
                <c:pt idx="24">
                  <c:v>0</c:v>
                </c:pt>
                <c:pt idx="25">
                  <c:v>0</c:v>
                </c:pt>
                <c:pt idx="26">
                  <c:v>1</c:v>
                </c:pt>
                <c:pt idx="27">
                  <c:v>2</c:v>
                </c:pt>
                <c:pt idx="28">
                  <c:v>0</c:v>
                </c:pt>
                <c:pt idx="29">
                  <c:v>1</c:v>
                </c:pt>
                <c:pt idx="30">
                  <c:v>6</c:v>
                </c:pt>
                <c:pt idx="31">
                  <c:v>1</c:v>
                </c:pt>
                <c:pt idx="32">
                  <c:v>2</c:v>
                </c:pt>
                <c:pt idx="33">
                  <c:v>0</c:v>
                </c:pt>
                <c:pt idx="34">
                  <c:v>2</c:v>
                </c:pt>
                <c:pt idx="35">
                  <c:v>1</c:v>
                </c:pt>
                <c:pt idx="36">
                  <c:v>0</c:v>
                </c:pt>
                <c:pt idx="37">
                  <c:v>2</c:v>
                </c:pt>
                <c:pt idx="38">
                  <c:v>2</c:v>
                </c:pt>
                <c:pt idx="39">
                  <c:v>2</c:v>
                </c:pt>
                <c:pt idx="40">
                  <c:v>0</c:v>
                </c:pt>
                <c:pt idx="41">
                  <c:v>4</c:v>
                </c:pt>
                <c:pt idx="42">
                  <c:v>0</c:v>
                </c:pt>
                <c:pt idx="43">
                  <c:v>3</c:v>
                </c:pt>
                <c:pt idx="44">
                  <c:v>7</c:v>
                </c:pt>
                <c:pt idx="45">
                  <c:v>2</c:v>
                </c:pt>
                <c:pt idx="46">
                  <c:v>1</c:v>
                </c:pt>
                <c:pt idx="47">
                  <c:v>3</c:v>
                </c:pt>
                <c:pt idx="48">
                  <c:v>5</c:v>
                </c:pt>
                <c:pt idx="49">
                  <c:v>1</c:v>
                </c:pt>
                <c:pt idx="50">
                  <c:v>8</c:v>
                </c:pt>
                <c:pt idx="51">
                  <c:v>9</c:v>
                </c:pt>
                <c:pt idx="52">
                  <c:v>3</c:v>
                </c:pt>
                <c:pt idx="53">
                  <c:v>12</c:v>
                </c:pt>
                <c:pt idx="54">
                  <c:v>9</c:v>
                </c:pt>
                <c:pt idx="55">
                  <c:v>12</c:v>
                </c:pt>
                <c:pt idx="56">
                  <c:v>7</c:v>
                </c:pt>
                <c:pt idx="57">
                  <c:v>1</c:v>
                </c:pt>
                <c:pt idx="58">
                  <c:v>15</c:v>
                </c:pt>
                <c:pt idx="59">
                  <c:v>9</c:v>
                </c:pt>
                <c:pt idx="60">
                  <c:v>11</c:v>
                </c:pt>
                <c:pt idx="61">
                  <c:v>4</c:v>
                </c:pt>
                <c:pt idx="62">
                  <c:v>10</c:v>
                </c:pt>
                <c:pt idx="63">
                  <c:v>8</c:v>
                </c:pt>
                <c:pt idx="64">
                  <c:v>5</c:v>
                </c:pt>
              </c:numCache>
            </c:numRef>
          </c:val>
          <c:smooth val="0"/>
          <c:extLst>
            <c:ext xmlns:c16="http://schemas.microsoft.com/office/drawing/2014/chart" uri="{C3380CC4-5D6E-409C-BE32-E72D297353CC}">
              <c16:uniqueId val="{00000005-873C-4E20-91BB-974BCDD12569}"/>
            </c:ext>
          </c:extLst>
        </c:ser>
        <c:dLbls>
          <c:showLegendKey val="0"/>
          <c:showVal val="0"/>
          <c:showCatName val="0"/>
          <c:showSerName val="0"/>
          <c:showPercent val="0"/>
          <c:showBubbleSize val="0"/>
        </c:dLbls>
        <c:marker val="1"/>
        <c:smooth val="0"/>
        <c:axId val="987538760"/>
        <c:axId val="987538440"/>
      </c:lineChart>
      <c:catAx>
        <c:axId val="173282104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732817520"/>
        <c:crosses val="autoZero"/>
        <c:auto val="1"/>
        <c:lblAlgn val="ctr"/>
        <c:lblOffset val="100"/>
        <c:noMultiLvlLbl val="0"/>
      </c:catAx>
      <c:valAx>
        <c:axId val="1732817520"/>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prstDash val="dash"/>
              <a:round/>
            </a:ln>
            <a:effectLst/>
          </c:spPr>
        </c:min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732821040"/>
        <c:crosses val="autoZero"/>
        <c:crossBetween val="between"/>
      </c:valAx>
      <c:valAx>
        <c:axId val="987538440"/>
        <c:scaling>
          <c:orientation val="minMax"/>
        </c:scaling>
        <c:delete val="0"/>
        <c:axPos val="r"/>
        <c:numFmt formatCode="General" sourceLinked="1"/>
        <c:majorTickMark val="out"/>
        <c:minorTickMark val="none"/>
        <c:tickLblPos val="nextTo"/>
        <c:spPr>
          <a:solidFill>
            <a:srgbClr val="FF0000"/>
          </a:solid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S"/>
          </a:p>
        </c:txPr>
        <c:crossAx val="987538760"/>
        <c:crosses val="max"/>
        <c:crossBetween val="between"/>
      </c:valAx>
      <c:catAx>
        <c:axId val="987538760"/>
        <c:scaling>
          <c:orientation val="minMax"/>
        </c:scaling>
        <c:delete val="1"/>
        <c:axPos val="b"/>
        <c:numFmt formatCode="General" sourceLinked="1"/>
        <c:majorTickMark val="out"/>
        <c:minorTickMark val="none"/>
        <c:tickLblPos val="nextTo"/>
        <c:crossAx val="987538440"/>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[SeguimientoIncidenciaArea.xlsm]Ratios!PivotTable3</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Ratios</a:t>
            </a:r>
            <a:r>
              <a:rPr lang="es-ES" baseline="0"/>
              <a:t> Incrementos</a:t>
            </a:r>
            <a:endParaRPr lang="es-ES"/>
          </a:p>
        </c:rich>
      </c:tx>
      <c:layout>
        <c:manualLayout>
          <c:xMode val="edge"/>
          <c:yMode val="edge"/>
          <c:x val="0.45948903471678054"/>
          <c:y val="5.5756300461952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0319774254434766E-2"/>
          <c:y val="0.16717964129946686"/>
          <c:w val="0.95896367842226649"/>
          <c:h val="0.49027965160063092"/>
        </c:manualLayout>
      </c:layout>
      <c:lineChart>
        <c:grouping val="standard"/>
        <c:varyColors val="0"/>
        <c:ser>
          <c:idx val="0"/>
          <c:order val="0"/>
          <c:tx>
            <c:strRef>
              <c:f>Ratios!$C$25</c:f>
              <c:strCache>
                <c:ptCount val="1"/>
                <c:pt idx="0">
                  <c:v>Ratio Incremento Hospital</c:v>
                </c:pt>
              </c:strCache>
            </c:strRef>
          </c:tx>
          <c:spPr>
            <a:ln w="28575" cap="rnd">
              <a:solidFill>
                <a:schemeClr val="accent1"/>
              </a:solidFill>
              <a:round/>
            </a:ln>
            <a:effectLst/>
          </c:spPr>
          <c:marker>
            <c:symbol val="none"/>
          </c:marker>
          <c:cat>
            <c:strRef>
              <c:f>Ratios!$B$26:$B$91</c:f>
              <c:strCache>
                <c:ptCount val="65"/>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strCache>
            </c:strRef>
          </c:cat>
          <c:val>
            <c:numRef>
              <c:f>Ratios!$C$26:$C$91</c:f>
              <c:numCache>
                <c:formatCode>General</c:formatCode>
                <c:ptCount val="65"/>
                <c:pt idx="0">
                  <c:v>0.94174757281553401</c:v>
                </c:pt>
                <c:pt idx="1">
                  <c:v>1.0103092783505154</c:v>
                </c:pt>
                <c:pt idx="2">
                  <c:v>0.88775510204081631</c:v>
                </c:pt>
                <c:pt idx="3">
                  <c:v>0.96551724137931039</c:v>
                </c:pt>
                <c:pt idx="4">
                  <c:v>0.90476190476190477</c:v>
                </c:pt>
                <c:pt idx="5">
                  <c:v>1.0263157894736843</c:v>
                </c:pt>
                <c:pt idx="6">
                  <c:v>0.94871794871794868</c:v>
                </c:pt>
                <c:pt idx="7">
                  <c:v>1</c:v>
                </c:pt>
                <c:pt idx="8">
                  <c:v>1.0135135135135136</c:v>
                </c:pt>
                <c:pt idx="9">
                  <c:v>0.96</c:v>
                </c:pt>
                <c:pt idx="10">
                  <c:v>0.875</c:v>
                </c:pt>
                <c:pt idx="11">
                  <c:v>1.0952380952380953</c:v>
                </c:pt>
                <c:pt idx="12">
                  <c:v>0.92753623188405798</c:v>
                </c:pt>
                <c:pt idx="13">
                  <c:v>0.90625</c:v>
                </c:pt>
                <c:pt idx="14">
                  <c:v>1.0172413793103448</c:v>
                </c:pt>
                <c:pt idx="15">
                  <c:v>1.0169491525423728</c:v>
                </c:pt>
                <c:pt idx="16">
                  <c:v>1.05</c:v>
                </c:pt>
                <c:pt idx="17">
                  <c:v>0.88888888888888884</c:v>
                </c:pt>
                <c:pt idx="18">
                  <c:v>0.9821428571428571</c:v>
                </c:pt>
                <c:pt idx="19">
                  <c:v>1.0181818181818181</c:v>
                </c:pt>
                <c:pt idx="20">
                  <c:v>1</c:v>
                </c:pt>
                <c:pt idx="21">
                  <c:v>1.0892857142857142</c:v>
                </c:pt>
                <c:pt idx="22">
                  <c:v>1.0819672131147542</c:v>
                </c:pt>
                <c:pt idx="23">
                  <c:v>1.0757575757575757</c:v>
                </c:pt>
                <c:pt idx="24">
                  <c:v>1</c:v>
                </c:pt>
                <c:pt idx="25">
                  <c:v>0.9859154929577465</c:v>
                </c:pt>
                <c:pt idx="26">
                  <c:v>0.95714285714285718</c:v>
                </c:pt>
                <c:pt idx="27">
                  <c:v>1.0746268656716418</c:v>
                </c:pt>
                <c:pt idx="28">
                  <c:v>1.0694444444444444</c:v>
                </c:pt>
                <c:pt idx="29">
                  <c:v>1.0779220779220779</c:v>
                </c:pt>
                <c:pt idx="30">
                  <c:v>0.97590361445783136</c:v>
                </c:pt>
                <c:pt idx="31">
                  <c:v>0.97530864197530864</c:v>
                </c:pt>
                <c:pt idx="32">
                  <c:v>1.0759493670886076</c:v>
                </c:pt>
                <c:pt idx="33">
                  <c:v>1.0352941176470589</c:v>
                </c:pt>
                <c:pt idx="34">
                  <c:v>0.95454545454545459</c:v>
                </c:pt>
                <c:pt idx="35">
                  <c:v>0.98809523809523814</c:v>
                </c:pt>
                <c:pt idx="36">
                  <c:v>1.1204819277108433</c:v>
                </c:pt>
                <c:pt idx="37">
                  <c:v>1.021505376344086</c:v>
                </c:pt>
                <c:pt idx="38">
                  <c:v>1.1368421052631579</c:v>
                </c:pt>
                <c:pt idx="39">
                  <c:v>1.1388888888888888</c:v>
                </c:pt>
                <c:pt idx="40">
                  <c:v>1.1219512195121952</c:v>
                </c:pt>
                <c:pt idx="41">
                  <c:v>0.94202898550724634</c:v>
                </c:pt>
                <c:pt idx="42">
                  <c:v>1.1153846153846154</c:v>
                </c:pt>
                <c:pt idx="43">
                  <c:v>1.1241379310344828</c:v>
                </c:pt>
                <c:pt idx="44">
                  <c:v>1.0245398773006136</c:v>
                </c:pt>
                <c:pt idx="45">
                  <c:v>1.0718562874251496</c:v>
                </c:pt>
                <c:pt idx="46">
                  <c:v>1.0502793296089385</c:v>
                </c:pt>
                <c:pt idx="47">
                  <c:v>1.1170212765957446</c:v>
                </c:pt>
                <c:pt idx="48">
                  <c:v>1.0761904761904761</c:v>
                </c:pt>
                <c:pt idx="49">
                  <c:v>1.0973451327433628</c:v>
                </c:pt>
                <c:pt idx="50">
                  <c:v>1.096774193548387</c:v>
                </c:pt>
                <c:pt idx="51">
                  <c:v>1.036764705882353</c:v>
                </c:pt>
                <c:pt idx="52">
                  <c:v>1.0815602836879432</c:v>
                </c:pt>
                <c:pt idx="53">
                  <c:v>1.0163934426229508</c:v>
                </c:pt>
                <c:pt idx="54">
                  <c:v>1.0354838709677419</c:v>
                </c:pt>
                <c:pt idx="55">
                  <c:v>0.97507788161993769</c:v>
                </c:pt>
                <c:pt idx="56">
                  <c:v>1.0415335463258786</c:v>
                </c:pt>
                <c:pt idx="57">
                  <c:v>1.0460122699386503</c:v>
                </c:pt>
                <c:pt idx="58">
                  <c:v>0.94721407624633436</c:v>
                </c:pt>
                <c:pt idx="59">
                  <c:v>0.94736842105263153</c:v>
                </c:pt>
                <c:pt idx="60">
                  <c:v>0.92156862745098034</c:v>
                </c:pt>
                <c:pt idx="61">
                  <c:v>0.97872340425531912</c:v>
                </c:pt>
                <c:pt idx="62">
                  <c:v>1.0398550724637681</c:v>
                </c:pt>
                <c:pt idx="63">
                  <c:v>0.99651567944250874</c:v>
                </c:pt>
                <c:pt idx="64">
                  <c:v>1.0034965034965035</c:v>
                </c:pt>
              </c:numCache>
            </c:numRef>
          </c:val>
          <c:smooth val="0"/>
          <c:extLst>
            <c:ext xmlns:c16="http://schemas.microsoft.com/office/drawing/2014/chart" uri="{C3380CC4-5D6E-409C-BE32-E72D297353CC}">
              <c16:uniqueId val="{00000001-AD4C-473C-A56C-38D9ACC5A37D}"/>
            </c:ext>
          </c:extLst>
        </c:ser>
        <c:ser>
          <c:idx val="1"/>
          <c:order val="1"/>
          <c:tx>
            <c:strRef>
              <c:f>Ratios!$D$25</c:f>
              <c:strCache>
                <c:ptCount val="1"/>
                <c:pt idx="0">
                  <c:v>Ratio Incremento UCI</c:v>
                </c:pt>
              </c:strCache>
            </c:strRef>
          </c:tx>
          <c:spPr>
            <a:ln w="28575" cap="rnd">
              <a:solidFill>
                <a:schemeClr val="accent2"/>
              </a:solidFill>
              <a:round/>
            </a:ln>
            <a:effectLst/>
          </c:spPr>
          <c:marker>
            <c:symbol val="none"/>
          </c:marker>
          <c:cat>
            <c:strRef>
              <c:f>Ratios!$B$26:$B$91</c:f>
              <c:strCache>
                <c:ptCount val="65"/>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strCache>
            </c:strRef>
          </c:cat>
          <c:val>
            <c:numRef>
              <c:f>Ratios!$D$26:$D$91</c:f>
              <c:numCache>
                <c:formatCode>General</c:formatCode>
                <c:ptCount val="65"/>
                <c:pt idx="0">
                  <c:v>1.0454545454545454</c:v>
                </c:pt>
                <c:pt idx="1">
                  <c:v>0.95652173913043481</c:v>
                </c:pt>
                <c:pt idx="2">
                  <c:v>0.77272727272727271</c:v>
                </c:pt>
                <c:pt idx="3">
                  <c:v>0.94117647058823528</c:v>
                </c:pt>
                <c:pt idx="4">
                  <c:v>0.875</c:v>
                </c:pt>
                <c:pt idx="5">
                  <c:v>0.9285714285714286</c:v>
                </c:pt>
                <c:pt idx="6">
                  <c:v>1</c:v>
                </c:pt>
                <c:pt idx="7">
                  <c:v>1</c:v>
                </c:pt>
                <c:pt idx="8">
                  <c:v>1</c:v>
                </c:pt>
                <c:pt idx="9">
                  <c:v>1.0769230769230769</c:v>
                </c:pt>
                <c:pt idx="10">
                  <c:v>0.9285714285714286</c:v>
                </c:pt>
                <c:pt idx="11">
                  <c:v>0.92307692307692313</c:v>
                </c:pt>
                <c:pt idx="12">
                  <c:v>1.1666666666666667</c:v>
                </c:pt>
                <c:pt idx="13">
                  <c:v>1</c:v>
                </c:pt>
                <c:pt idx="14">
                  <c:v>1</c:v>
                </c:pt>
                <c:pt idx="15">
                  <c:v>1</c:v>
                </c:pt>
                <c:pt idx="16">
                  <c:v>1.0714285714285714</c:v>
                </c:pt>
                <c:pt idx="17">
                  <c:v>1</c:v>
                </c:pt>
                <c:pt idx="18">
                  <c:v>1.1333333333333333</c:v>
                </c:pt>
                <c:pt idx="19">
                  <c:v>1.0588235294117647</c:v>
                </c:pt>
                <c:pt idx="20">
                  <c:v>0.94444444444444442</c:v>
                </c:pt>
                <c:pt idx="21">
                  <c:v>1.0588235294117647</c:v>
                </c:pt>
                <c:pt idx="22">
                  <c:v>0.94444444444444442</c:v>
                </c:pt>
                <c:pt idx="23">
                  <c:v>1.0588235294117647</c:v>
                </c:pt>
                <c:pt idx="24">
                  <c:v>1</c:v>
                </c:pt>
                <c:pt idx="25">
                  <c:v>1.0555555555555556</c:v>
                </c:pt>
                <c:pt idx="26">
                  <c:v>1.0526315789473684</c:v>
                </c:pt>
                <c:pt idx="27">
                  <c:v>1</c:v>
                </c:pt>
                <c:pt idx="28">
                  <c:v>0.9</c:v>
                </c:pt>
                <c:pt idx="29">
                  <c:v>1.0555555555555556</c:v>
                </c:pt>
                <c:pt idx="30">
                  <c:v>0.89473684210526316</c:v>
                </c:pt>
                <c:pt idx="31">
                  <c:v>1.0588235294117647</c:v>
                </c:pt>
                <c:pt idx="32">
                  <c:v>1.0555555555555556</c:v>
                </c:pt>
                <c:pt idx="33">
                  <c:v>1.1052631578947369</c:v>
                </c:pt>
                <c:pt idx="34">
                  <c:v>0.8571428571428571</c:v>
                </c:pt>
                <c:pt idx="35">
                  <c:v>1</c:v>
                </c:pt>
                <c:pt idx="36">
                  <c:v>1.1666666666666667</c:v>
                </c:pt>
                <c:pt idx="37">
                  <c:v>1.0476190476190477</c:v>
                </c:pt>
                <c:pt idx="38">
                  <c:v>1</c:v>
                </c:pt>
                <c:pt idx="39">
                  <c:v>1.2272727272727273</c:v>
                </c:pt>
                <c:pt idx="40">
                  <c:v>0.96296296296296291</c:v>
                </c:pt>
                <c:pt idx="41">
                  <c:v>1</c:v>
                </c:pt>
                <c:pt idx="42">
                  <c:v>1.0769230769230769</c:v>
                </c:pt>
                <c:pt idx="43">
                  <c:v>1.1071428571428572</c:v>
                </c:pt>
                <c:pt idx="44">
                  <c:v>1.1612903225806452</c:v>
                </c:pt>
                <c:pt idx="45">
                  <c:v>1.0833333333333333</c:v>
                </c:pt>
                <c:pt idx="46">
                  <c:v>0.97435897435897434</c:v>
                </c:pt>
                <c:pt idx="47">
                  <c:v>1</c:v>
                </c:pt>
                <c:pt idx="48">
                  <c:v>1</c:v>
                </c:pt>
                <c:pt idx="49">
                  <c:v>1.0263157894736843</c:v>
                </c:pt>
                <c:pt idx="50">
                  <c:v>1.1025641025641026</c:v>
                </c:pt>
                <c:pt idx="51">
                  <c:v>1.0930232558139534</c:v>
                </c:pt>
                <c:pt idx="52">
                  <c:v>1.0212765957446808</c:v>
                </c:pt>
                <c:pt idx="53">
                  <c:v>1.2291666666666667</c:v>
                </c:pt>
                <c:pt idx="54">
                  <c:v>1.1694915254237288</c:v>
                </c:pt>
                <c:pt idx="55">
                  <c:v>1.144927536231884</c:v>
                </c:pt>
                <c:pt idx="56">
                  <c:v>1.0379746835443038</c:v>
                </c:pt>
                <c:pt idx="57">
                  <c:v>1.0487804878048781</c:v>
                </c:pt>
                <c:pt idx="58">
                  <c:v>1.0813953488372092</c:v>
                </c:pt>
                <c:pt idx="59">
                  <c:v>0.91397849462365588</c:v>
                </c:pt>
                <c:pt idx="60">
                  <c:v>1.0235294117647058</c:v>
                </c:pt>
                <c:pt idx="61">
                  <c:v>0.97701149425287359</c:v>
                </c:pt>
                <c:pt idx="62">
                  <c:v>0.95294117647058818</c:v>
                </c:pt>
                <c:pt idx="63">
                  <c:v>1</c:v>
                </c:pt>
                <c:pt idx="64">
                  <c:v>1.0493827160493827</c:v>
                </c:pt>
              </c:numCache>
            </c:numRef>
          </c:val>
          <c:smooth val="0"/>
          <c:extLst>
            <c:ext xmlns:c16="http://schemas.microsoft.com/office/drawing/2014/chart" uri="{C3380CC4-5D6E-409C-BE32-E72D297353CC}">
              <c16:uniqueId val="{00000002-AD4C-473C-A56C-38D9ACC5A37D}"/>
            </c:ext>
          </c:extLst>
        </c:ser>
        <c:dLbls>
          <c:showLegendKey val="0"/>
          <c:showVal val="0"/>
          <c:showCatName val="0"/>
          <c:showSerName val="0"/>
          <c:showPercent val="0"/>
          <c:showBubbleSize val="0"/>
        </c:dLbls>
        <c:smooth val="0"/>
        <c:axId val="972756552"/>
        <c:axId val="972806472"/>
      </c:lineChart>
      <c:catAx>
        <c:axId val="97275655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72806472"/>
        <c:crosses val="autoZero"/>
        <c:auto val="1"/>
        <c:lblAlgn val="ctr"/>
        <c:lblOffset val="100"/>
        <c:noMultiLvlLbl val="0"/>
      </c:catAx>
      <c:valAx>
        <c:axId val="9728064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7275655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[SeguimientoIncidenciaArea.xlsm]GrafCoruna!GrafCoruna</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Coruña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GrafCoruna!$H$30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GrafCoruna!$D$31:$D$96</c:f>
              <c:strCache>
                <c:ptCount val="65"/>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strCache>
            </c:strRef>
          </c:cat>
          <c:val>
            <c:numRef>
              <c:f>GrafCoruna!$H$31:$H$96</c:f>
              <c:numCache>
                <c:formatCode>General</c:formatCode>
                <c:ptCount val="65"/>
                <c:pt idx="0">
                  <c:v>1114</c:v>
                </c:pt>
                <c:pt idx="1">
                  <c:v>824</c:v>
                </c:pt>
                <c:pt idx="2">
                  <c:v>614</c:v>
                </c:pt>
                <c:pt idx="3">
                  <c:v>1481</c:v>
                </c:pt>
                <c:pt idx="4">
                  <c:v>898</c:v>
                </c:pt>
                <c:pt idx="5">
                  <c:v>1554</c:v>
                </c:pt>
                <c:pt idx="6">
                  <c:v>1672</c:v>
                </c:pt>
                <c:pt idx="7">
                  <c:v>1260</c:v>
                </c:pt>
                <c:pt idx="8">
                  <c:v>809</c:v>
                </c:pt>
                <c:pt idx="9">
                  <c:v>515</c:v>
                </c:pt>
                <c:pt idx="10">
                  <c:v>1220</c:v>
                </c:pt>
                <c:pt idx="11">
                  <c:v>1069</c:v>
                </c:pt>
                <c:pt idx="12">
                  <c:v>975</c:v>
                </c:pt>
                <c:pt idx="13">
                  <c:v>1473</c:v>
                </c:pt>
                <c:pt idx="14">
                  <c:v>962</c:v>
                </c:pt>
                <c:pt idx="15">
                  <c:v>1114</c:v>
                </c:pt>
                <c:pt idx="16">
                  <c:v>789</c:v>
                </c:pt>
                <c:pt idx="17">
                  <c:v>1902</c:v>
                </c:pt>
                <c:pt idx="18">
                  <c:v>2880</c:v>
                </c:pt>
                <c:pt idx="19">
                  <c:v>2461</c:v>
                </c:pt>
                <c:pt idx="20">
                  <c:v>1231</c:v>
                </c:pt>
                <c:pt idx="21">
                  <c:v>404</c:v>
                </c:pt>
                <c:pt idx="22">
                  <c:v>1214</c:v>
                </c:pt>
                <c:pt idx="23">
                  <c:v>827</c:v>
                </c:pt>
                <c:pt idx="24">
                  <c:v>1445</c:v>
                </c:pt>
                <c:pt idx="25">
                  <c:v>1614</c:v>
                </c:pt>
                <c:pt idx="26">
                  <c:v>1455</c:v>
                </c:pt>
                <c:pt idx="27">
                  <c:v>1205</c:v>
                </c:pt>
                <c:pt idx="28">
                  <c:v>711</c:v>
                </c:pt>
                <c:pt idx="29">
                  <c:v>945</c:v>
                </c:pt>
                <c:pt idx="30">
                  <c:v>633</c:v>
                </c:pt>
                <c:pt idx="31">
                  <c:v>1505</c:v>
                </c:pt>
                <c:pt idx="32">
                  <c:v>1227</c:v>
                </c:pt>
                <c:pt idx="33">
                  <c:v>1057</c:v>
                </c:pt>
                <c:pt idx="34">
                  <c:v>1762</c:v>
                </c:pt>
                <c:pt idx="35">
                  <c:v>1489</c:v>
                </c:pt>
                <c:pt idx="36">
                  <c:v>1255</c:v>
                </c:pt>
                <c:pt idx="37">
                  <c:v>1273</c:v>
                </c:pt>
                <c:pt idx="38">
                  <c:v>2002</c:v>
                </c:pt>
                <c:pt idx="39">
                  <c:v>2662</c:v>
                </c:pt>
                <c:pt idx="40">
                  <c:v>2776</c:v>
                </c:pt>
                <c:pt idx="41">
                  <c:v>2497</c:v>
                </c:pt>
                <c:pt idx="42">
                  <c:v>2303</c:v>
                </c:pt>
                <c:pt idx="43">
                  <c:v>1788</c:v>
                </c:pt>
                <c:pt idx="44">
                  <c:v>1717</c:v>
                </c:pt>
                <c:pt idx="45">
                  <c:v>3016</c:v>
                </c:pt>
                <c:pt idx="46">
                  <c:v>3934</c:v>
                </c:pt>
                <c:pt idx="47">
                  <c:v>3303</c:v>
                </c:pt>
                <c:pt idx="48">
                  <c:v>4125</c:v>
                </c:pt>
                <c:pt idx="49">
                  <c:v>3697</c:v>
                </c:pt>
                <c:pt idx="50">
                  <c:v>2537</c:v>
                </c:pt>
                <c:pt idx="51">
                  <c:v>2265</c:v>
                </c:pt>
                <c:pt idx="52">
                  <c:v>3500</c:v>
                </c:pt>
                <c:pt idx="53">
                  <c:v>4480</c:v>
                </c:pt>
                <c:pt idx="54">
                  <c:v>4965</c:v>
                </c:pt>
                <c:pt idx="55">
                  <c:v>4891</c:v>
                </c:pt>
                <c:pt idx="56">
                  <c:v>6446</c:v>
                </c:pt>
                <c:pt idx="57">
                  <c:v>5929</c:v>
                </c:pt>
                <c:pt idx="58">
                  <c:v>4870</c:v>
                </c:pt>
                <c:pt idx="59">
                  <c:v>6227</c:v>
                </c:pt>
                <c:pt idx="60">
                  <c:v>7133</c:v>
                </c:pt>
                <c:pt idx="61">
                  <c:v>6752</c:v>
                </c:pt>
                <c:pt idx="62">
                  <c:v>9935</c:v>
                </c:pt>
                <c:pt idx="63">
                  <c:v>7587</c:v>
                </c:pt>
                <c:pt idx="64">
                  <c:v>8093</c:v>
                </c:pt>
              </c:numCache>
            </c:numRef>
          </c:val>
          <c:extLst>
            <c:ext xmlns:c16="http://schemas.microsoft.com/office/drawing/2014/chart" uri="{C3380CC4-5D6E-409C-BE32-E72D297353CC}">
              <c16:uniqueId val="{00000004-6F87-4476-A11C-FDF3BA07EE0F}"/>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GrafCoruna!$E$30</c:f>
              <c:strCache>
                <c:ptCount val="1"/>
                <c:pt idx="0">
                  <c:v>Nuevos Casos</c:v>
                </c:pt>
              </c:strCache>
            </c:strRef>
          </c:tx>
          <c:spPr>
            <a:ln w="28575" cap="rnd">
              <a:solidFill>
                <a:schemeClr val="accent1"/>
              </a:solidFill>
              <a:round/>
            </a:ln>
            <a:effectLst/>
          </c:spPr>
          <c:marker>
            <c:symbol val="none"/>
          </c:marker>
          <c:cat>
            <c:strRef>
              <c:f>GrafCoruna!$D$31:$D$96</c:f>
              <c:strCache>
                <c:ptCount val="65"/>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strCache>
            </c:strRef>
          </c:cat>
          <c:val>
            <c:numRef>
              <c:f>GrafCoruna!$E$31:$E$96</c:f>
              <c:numCache>
                <c:formatCode>General</c:formatCode>
                <c:ptCount val="65"/>
                <c:pt idx="0">
                  <c:v>40</c:v>
                </c:pt>
                <c:pt idx="1">
                  <c:v>53</c:v>
                </c:pt>
                <c:pt idx="2">
                  <c:v>37</c:v>
                </c:pt>
                <c:pt idx="3">
                  <c:v>47</c:v>
                </c:pt>
                <c:pt idx="4">
                  <c:v>43</c:v>
                </c:pt>
                <c:pt idx="5">
                  <c:v>43</c:v>
                </c:pt>
                <c:pt idx="6">
                  <c:v>51</c:v>
                </c:pt>
                <c:pt idx="7">
                  <c:v>42</c:v>
                </c:pt>
                <c:pt idx="8">
                  <c:v>65</c:v>
                </c:pt>
                <c:pt idx="9">
                  <c:v>21</c:v>
                </c:pt>
                <c:pt idx="10">
                  <c:v>45</c:v>
                </c:pt>
                <c:pt idx="11">
                  <c:v>61</c:v>
                </c:pt>
                <c:pt idx="12">
                  <c:v>44</c:v>
                </c:pt>
                <c:pt idx="13">
                  <c:v>77</c:v>
                </c:pt>
                <c:pt idx="14">
                  <c:v>67</c:v>
                </c:pt>
                <c:pt idx="15">
                  <c:v>53</c:v>
                </c:pt>
                <c:pt idx="16">
                  <c:v>23</c:v>
                </c:pt>
                <c:pt idx="17">
                  <c:v>64</c:v>
                </c:pt>
                <c:pt idx="18">
                  <c:v>60</c:v>
                </c:pt>
                <c:pt idx="19">
                  <c:v>67</c:v>
                </c:pt>
                <c:pt idx="20">
                  <c:v>59</c:v>
                </c:pt>
                <c:pt idx="21">
                  <c:v>36</c:v>
                </c:pt>
                <c:pt idx="22">
                  <c:v>48</c:v>
                </c:pt>
                <c:pt idx="23">
                  <c:v>54</c:v>
                </c:pt>
                <c:pt idx="24">
                  <c:v>121</c:v>
                </c:pt>
                <c:pt idx="25">
                  <c:v>134</c:v>
                </c:pt>
                <c:pt idx="26">
                  <c:v>107</c:v>
                </c:pt>
                <c:pt idx="27">
                  <c:v>118</c:v>
                </c:pt>
                <c:pt idx="28">
                  <c:v>46</c:v>
                </c:pt>
                <c:pt idx="29">
                  <c:v>118</c:v>
                </c:pt>
                <c:pt idx="30">
                  <c:v>86</c:v>
                </c:pt>
                <c:pt idx="31">
                  <c:v>187</c:v>
                </c:pt>
                <c:pt idx="32">
                  <c:v>158</c:v>
                </c:pt>
                <c:pt idx="33">
                  <c:v>151</c:v>
                </c:pt>
                <c:pt idx="34">
                  <c:v>199</c:v>
                </c:pt>
                <c:pt idx="35">
                  <c:v>184</c:v>
                </c:pt>
                <c:pt idx="36">
                  <c:v>158</c:v>
                </c:pt>
                <c:pt idx="37">
                  <c:v>179</c:v>
                </c:pt>
                <c:pt idx="38">
                  <c:v>256</c:v>
                </c:pt>
                <c:pt idx="39">
                  <c:v>298</c:v>
                </c:pt>
                <c:pt idx="40">
                  <c:v>295</c:v>
                </c:pt>
                <c:pt idx="41">
                  <c:v>330</c:v>
                </c:pt>
                <c:pt idx="42">
                  <c:v>360</c:v>
                </c:pt>
                <c:pt idx="43">
                  <c:v>282</c:v>
                </c:pt>
                <c:pt idx="44">
                  <c:v>277</c:v>
                </c:pt>
                <c:pt idx="45">
                  <c:v>435</c:v>
                </c:pt>
                <c:pt idx="46">
                  <c:v>442</c:v>
                </c:pt>
                <c:pt idx="47">
                  <c:v>446</c:v>
                </c:pt>
                <c:pt idx="48">
                  <c:v>549</c:v>
                </c:pt>
                <c:pt idx="49">
                  <c:v>449</c:v>
                </c:pt>
                <c:pt idx="50">
                  <c:v>300</c:v>
                </c:pt>
                <c:pt idx="51">
                  <c:v>347</c:v>
                </c:pt>
                <c:pt idx="52">
                  <c:v>446</c:v>
                </c:pt>
                <c:pt idx="53">
                  <c:v>409</c:v>
                </c:pt>
                <c:pt idx="54">
                  <c:v>365</c:v>
                </c:pt>
                <c:pt idx="55">
                  <c:v>320</c:v>
                </c:pt>
                <c:pt idx="56">
                  <c:v>339</c:v>
                </c:pt>
                <c:pt idx="57">
                  <c:v>214</c:v>
                </c:pt>
                <c:pt idx="58">
                  <c:v>232</c:v>
                </c:pt>
                <c:pt idx="59">
                  <c:v>293</c:v>
                </c:pt>
                <c:pt idx="60">
                  <c:v>297</c:v>
                </c:pt>
                <c:pt idx="61">
                  <c:v>259</c:v>
                </c:pt>
                <c:pt idx="62">
                  <c:v>261</c:v>
                </c:pt>
                <c:pt idx="63">
                  <c:v>285</c:v>
                </c:pt>
                <c:pt idx="64">
                  <c:v>177</c:v>
                </c:pt>
              </c:numCache>
            </c:numRef>
          </c:val>
          <c:smooth val="0"/>
          <c:extLst>
            <c:ext xmlns:c16="http://schemas.microsoft.com/office/drawing/2014/chart" uri="{C3380CC4-5D6E-409C-BE32-E72D297353CC}">
              <c16:uniqueId val="{00000001-6F87-4476-A11C-FDF3BA07EE0F}"/>
            </c:ext>
          </c:extLst>
        </c:ser>
        <c:ser>
          <c:idx val="1"/>
          <c:order val="1"/>
          <c:tx>
            <c:strRef>
              <c:f>GrafCoruna!$F$30</c:f>
              <c:strCache>
                <c:ptCount val="1"/>
                <c:pt idx="0">
                  <c:v>Camas Hosp</c:v>
                </c:pt>
              </c:strCache>
            </c:strRef>
          </c:tx>
          <c:spPr>
            <a:ln w="28575" cap="rnd">
              <a:solidFill>
                <a:schemeClr val="accent2"/>
              </a:solidFill>
              <a:round/>
            </a:ln>
            <a:effectLst/>
          </c:spPr>
          <c:marker>
            <c:symbol val="none"/>
          </c:marker>
          <c:cat>
            <c:strRef>
              <c:f>GrafCoruna!$D$31:$D$96</c:f>
              <c:strCache>
                <c:ptCount val="65"/>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strCache>
            </c:strRef>
          </c:cat>
          <c:val>
            <c:numRef>
              <c:f>GrafCoruna!$F$31:$F$96</c:f>
              <c:numCache>
                <c:formatCode>General</c:formatCode>
                <c:ptCount val="65"/>
                <c:pt idx="0">
                  <c:v>97</c:v>
                </c:pt>
                <c:pt idx="1">
                  <c:v>98</c:v>
                </c:pt>
                <c:pt idx="2">
                  <c:v>87</c:v>
                </c:pt>
                <c:pt idx="3">
                  <c:v>84</c:v>
                </c:pt>
                <c:pt idx="4">
                  <c:v>76</c:v>
                </c:pt>
                <c:pt idx="5">
                  <c:v>78</c:v>
                </c:pt>
                <c:pt idx="6">
                  <c:v>74</c:v>
                </c:pt>
                <c:pt idx="7">
                  <c:v>74</c:v>
                </c:pt>
                <c:pt idx="8">
                  <c:v>75</c:v>
                </c:pt>
                <c:pt idx="9">
                  <c:v>72</c:v>
                </c:pt>
                <c:pt idx="10">
                  <c:v>63</c:v>
                </c:pt>
                <c:pt idx="11">
                  <c:v>69</c:v>
                </c:pt>
                <c:pt idx="12">
                  <c:v>64</c:v>
                </c:pt>
                <c:pt idx="13">
                  <c:v>58</c:v>
                </c:pt>
                <c:pt idx="14">
                  <c:v>59</c:v>
                </c:pt>
                <c:pt idx="15">
                  <c:v>60</c:v>
                </c:pt>
                <c:pt idx="16">
                  <c:v>63</c:v>
                </c:pt>
                <c:pt idx="17">
                  <c:v>56</c:v>
                </c:pt>
                <c:pt idx="18">
                  <c:v>55</c:v>
                </c:pt>
                <c:pt idx="19">
                  <c:v>56</c:v>
                </c:pt>
                <c:pt idx="20">
                  <c:v>56</c:v>
                </c:pt>
                <c:pt idx="21">
                  <c:v>61</c:v>
                </c:pt>
                <c:pt idx="22">
                  <c:v>66</c:v>
                </c:pt>
                <c:pt idx="23">
                  <c:v>71</c:v>
                </c:pt>
                <c:pt idx="24">
                  <c:v>71</c:v>
                </c:pt>
                <c:pt idx="25">
                  <c:v>70</c:v>
                </c:pt>
                <c:pt idx="26">
                  <c:v>67</c:v>
                </c:pt>
                <c:pt idx="27">
                  <c:v>72</c:v>
                </c:pt>
                <c:pt idx="28">
                  <c:v>77</c:v>
                </c:pt>
                <c:pt idx="29">
                  <c:v>83</c:v>
                </c:pt>
                <c:pt idx="30">
                  <c:v>81</c:v>
                </c:pt>
                <c:pt idx="31">
                  <c:v>79</c:v>
                </c:pt>
                <c:pt idx="32">
                  <c:v>85</c:v>
                </c:pt>
                <c:pt idx="33">
                  <c:v>88</c:v>
                </c:pt>
                <c:pt idx="34">
                  <c:v>84</c:v>
                </c:pt>
                <c:pt idx="35">
                  <c:v>83</c:v>
                </c:pt>
                <c:pt idx="36">
                  <c:v>93</c:v>
                </c:pt>
                <c:pt idx="37">
                  <c:v>95</c:v>
                </c:pt>
                <c:pt idx="38">
                  <c:v>108</c:v>
                </c:pt>
                <c:pt idx="39">
                  <c:v>123</c:v>
                </c:pt>
                <c:pt idx="40">
                  <c:v>138</c:v>
                </c:pt>
                <c:pt idx="41">
                  <c:v>130</c:v>
                </c:pt>
                <c:pt idx="42">
                  <c:v>145</c:v>
                </c:pt>
                <c:pt idx="43">
                  <c:v>163</c:v>
                </c:pt>
                <c:pt idx="44">
                  <c:v>167</c:v>
                </c:pt>
                <c:pt idx="45">
                  <c:v>179</c:v>
                </c:pt>
                <c:pt idx="46">
                  <c:v>188</c:v>
                </c:pt>
                <c:pt idx="47">
                  <c:v>210</c:v>
                </c:pt>
                <c:pt idx="48">
                  <c:v>226</c:v>
                </c:pt>
                <c:pt idx="49">
                  <c:v>248</c:v>
                </c:pt>
                <c:pt idx="50">
                  <c:v>272</c:v>
                </c:pt>
                <c:pt idx="51">
                  <c:v>282</c:v>
                </c:pt>
                <c:pt idx="52">
                  <c:v>305</c:v>
                </c:pt>
                <c:pt idx="53">
                  <c:v>310</c:v>
                </c:pt>
                <c:pt idx="54">
                  <c:v>321</c:v>
                </c:pt>
                <c:pt idx="55">
                  <c:v>313</c:v>
                </c:pt>
                <c:pt idx="56">
                  <c:v>326</c:v>
                </c:pt>
                <c:pt idx="57">
                  <c:v>341</c:v>
                </c:pt>
                <c:pt idx="58">
                  <c:v>323</c:v>
                </c:pt>
                <c:pt idx="59">
                  <c:v>306</c:v>
                </c:pt>
                <c:pt idx="60">
                  <c:v>282</c:v>
                </c:pt>
                <c:pt idx="61">
                  <c:v>276</c:v>
                </c:pt>
                <c:pt idx="62">
                  <c:v>287</c:v>
                </c:pt>
                <c:pt idx="63">
                  <c:v>286</c:v>
                </c:pt>
                <c:pt idx="64">
                  <c:v>287</c:v>
                </c:pt>
              </c:numCache>
            </c:numRef>
          </c:val>
          <c:smooth val="0"/>
          <c:extLst>
            <c:ext xmlns:c16="http://schemas.microsoft.com/office/drawing/2014/chart" uri="{C3380CC4-5D6E-409C-BE32-E72D297353CC}">
              <c16:uniqueId val="{00000002-6F87-4476-A11C-FDF3BA07EE0F}"/>
            </c:ext>
          </c:extLst>
        </c:ser>
        <c:ser>
          <c:idx val="2"/>
          <c:order val="2"/>
          <c:tx>
            <c:strRef>
              <c:f>GrafCoruna!$G$30</c:f>
              <c:strCache>
                <c:ptCount val="1"/>
                <c:pt idx="0">
                  <c:v>Camas UCI</c:v>
                </c:pt>
              </c:strCache>
            </c:strRef>
          </c:tx>
          <c:spPr>
            <a:ln w="28575" cap="rnd">
              <a:solidFill>
                <a:srgbClr val="FF0000"/>
              </a:solidFill>
              <a:round/>
            </a:ln>
            <a:effectLst/>
          </c:spPr>
          <c:marker>
            <c:symbol val="none"/>
          </c:marker>
          <c:cat>
            <c:strRef>
              <c:f>GrafCoruna!$D$31:$D$96</c:f>
              <c:strCache>
                <c:ptCount val="65"/>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strCache>
            </c:strRef>
          </c:cat>
          <c:val>
            <c:numRef>
              <c:f>GrafCoruna!$G$31:$G$96</c:f>
              <c:numCache>
                <c:formatCode>General</c:formatCode>
                <c:ptCount val="65"/>
                <c:pt idx="0">
                  <c:v>23</c:v>
                </c:pt>
                <c:pt idx="1">
                  <c:v>22</c:v>
                </c:pt>
                <c:pt idx="2">
                  <c:v>17</c:v>
                </c:pt>
                <c:pt idx="3">
                  <c:v>16</c:v>
                </c:pt>
                <c:pt idx="4">
                  <c:v>14</c:v>
                </c:pt>
                <c:pt idx="5">
                  <c:v>13</c:v>
                </c:pt>
                <c:pt idx="6">
                  <c:v>13</c:v>
                </c:pt>
                <c:pt idx="7">
                  <c:v>13</c:v>
                </c:pt>
                <c:pt idx="8">
                  <c:v>13</c:v>
                </c:pt>
                <c:pt idx="9">
                  <c:v>14</c:v>
                </c:pt>
                <c:pt idx="10">
                  <c:v>13</c:v>
                </c:pt>
                <c:pt idx="11">
                  <c:v>12</c:v>
                </c:pt>
                <c:pt idx="12">
                  <c:v>14</c:v>
                </c:pt>
                <c:pt idx="13">
                  <c:v>14</c:v>
                </c:pt>
                <c:pt idx="14">
                  <c:v>14</c:v>
                </c:pt>
                <c:pt idx="15">
                  <c:v>14</c:v>
                </c:pt>
                <c:pt idx="16">
                  <c:v>15</c:v>
                </c:pt>
                <c:pt idx="17">
                  <c:v>15</c:v>
                </c:pt>
                <c:pt idx="18">
                  <c:v>17</c:v>
                </c:pt>
                <c:pt idx="19">
                  <c:v>18</c:v>
                </c:pt>
                <c:pt idx="20">
                  <c:v>17</c:v>
                </c:pt>
                <c:pt idx="21">
                  <c:v>18</c:v>
                </c:pt>
                <c:pt idx="22">
                  <c:v>17</c:v>
                </c:pt>
                <c:pt idx="23">
                  <c:v>18</c:v>
                </c:pt>
                <c:pt idx="24">
                  <c:v>18</c:v>
                </c:pt>
                <c:pt idx="25">
                  <c:v>19</c:v>
                </c:pt>
                <c:pt idx="26">
                  <c:v>20</c:v>
                </c:pt>
                <c:pt idx="27">
                  <c:v>20</c:v>
                </c:pt>
                <c:pt idx="28">
                  <c:v>18</c:v>
                </c:pt>
                <c:pt idx="29">
                  <c:v>19</c:v>
                </c:pt>
                <c:pt idx="30">
                  <c:v>17</c:v>
                </c:pt>
                <c:pt idx="31">
                  <c:v>18</c:v>
                </c:pt>
                <c:pt idx="32">
                  <c:v>19</c:v>
                </c:pt>
                <c:pt idx="33">
                  <c:v>21</c:v>
                </c:pt>
                <c:pt idx="34">
                  <c:v>18</c:v>
                </c:pt>
                <c:pt idx="35">
                  <c:v>18</c:v>
                </c:pt>
                <c:pt idx="36">
                  <c:v>21</c:v>
                </c:pt>
                <c:pt idx="37">
                  <c:v>22</c:v>
                </c:pt>
                <c:pt idx="38">
                  <c:v>22</c:v>
                </c:pt>
                <c:pt idx="39">
                  <c:v>27</c:v>
                </c:pt>
                <c:pt idx="40">
                  <c:v>26</c:v>
                </c:pt>
                <c:pt idx="41">
                  <c:v>26</c:v>
                </c:pt>
                <c:pt idx="42">
                  <c:v>28</c:v>
                </c:pt>
                <c:pt idx="43">
                  <c:v>31</c:v>
                </c:pt>
                <c:pt idx="44">
                  <c:v>36</c:v>
                </c:pt>
                <c:pt idx="45">
                  <c:v>39</c:v>
                </c:pt>
                <c:pt idx="46">
                  <c:v>38</c:v>
                </c:pt>
                <c:pt idx="47">
                  <c:v>38</c:v>
                </c:pt>
                <c:pt idx="48">
                  <c:v>38</c:v>
                </c:pt>
                <c:pt idx="49">
                  <c:v>39</c:v>
                </c:pt>
                <c:pt idx="50">
                  <c:v>43</c:v>
                </c:pt>
                <c:pt idx="51">
                  <c:v>47</c:v>
                </c:pt>
                <c:pt idx="52">
                  <c:v>48</c:v>
                </c:pt>
                <c:pt idx="53">
                  <c:v>59</c:v>
                </c:pt>
                <c:pt idx="54">
                  <c:v>69</c:v>
                </c:pt>
                <c:pt idx="55">
                  <c:v>79</c:v>
                </c:pt>
                <c:pt idx="56">
                  <c:v>82</c:v>
                </c:pt>
                <c:pt idx="57">
                  <c:v>86</c:v>
                </c:pt>
                <c:pt idx="58">
                  <c:v>93</c:v>
                </c:pt>
                <c:pt idx="59">
                  <c:v>85</c:v>
                </c:pt>
                <c:pt idx="60">
                  <c:v>87</c:v>
                </c:pt>
                <c:pt idx="61">
                  <c:v>85</c:v>
                </c:pt>
                <c:pt idx="62">
                  <c:v>81</c:v>
                </c:pt>
                <c:pt idx="63">
                  <c:v>81</c:v>
                </c:pt>
                <c:pt idx="64">
                  <c:v>85</c:v>
                </c:pt>
              </c:numCache>
            </c:numRef>
          </c:val>
          <c:smooth val="0"/>
          <c:extLst>
            <c:ext xmlns:c16="http://schemas.microsoft.com/office/drawing/2014/chart" uri="{C3380CC4-5D6E-409C-BE32-E72D297353CC}">
              <c16:uniqueId val="{00000003-6F87-4476-A11C-FDF3BA07EE0F}"/>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[SeguimientoIncidenciaArea.xlsm]GrafFerrol!GrafFerrol</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Ferrol</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GrafFerrol!$H$30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GrafFerrol!$D$31:$D$96</c:f>
              <c:strCache>
                <c:ptCount val="65"/>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strCache>
            </c:strRef>
          </c:cat>
          <c:val>
            <c:numRef>
              <c:f>GrafFerrol!$H$31:$H$96</c:f>
              <c:numCache>
                <c:formatCode>General</c:formatCode>
                <c:ptCount val="65"/>
                <c:pt idx="0">
                  <c:v>391</c:v>
                </c:pt>
                <c:pt idx="1">
                  <c:v>315</c:v>
                </c:pt>
                <c:pt idx="2">
                  <c:v>404</c:v>
                </c:pt>
                <c:pt idx="3">
                  <c:v>660</c:v>
                </c:pt>
                <c:pt idx="4">
                  <c:v>354</c:v>
                </c:pt>
                <c:pt idx="5">
                  <c:v>634</c:v>
                </c:pt>
                <c:pt idx="6">
                  <c:v>653</c:v>
                </c:pt>
                <c:pt idx="7">
                  <c:v>545</c:v>
                </c:pt>
                <c:pt idx="8">
                  <c:v>1024</c:v>
                </c:pt>
                <c:pt idx="9">
                  <c:v>901</c:v>
                </c:pt>
                <c:pt idx="10">
                  <c:v>633</c:v>
                </c:pt>
                <c:pt idx="11">
                  <c:v>525</c:v>
                </c:pt>
                <c:pt idx="12">
                  <c:v>491</c:v>
                </c:pt>
                <c:pt idx="13">
                  <c:v>343</c:v>
                </c:pt>
                <c:pt idx="14">
                  <c:v>369</c:v>
                </c:pt>
                <c:pt idx="15">
                  <c:v>341</c:v>
                </c:pt>
                <c:pt idx="16">
                  <c:v>346</c:v>
                </c:pt>
                <c:pt idx="17">
                  <c:v>898</c:v>
                </c:pt>
                <c:pt idx="18">
                  <c:v>749</c:v>
                </c:pt>
                <c:pt idx="19">
                  <c:v>671</c:v>
                </c:pt>
                <c:pt idx="20">
                  <c:v>508</c:v>
                </c:pt>
                <c:pt idx="21">
                  <c:v>283</c:v>
                </c:pt>
                <c:pt idx="22">
                  <c:v>420</c:v>
                </c:pt>
                <c:pt idx="23">
                  <c:v>289</c:v>
                </c:pt>
                <c:pt idx="24">
                  <c:v>355</c:v>
                </c:pt>
                <c:pt idx="25">
                  <c:v>403</c:v>
                </c:pt>
                <c:pt idx="26">
                  <c:v>332</c:v>
                </c:pt>
                <c:pt idx="27">
                  <c:v>277</c:v>
                </c:pt>
                <c:pt idx="28">
                  <c:v>201</c:v>
                </c:pt>
                <c:pt idx="29">
                  <c:v>372</c:v>
                </c:pt>
                <c:pt idx="30">
                  <c:v>379</c:v>
                </c:pt>
                <c:pt idx="31">
                  <c:v>642</c:v>
                </c:pt>
                <c:pt idx="32">
                  <c:v>487</c:v>
                </c:pt>
                <c:pt idx="33">
                  <c:v>360</c:v>
                </c:pt>
                <c:pt idx="34">
                  <c:v>414</c:v>
                </c:pt>
                <c:pt idx="35">
                  <c:v>771</c:v>
                </c:pt>
                <c:pt idx="36">
                  <c:v>652</c:v>
                </c:pt>
                <c:pt idx="37">
                  <c:v>605</c:v>
                </c:pt>
                <c:pt idx="38">
                  <c:v>738</c:v>
                </c:pt>
                <c:pt idx="39">
                  <c:v>714</c:v>
                </c:pt>
                <c:pt idx="40">
                  <c:v>654</c:v>
                </c:pt>
                <c:pt idx="41">
                  <c:v>765</c:v>
                </c:pt>
                <c:pt idx="42">
                  <c:v>423</c:v>
                </c:pt>
                <c:pt idx="43">
                  <c:v>711</c:v>
                </c:pt>
                <c:pt idx="44">
                  <c:v>759</c:v>
                </c:pt>
                <c:pt idx="45">
                  <c:v>1001</c:v>
                </c:pt>
                <c:pt idx="46">
                  <c:v>1097</c:v>
                </c:pt>
                <c:pt idx="47">
                  <c:v>910</c:v>
                </c:pt>
                <c:pt idx="48">
                  <c:v>1102</c:v>
                </c:pt>
                <c:pt idx="49">
                  <c:v>955</c:v>
                </c:pt>
                <c:pt idx="50">
                  <c:v>694</c:v>
                </c:pt>
                <c:pt idx="51">
                  <c:v>985</c:v>
                </c:pt>
                <c:pt idx="52">
                  <c:v>1090</c:v>
                </c:pt>
                <c:pt idx="53">
                  <c:v>1018</c:v>
                </c:pt>
                <c:pt idx="54">
                  <c:v>1341</c:v>
                </c:pt>
                <c:pt idx="55">
                  <c:v>1077</c:v>
                </c:pt>
                <c:pt idx="56">
                  <c:v>813</c:v>
                </c:pt>
                <c:pt idx="57">
                  <c:v>739</c:v>
                </c:pt>
                <c:pt idx="58">
                  <c:v>941</c:v>
                </c:pt>
                <c:pt idx="59">
                  <c:v>1287</c:v>
                </c:pt>
                <c:pt idx="60">
                  <c:v>1363</c:v>
                </c:pt>
                <c:pt idx="61">
                  <c:v>1721</c:v>
                </c:pt>
                <c:pt idx="62">
                  <c:v>1602</c:v>
                </c:pt>
                <c:pt idx="63">
                  <c:v>1239</c:v>
                </c:pt>
                <c:pt idx="64">
                  <c:v>729</c:v>
                </c:pt>
              </c:numCache>
            </c:numRef>
          </c:val>
          <c:extLst>
            <c:ext xmlns:c16="http://schemas.microsoft.com/office/drawing/2014/chart" uri="{C3380CC4-5D6E-409C-BE32-E72D297353CC}">
              <c16:uniqueId val="{00000000-2109-4AB7-83B7-2EF9B864ABFB}"/>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GrafFerrol!$E$30</c:f>
              <c:strCache>
                <c:ptCount val="1"/>
                <c:pt idx="0">
                  <c:v>Nuevos Casos</c:v>
                </c:pt>
              </c:strCache>
            </c:strRef>
          </c:tx>
          <c:spPr>
            <a:ln w="28575" cap="rnd">
              <a:solidFill>
                <a:schemeClr val="accent1"/>
              </a:solidFill>
              <a:round/>
            </a:ln>
            <a:effectLst/>
          </c:spPr>
          <c:marker>
            <c:symbol val="none"/>
          </c:marker>
          <c:cat>
            <c:strRef>
              <c:f>GrafFerrol!$D$31:$D$96</c:f>
              <c:strCache>
                <c:ptCount val="65"/>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strCache>
            </c:strRef>
          </c:cat>
          <c:val>
            <c:numRef>
              <c:f>GrafFerrol!$E$31:$E$96</c:f>
              <c:numCache>
                <c:formatCode>General</c:formatCode>
                <c:ptCount val="65"/>
                <c:pt idx="0">
                  <c:v>23</c:v>
                </c:pt>
                <c:pt idx="1">
                  <c:v>36</c:v>
                </c:pt>
                <c:pt idx="2">
                  <c:v>16</c:v>
                </c:pt>
                <c:pt idx="3">
                  <c:v>51</c:v>
                </c:pt>
                <c:pt idx="4">
                  <c:v>24</c:v>
                </c:pt>
                <c:pt idx="5">
                  <c:v>23</c:v>
                </c:pt>
                <c:pt idx="6">
                  <c:v>31</c:v>
                </c:pt>
                <c:pt idx="7">
                  <c:v>26</c:v>
                </c:pt>
                <c:pt idx="8">
                  <c:v>49</c:v>
                </c:pt>
                <c:pt idx="9">
                  <c:v>18</c:v>
                </c:pt>
                <c:pt idx="10">
                  <c:v>34</c:v>
                </c:pt>
                <c:pt idx="11">
                  <c:v>16</c:v>
                </c:pt>
                <c:pt idx="12">
                  <c:v>29</c:v>
                </c:pt>
                <c:pt idx="13">
                  <c:v>10</c:v>
                </c:pt>
                <c:pt idx="14">
                  <c:v>11</c:v>
                </c:pt>
                <c:pt idx="15">
                  <c:v>13</c:v>
                </c:pt>
                <c:pt idx="16">
                  <c:v>12</c:v>
                </c:pt>
                <c:pt idx="17">
                  <c:v>17</c:v>
                </c:pt>
                <c:pt idx="18">
                  <c:v>20</c:v>
                </c:pt>
                <c:pt idx="19">
                  <c:v>22</c:v>
                </c:pt>
                <c:pt idx="20">
                  <c:v>12</c:v>
                </c:pt>
                <c:pt idx="21">
                  <c:v>9</c:v>
                </c:pt>
                <c:pt idx="22">
                  <c:v>16</c:v>
                </c:pt>
                <c:pt idx="23">
                  <c:v>29</c:v>
                </c:pt>
                <c:pt idx="24">
                  <c:v>15</c:v>
                </c:pt>
                <c:pt idx="25">
                  <c:v>24</c:v>
                </c:pt>
                <c:pt idx="26">
                  <c:v>24</c:v>
                </c:pt>
                <c:pt idx="27">
                  <c:v>21</c:v>
                </c:pt>
                <c:pt idx="28">
                  <c:v>11</c:v>
                </c:pt>
                <c:pt idx="29">
                  <c:v>54</c:v>
                </c:pt>
                <c:pt idx="30">
                  <c:v>22</c:v>
                </c:pt>
                <c:pt idx="31">
                  <c:v>55</c:v>
                </c:pt>
                <c:pt idx="32">
                  <c:v>31</c:v>
                </c:pt>
                <c:pt idx="33">
                  <c:v>50</c:v>
                </c:pt>
                <c:pt idx="34">
                  <c:v>33</c:v>
                </c:pt>
                <c:pt idx="35">
                  <c:v>64</c:v>
                </c:pt>
                <c:pt idx="36">
                  <c:v>87</c:v>
                </c:pt>
                <c:pt idx="37">
                  <c:v>51</c:v>
                </c:pt>
                <c:pt idx="38">
                  <c:v>74</c:v>
                </c:pt>
                <c:pt idx="39">
                  <c:v>68</c:v>
                </c:pt>
                <c:pt idx="40">
                  <c:v>113</c:v>
                </c:pt>
                <c:pt idx="41">
                  <c:v>146</c:v>
                </c:pt>
                <c:pt idx="42">
                  <c:v>84</c:v>
                </c:pt>
                <c:pt idx="43">
                  <c:v>99</c:v>
                </c:pt>
                <c:pt idx="44">
                  <c:v>104</c:v>
                </c:pt>
                <c:pt idx="45">
                  <c:v>98</c:v>
                </c:pt>
                <c:pt idx="46">
                  <c:v>141</c:v>
                </c:pt>
                <c:pt idx="47">
                  <c:v>129</c:v>
                </c:pt>
                <c:pt idx="48">
                  <c:v>149</c:v>
                </c:pt>
                <c:pt idx="49">
                  <c:v>107</c:v>
                </c:pt>
                <c:pt idx="50">
                  <c:v>106</c:v>
                </c:pt>
                <c:pt idx="51">
                  <c:v>105</c:v>
                </c:pt>
                <c:pt idx="52">
                  <c:v>96</c:v>
                </c:pt>
                <c:pt idx="53">
                  <c:v>115</c:v>
                </c:pt>
                <c:pt idx="54">
                  <c:v>145</c:v>
                </c:pt>
                <c:pt idx="55">
                  <c:v>132</c:v>
                </c:pt>
                <c:pt idx="56">
                  <c:v>91</c:v>
                </c:pt>
                <c:pt idx="57">
                  <c:v>100</c:v>
                </c:pt>
                <c:pt idx="58">
                  <c:v>114</c:v>
                </c:pt>
                <c:pt idx="59">
                  <c:v>109</c:v>
                </c:pt>
                <c:pt idx="60">
                  <c:v>97</c:v>
                </c:pt>
                <c:pt idx="61">
                  <c:v>102</c:v>
                </c:pt>
                <c:pt idx="62">
                  <c:v>90</c:v>
                </c:pt>
                <c:pt idx="63">
                  <c:v>52</c:v>
                </c:pt>
                <c:pt idx="64">
                  <c:v>50</c:v>
                </c:pt>
              </c:numCache>
            </c:numRef>
          </c:val>
          <c:smooth val="0"/>
          <c:extLst>
            <c:ext xmlns:c16="http://schemas.microsoft.com/office/drawing/2014/chart" uri="{C3380CC4-5D6E-409C-BE32-E72D297353CC}">
              <c16:uniqueId val="{00000001-2109-4AB7-83B7-2EF9B864ABFB}"/>
            </c:ext>
          </c:extLst>
        </c:ser>
        <c:ser>
          <c:idx val="1"/>
          <c:order val="1"/>
          <c:tx>
            <c:strRef>
              <c:f>GrafFerrol!$F$30</c:f>
              <c:strCache>
                <c:ptCount val="1"/>
                <c:pt idx="0">
                  <c:v>Camas Hosp</c:v>
                </c:pt>
              </c:strCache>
            </c:strRef>
          </c:tx>
          <c:spPr>
            <a:ln w="28575" cap="rnd">
              <a:solidFill>
                <a:schemeClr val="accent2"/>
              </a:solidFill>
              <a:round/>
            </a:ln>
            <a:effectLst/>
          </c:spPr>
          <c:marker>
            <c:symbol val="none"/>
          </c:marker>
          <c:cat>
            <c:strRef>
              <c:f>GrafFerrol!$D$31:$D$96</c:f>
              <c:strCache>
                <c:ptCount val="65"/>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strCache>
            </c:strRef>
          </c:cat>
          <c:val>
            <c:numRef>
              <c:f>GrafFerrol!$F$31:$F$96</c:f>
              <c:numCache>
                <c:formatCode>General</c:formatCode>
                <c:ptCount val="65"/>
                <c:pt idx="0">
                  <c:v>27</c:v>
                </c:pt>
                <c:pt idx="1">
                  <c:v>30</c:v>
                </c:pt>
                <c:pt idx="2">
                  <c:v>29</c:v>
                </c:pt>
                <c:pt idx="3">
                  <c:v>28</c:v>
                </c:pt>
                <c:pt idx="4">
                  <c:v>27</c:v>
                </c:pt>
                <c:pt idx="5">
                  <c:v>28</c:v>
                </c:pt>
                <c:pt idx="6">
                  <c:v>29</c:v>
                </c:pt>
                <c:pt idx="7">
                  <c:v>28</c:v>
                </c:pt>
                <c:pt idx="8">
                  <c:v>30</c:v>
                </c:pt>
                <c:pt idx="9">
                  <c:v>30</c:v>
                </c:pt>
                <c:pt idx="10">
                  <c:v>30</c:v>
                </c:pt>
                <c:pt idx="11">
                  <c:v>28</c:v>
                </c:pt>
                <c:pt idx="12">
                  <c:v>30</c:v>
                </c:pt>
                <c:pt idx="13">
                  <c:v>31</c:v>
                </c:pt>
                <c:pt idx="14">
                  <c:v>29</c:v>
                </c:pt>
                <c:pt idx="15">
                  <c:v>30</c:v>
                </c:pt>
                <c:pt idx="16">
                  <c:v>33</c:v>
                </c:pt>
                <c:pt idx="17">
                  <c:v>30</c:v>
                </c:pt>
                <c:pt idx="18">
                  <c:v>30</c:v>
                </c:pt>
                <c:pt idx="19">
                  <c:v>29</c:v>
                </c:pt>
                <c:pt idx="20">
                  <c:v>26</c:v>
                </c:pt>
                <c:pt idx="21">
                  <c:v>25</c:v>
                </c:pt>
                <c:pt idx="22">
                  <c:v>24</c:v>
                </c:pt>
                <c:pt idx="23">
                  <c:v>27</c:v>
                </c:pt>
                <c:pt idx="24">
                  <c:v>31</c:v>
                </c:pt>
                <c:pt idx="25">
                  <c:v>33</c:v>
                </c:pt>
                <c:pt idx="26">
                  <c:v>35</c:v>
                </c:pt>
                <c:pt idx="27">
                  <c:v>37</c:v>
                </c:pt>
                <c:pt idx="28">
                  <c:v>41</c:v>
                </c:pt>
                <c:pt idx="29">
                  <c:v>45</c:v>
                </c:pt>
                <c:pt idx="30">
                  <c:v>50</c:v>
                </c:pt>
                <c:pt idx="31">
                  <c:v>46</c:v>
                </c:pt>
                <c:pt idx="32">
                  <c:v>44</c:v>
                </c:pt>
                <c:pt idx="33">
                  <c:v>43</c:v>
                </c:pt>
                <c:pt idx="34">
                  <c:v>35</c:v>
                </c:pt>
                <c:pt idx="35">
                  <c:v>43</c:v>
                </c:pt>
                <c:pt idx="36">
                  <c:v>54</c:v>
                </c:pt>
                <c:pt idx="37">
                  <c:v>62</c:v>
                </c:pt>
                <c:pt idx="38">
                  <c:v>74</c:v>
                </c:pt>
                <c:pt idx="39">
                  <c:v>73</c:v>
                </c:pt>
                <c:pt idx="40">
                  <c:v>77</c:v>
                </c:pt>
                <c:pt idx="41">
                  <c:v>80</c:v>
                </c:pt>
                <c:pt idx="42">
                  <c:v>83</c:v>
                </c:pt>
                <c:pt idx="43">
                  <c:v>89</c:v>
                </c:pt>
                <c:pt idx="44">
                  <c:v>96</c:v>
                </c:pt>
                <c:pt idx="45">
                  <c:v>97</c:v>
                </c:pt>
                <c:pt idx="46">
                  <c:v>104</c:v>
                </c:pt>
                <c:pt idx="47">
                  <c:v>117</c:v>
                </c:pt>
                <c:pt idx="48">
                  <c:v>113</c:v>
                </c:pt>
                <c:pt idx="49">
                  <c:v>124</c:v>
                </c:pt>
                <c:pt idx="50">
                  <c:v>131</c:v>
                </c:pt>
                <c:pt idx="51">
                  <c:v>132</c:v>
                </c:pt>
                <c:pt idx="52">
                  <c:v>136</c:v>
                </c:pt>
                <c:pt idx="53">
                  <c:v>135</c:v>
                </c:pt>
                <c:pt idx="54">
                  <c:v>150</c:v>
                </c:pt>
                <c:pt idx="55">
                  <c:v>150</c:v>
                </c:pt>
                <c:pt idx="56">
                  <c:v>160</c:v>
                </c:pt>
                <c:pt idx="57">
                  <c:v>164</c:v>
                </c:pt>
                <c:pt idx="58">
                  <c:v>166</c:v>
                </c:pt>
                <c:pt idx="59">
                  <c:v>166</c:v>
                </c:pt>
                <c:pt idx="60">
                  <c:v>173</c:v>
                </c:pt>
                <c:pt idx="61">
                  <c:v>165</c:v>
                </c:pt>
                <c:pt idx="62">
                  <c:v>160</c:v>
                </c:pt>
                <c:pt idx="63">
                  <c:v>150</c:v>
                </c:pt>
                <c:pt idx="64">
                  <c:v>158</c:v>
                </c:pt>
              </c:numCache>
            </c:numRef>
          </c:val>
          <c:smooth val="0"/>
          <c:extLst>
            <c:ext xmlns:c16="http://schemas.microsoft.com/office/drawing/2014/chart" uri="{C3380CC4-5D6E-409C-BE32-E72D297353CC}">
              <c16:uniqueId val="{00000002-2109-4AB7-83B7-2EF9B864ABFB}"/>
            </c:ext>
          </c:extLst>
        </c:ser>
        <c:ser>
          <c:idx val="2"/>
          <c:order val="2"/>
          <c:tx>
            <c:strRef>
              <c:f>GrafFerrol!$G$30</c:f>
              <c:strCache>
                <c:ptCount val="1"/>
                <c:pt idx="0">
                  <c:v>Camas UCI</c:v>
                </c:pt>
              </c:strCache>
            </c:strRef>
          </c:tx>
          <c:spPr>
            <a:ln w="28575" cap="rnd">
              <a:solidFill>
                <a:srgbClr val="FF0000"/>
              </a:solidFill>
              <a:round/>
            </a:ln>
            <a:effectLst/>
          </c:spPr>
          <c:marker>
            <c:symbol val="none"/>
          </c:marker>
          <c:cat>
            <c:strRef>
              <c:f>GrafFerrol!$D$31:$D$96</c:f>
              <c:strCache>
                <c:ptCount val="65"/>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strCache>
            </c:strRef>
          </c:cat>
          <c:val>
            <c:numRef>
              <c:f>GrafFerrol!$G$31:$G$96</c:f>
              <c:numCache>
                <c:formatCode>General</c:formatCode>
                <c:ptCount val="65"/>
                <c:pt idx="0">
                  <c:v>8</c:v>
                </c:pt>
                <c:pt idx="1">
                  <c:v>6</c:v>
                </c:pt>
                <c:pt idx="2">
                  <c:v>4</c:v>
                </c:pt>
                <c:pt idx="3">
                  <c:v>4</c:v>
                </c:pt>
                <c:pt idx="4">
                  <c:v>3</c:v>
                </c:pt>
                <c:pt idx="5">
                  <c:v>3</c:v>
                </c:pt>
                <c:pt idx="6">
                  <c:v>4</c:v>
                </c:pt>
                <c:pt idx="7">
                  <c:v>4</c:v>
                </c:pt>
                <c:pt idx="8">
                  <c:v>4</c:v>
                </c:pt>
                <c:pt idx="9">
                  <c:v>5</c:v>
                </c:pt>
                <c:pt idx="10">
                  <c:v>4</c:v>
                </c:pt>
                <c:pt idx="11">
                  <c:v>4</c:v>
                </c:pt>
                <c:pt idx="12">
                  <c:v>5</c:v>
                </c:pt>
                <c:pt idx="13">
                  <c:v>6</c:v>
                </c:pt>
                <c:pt idx="14">
                  <c:v>5</c:v>
                </c:pt>
                <c:pt idx="15">
                  <c:v>4</c:v>
                </c:pt>
                <c:pt idx="16">
                  <c:v>4</c:v>
                </c:pt>
                <c:pt idx="17">
                  <c:v>3</c:v>
                </c:pt>
                <c:pt idx="18">
                  <c:v>2</c:v>
                </c:pt>
                <c:pt idx="19">
                  <c:v>1</c:v>
                </c:pt>
                <c:pt idx="20">
                  <c:v>2</c:v>
                </c:pt>
                <c:pt idx="21">
                  <c:v>3</c:v>
                </c:pt>
                <c:pt idx="22">
                  <c:v>4</c:v>
                </c:pt>
                <c:pt idx="23">
                  <c:v>4</c:v>
                </c:pt>
                <c:pt idx="24">
                  <c:v>3</c:v>
                </c:pt>
                <c:pt idx="25">
                  <c:v>3</c:v>
                </c:pt>
                <c:pt idx="26">
                  <c:v>2</c:v>
                </c:pt>
                <c:pt idx="27">
                  <c:v>2</c:v>
                </c:pt>
                <c:pt idx="28">
                  <c:v>2</c:v>
                </c:pt>
                <c:pt idx="29">
                  <c:v>1</c:v>
                </c:pt>
                <c:pt idx="30">
                  <c:v>1</c:v>
                </c:pt>
                <c:pt idx="31">
                  <c:v>1</c:v>
                </c:pt>
                <c:pt idx="32">
                  <c:v>3</c:v>
                </c:pt>
                <c:pt idx="33">
                  <c:v>3</c:v>
                </c:pt>
                <c:pt idx="34">
                  <c:v>4</c:v>
                </c:pt>
                <c:pt idx="35">
                  <c:v>3</c:v>
                </c:pt>
                <c:pt idx="36">
                  <c:v>6</c:v>
                </c:pt>
                <c:pt idx="37">
                  <c:v>5</c:v>
                </c:pt>
                <c:pt idx="38">
                  <c:v>5</c:v>
                </c:pt>
                <c:pt idx="39">
                  <c:v>6</c:v>
                </c:pt>
                <c:pt idx="40">
                  <c:v>9</c:v>
                </c:pt>
                <c:pt idx="41">
                  <c:v>9</c:v>
                </c:pt>
                <c:pt idx="42">
                  <c:v>13</c:v>
                </c:pt>
                <c:pt idx="43">
                  <c:v>11</c:v>
                </c:pt>
                <c:pt idx="44">
                  <c:v>11</c:v>
                </c:pt>
                <c:pt idx="45">
                  <c:v>13</c:v>
                </c:pt>
                <c:pt idx="46">
                  <c:v>14</c:v>
                </c:pt>
                <c:pt idx="47">
                  <c:v>16</c:v>
                </c:pt>
                <c:pt idx="48">
                  <c:v>19</c:v>
                </c:pt>
                <c:pt idx="49">
                  <c:v>21</c:v>
                </c:pt>
                <c:pt idx="50">
                  <c:v>23</c:v>
                </c:pt>
                <c:pt idx="51">
                  <c:v>24</c:v>
                </c:pt>
                <c:pt idx="52">
                  <c:v>26</c:v>
                </c:pt>
                <c:pt idx="53">
                  <c:v>30</c:v>
                </c:pt>
                <c:pt idx="54">
                  <c:v>25</c:v>
                </c:pt>
                <c:pt idx="55">
                  <c:v>24</c:v>
                </c:pt>
                <c:pt idx="56">
                  <c:v>25</c:v>
                </c:pt>
                <c:pt idx="57">
                  <c:v>24</c:v>
                </c:pt>
                <c:pt idx="58">
                  <c:v>23</c:v>
                </c:pt>
                <c:pt idx="59">
                  <c:v>27</c:v>
                </c:pt>
                <c:pt idx="60">
                  <c:v>25</c:v>
                </c:pt>
                <c:pt idx="61">
                  <c:v>25</c:v>
                </c:pt>
                <c:pt idx="62">
                  <c:v>25</c:v>
                </c:pt>
                <c:pt idx="63">
                  <c:v>24</c:v>
                </c:pt>
                <c:pt idx="64">
                  <c:v>23</c:v>
                </c:pt>
              </c:numCache>
            </c:numRef>
          </c:val>
          <c:smooth val="0"/>
          <c:extLst>
            <c:ext xmlns:c16="http://schemas.microsoft.com/office/drawing/2014/chart" uri="{C3380CC4-5D6E-409C-BE32-E72D297353CC}">
              <c16:uniqueId val="{00000003-2109-4AB7-83B7-2EF9B864ABFB}"/>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[SeguimientoIncidenciaArea.xlsm]GrafLugo!GrafCoruna</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Lugo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GrafLugo!$H$30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GrafLugo!$D$31:$D$96</c:f>
              <c:strCache>
                <c:ptCount val="65"/>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strCache>
            </c:strRef>
          </c:cat>
          <c:val>
            <c:numRef>
              <c:f>GrafLugo!$H$31:$H$96</c:f>
              <c:numCache>
                <c:formatCode>General</c:formatCode>
                <c:ptCount val="65"/>
                <c:pt idx="0">
                  <c:v>514</c:v>
                </c:pt>
                <c:pt idx="1">
                  <c:v>466</c:v>
                </c:pt>
                <c:pt idx="2">
                  <c:v>541</c:v>
                </c:pt>
                <c:pt idx="3">
                  <c:v>760</c:v>
                </c:pt>
                <c:pt idx="4">
                  <c:v>965</c:v>
                </c:pt>
                <c:pt idx="5">
                  <c:v>1072</c:v>
                </c:pt>
                <c:pt idx="6">
                  <c:v>1134</c:v>
                </c:pt>
                <c:pt idx="7">
                  <c:v>970</c:v>
                </c:pt>
                <c:pt idx="8">
                  <c:v>1023</c:v>
                </c:pt>
                <c:pt idx="9">
                  <c:v>907</c:v>
                </c:pt>
                <c:pt idx="10">
                  <c:v>920</c:v>
                </c:pt>
                <c:pt idx="11">
                  <c:v>1110</c:v>
                </c:pt>
                <c:pt idx="12">
                  <c:v>741</c:v>
                </c:pt>
                <c:pt idx="13">
                  <c:v>910</c:v>
                </c:pt>
                <c:pt idx="14">
                  <c:v>1003</c:v>
                </c:pt>
                <c:pt idx="15">
                  <c:v>568</c:v>
                </c:pt>
                <c:pt idx="16">
                  <c:v>428</c:v>
                </c:pt>
                <c:pt idx="17">
                  <c:v>950</c:v>
                </c:pt>
                <c:pt idx="18">
                  <c:v>1301</c:v>
                </c:pt>
                <c:pt idx="19">
                  <c:v>1076</c:v>
                </c:pt>
                <c:pt idx="20">
                  <c:v>443</c:v>
                </c:pt>
                <c:pt idx="21">
                  <c:v>376</c:v>
                </c:pt>
                <c:pt idx="22">
                  <c:v>675</c:v>
                </c:pt>
                <c:pt idx="23">
                  <c:v>496</c:v>
                </c:pt>
                <c:pt idx="24">
                  <c:v>895</c:v>
                </c:pt>
                <c:pt idx="25">
                  <c:v>890</c:v>
                </c:pt>
                <c:pt idx="26">
                  <c:v>746</c:v>
                </c:pt>
                <c:pt idx="27">
                  <c:v>583</c:v>
                </c:pt>
                <c:pt idx="28">
                  <c:v>315</c:v>
                </c:pt>
                <c:pt idx="29">
                  <c:v>968</c:v>
                </c:pt>
                <c:pt idx="30">
                  <c:v>1151</c:v>
                </c:pt>
                <c:pt idx="31">
                  <c:v>1138</c:v>
                </c:pt>
                <c:pt idx="32">
                  <c:v>1251</c:v>
                </c:pt>
                <c:pt idx="33">
                  <c:v>711</c:v>
                </c:pt>
                <c:pt idx="34">
                  <c:v>1072</c:v>
                </c:pt>
                <c:pt idx="35">
                  <c:v>975</c:v>
                </c:pt>
                <c:pt idx="36">
                  <c:v>981</c:v>
                </c:pt>
                <c:pt idx="37">
                  <c:v>1292</c:v>
                </c:pt>
                <c:pt idx="38">
                  <c:v>1653</c:v>
                </c:pt>
                <c:pt idx="39">
                  <c:v>1330</c:v>
                </c:pt>
                <c:pt idx="40">
                  <c:v>1141</c:v>
                </c:pt>
                <c:pt idx="41">
                  <c:v>1362</c:v>
                </c:pt>
                <c:pt idx="42">
                  <c:v>1218</c:v>
                </c:pt>
                <c:pt idx="43">
                  <c:v>1301</c:v>
                </c:pt>
                <c:pt idx="44">
                  <c:v>1010</c:v>
                </c:pt>
                <c:pt idx="45">
                  <c:v>1708</c:v>
                </c:pt>
                <c:pt idx="46">
                  <c:v>1406</c:v>
                </c:pt>
                <c:pt idx="47">
                  <c:v>1909</c:v>
                </c:pt>
                <c:pt idx="48">
                  <c:v>1866</c:v>
                </c:pt>
                <c:pt idx="49">
                  <c:v>1629</c:v>
                </c:pt>
                <c:pt idx="50">
                  <c:v>1274</c:v>
                </c:pt>
                <c:pt idx="51">
                  <c:v>1649</c:v>
                </c:pt>
                <c:pt idx="52">
                  <c:v>2041</c:v>
                </c:pt>
                <c:pt idx="53">
                  <c:v>1899</c:v>
                </c:pt>
                <c:pt idx="54">
                  <c:v>1799</c:v>
                </c:pt>
                <c:pt idx="55">
                  <c:v>2016</c:v>
                </c:pt>
                <c:pt idx="56">
                  <c:v>1931</c:v>
                </c:pt>
                <c:pt idx="57">
                  <c:v>1291</c:v>
                </c:pt>
                <c:pt idx="58">
                  <c:v>1634</c:v>
                </c:pt>
                <c:pt idx="59">
                  <c:v>1927</c:v>
                </c:pt>
                <c:pt idx="60">
                  <c:v>1952</c:v>
                </c:pt>
                <c:pt idx="61">
                  <c:v>2033</c:v>
                </c:pt>
                <c:pt idx="62">
                  <c:v>1983</c:v>
                </c:pt>
                <c:pt idx="63">
                  <c:v>1687</c:v>
                </c:pt>
                <c:pt idx="64">
                  <c:v>1407</c:v>
                </c:pt>
              </c:numCache>
            </c:numRef>
          </c:val>
          <c:extLst>
            <c:ext xmlns:c16="http://schemas.microsoft.com/office/drawing/2014/chart" uri="{C3380CC4-5D6E-409C-BE32-E72D297353CC}">
              <c16:uniqueId val="{00000000-F59D-4E71-B078-59771F456158}"/>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GrafLugo!$E$30</c:f>
              <c:strCache>
                <c:ptCount val="1"/>
                <c:pt idx="0">
                  <c:v>Nuevos Casos</c:v>
                </c:pt>
              </c:strCache>
            </c:strRef>
          </c:tx>
          <c:spPr>
            <a:ln w="28575" cap="rnd">
              <a:solidFill>
                <a:schemeClr val="accent1"/>
              </a:solidFill>
              <a:round/>
            </a:ln>
            <a:effectLst/>
          </c:spPr>
          <c:marker>
            <c:symbol val="none"/>
          </c:marker>
          <c:cat>
            <c:strRef>
              <c:f>GrafLugo!$D$31:$D$96</c:f>
              <c:strCache>
                <c:ptCount val="65"/>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strCache>
            </c:strRef>
          </c:cat>
          <c:val>
            <c:numRef>
              <c:f>GrafLugo!$E$31:$E$96</c:f>
              <c:numCache>
                <c:formatCode>General</c:formatCode>
                <c:ptCount val="65"/>
                <c:pt idx="0">
                  <c:v>31</c:v>
                </c:pt>
                <c:pt idx="1">
                  <c:v>29</c:v>
                </c:pt>
                <c:pt idx="2">
                  <c:v>18</c:v>
                </c:pt>
                <c:pt idx="3">
                  <c:v>30</c:v>
                </c:pt>
                <c:pt idx="4">
                  <c:v>20</c:v>
                </c:pt>
                <c:pt idx="5">
                  <c:v>25</c:v>
                </c:pt>
                <c:pt idx="6">
                  <c:v>19</c:v>
                </c:pt>
                <c:pt idx="7">
                  <c:v>23</c:v>
                </c:pt>
                <c:pt idx="8">
                  <c:v>20</c:v>
                </c:pt>
                <c:pt idx="9">
                  <c:v>13</c:v>
                </c:pt>
                <c:pt idx="10">
                  <c:v>33</c:v>
                </c:pt>
                <c:pt idx="11">
                  <c:v>23</c:v>
                </c:pt>
                <c:pt idx="12">
                  <c:v>13</c:v>
                </c:pt>
                <c:pt idx="13">
                  <c:v>31</c:v>
                </c:pt>
                <c:pt idx="14">
                  <c:v>29</c:v>
                </c:pt>
                <c:pt idx="15">
                  <c:v>17</c:v>
                </c:pt>
                <c:pt idx="16">
                  <c:v>17</c:v>
                </c:pt>
                <c:pt idx="17">
                  <c:v>26</c:v>
                </c:pt>
                <c:pt idx="18">
                  <c:v>35</c:v>
                </c:pt>
                <c:pt idx="19">
                  <c:v>28</c:v>
                </c:pt>
                <c:pt idx="20">
                  <c:v>35</c:v>
                </c:pt>
                <c:pt idx="21">
                  <c:v>11</c:v>
                </c:pt>
                <c:pt idx="22">
                  <c:v>43</c:v>
                </c:pt>
                <c:pt idx="23">
                  <c:v>16</c:v>
                </c:pt>
                <c:pt idx="24">
                  <c:v>50</c:v>
                </c:pt>
                <c:pt idx="25">
                  <c:v>49</c:v>
                </c:pt>
                <c:pt idx="26">
                  <c:v>47</c:v>
                </c:pt>
                <c:pt idx="27">
                  <c:v>35</c:v>
                </c:pt>
                <c:pt idx="28">
                  <c:v>33</c:v>
                </c:pt>
                <c:pt idx="29">
                  <c:v>60</c:v>
                </c:pt>
                <c:pt idx="30">
                  <c:v>45</c:v>
                </c:pt>
                <c:pt idx="31">
                  <c:v>63</c:v>
                </c:pt>
                <c:pt idx="32">
                  <c:v>69</c:v>
                </c:pt>
                <c:pt idx="33">
                  <c:v>42</c:v>
                </c:pt>
                <c:pt idx="34">
                  <c:v>96</c:v>
                </c:pt>
                <c:pt idx="35">
                  <c:v>75</c:v>
                </c:pt>
                <c:pt idx="36">
                  <c:v>57</c:v>
                </c:pt>
                <c:pt idx="37">
                  <c:v>47</c:v>
                </c:pt>
                <c:pt idx="38">
                  <c:v>104</c:v>
                </c:pt>
                <c:pt idx="39">
                  <c:v>99</c:v>
                </c:pt>
                <c:pt idx="40">
                  <c:v>85</c:v>
                </c:pt>
                <c:pt idx="41">
                  <c:v>91</c:v>
                </c:pt>
                <c:pt idx="42">
                  <c:v>108</c:v>
                </c:pt>
                <c:pt idx="43">
                  <c:v>93</c:v>
                </c:pt>
                <c:pt idx="44">
                  <c:v>102</c:v>
                </c:pt>
                <c:pt idx="45">
                  <c:v>117</c:v>
                </c:pt>
                <c:pt idx="46">
                  <c:v>132</c:v>
                </c:pt>
                <c:pt idx="47">
                  <c:v>163</c:v>
                </c:pt>
                <c:pt idx="48">
                  <c:v>188</c:v>
                </c:pt>
                <c:pt idx="49">
                  <c:v>173</c:v>
                </c:pt>
                <c:pt idx="50">
                  <c:v>121</c:v>
                </c:pt>
                <c:pt idx="51">
                  <c:v>116</c:v>
                </c:pt>
                <c:pt idx="52">
                  <c:v>211</c:v>
                </c:pt>
                <c:pt idx="53">
                  <c:v>134</c:v>
                </c:pt>
                <c:pt idx="54">
                  <c:v>123</c:v>
                </c:pt>
                <c:pt idx="55">
                  <c:v>179</c:v>
                </c:pt>
                <c:pt idx="56">
                  <c:v>124</c:v>
                </c:pt>
                <c:pt idx="57">
                  <c:v>97</c:v>
                </c:pt>
                <c:pt idx="58">
                  <c:v>78</c:v>
                </c:pt>
                <c:pt idx="59">
                  <c:v>77</c:v>
                </c:pt>
                <c:pt idx="60">
                  <c:v>107</c:v>
                </c:pt>
                <c:pt idx="61">
                  <c:v>82</c:v>
                </c:pt>
                <c:pt idx="62">
                  <c:v>91</c:v>
                </c:pt>
                <c:pt idx="63">
                  <c:v>92</c:v>
                </c:pt>
                <c:pt idx="64">
                  <c:v>51</c:v>
                </c:pt>
              </c:numCache>
            </c:numRef>
          </c:val>
          <c:smooth val="0"/>
          <c:extLst>
            <c:ext xmlns:c16="http://schemas.microsoft.com/office/drawing/2014/chart" uri="{C3380CC4-5D6E-409C-BE32-E72D297353CC}">
              <c16:uniqueId val="{00000001-F59D-4E71-B078-59771F456158}"/>
            </c:ext>
          </c:extLst>
        </c:ser>
        <c:ser>
          <c:idx val="1"/>
          <c:order val="1"/>
          <c:tx>
            <c:strRef>
              <c:f>GrafLugo!$F$30</c:f>
              <c:strCache>
                <c:ptCount val="1"/>
                <c:pt idx="0">
                  <c:v>Camas Hosp</c:v>
                </c:pt>
              </c:strCache>
            </c:strRef>
          </c:tx>
          <c:spPr>
            <a:ln w="28575" cap="rnd">
              <a:solidFill>
                <a:schemeClr val="accent2"/>
              </a:solidFill>
              <a:round/>
            </a:ln>
            <a:effectLst/>
          </c:spPr>
          <c:marker>
            <c:symbol val="none"/>
          </c:marker>
          <c:cat>
            <c:strRef>
              <c:f>GrafLugo!$D$31:$D$96</c:f>
              <c:strCache>
                <c:ptCount val="65"/>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strCache>
            </c:strRef>
          </c:cat>
          <c:val>
            <c:numRef>
              <c:f>GrafLugo!$F$31:$F$96</c:f>
              <c:numCache>
                <c:formatCode>General</c:formatCode>
                <c:ptCount val="65"/>
                <c:pt idx="0">
                  <c:v>31</c:v>
                </c:pt>
                <c:pt idx="1">
                  <c:v>30</c:v>
                </c:pt>
                <c:pt idx="2">
                  <c:v>23</c:v>
                </c:pt>
                <c:pt idx="3">
                  <c:v>27</c:v>
                </c:pt>
                <c:pt idx="4">
                  <c:v>27</c:v>
                </c:pt>
                <c:pt idx="5">
                  <c:v>23</c:v>
                </c:pt>
                <c:pt idx="6">
                  <c:v>25</c:v>
                </c:pt>
                <c:pt idx="7">
                  <c:v>22</c:v>
                </c:pt>
                <c:pt idx="8">
                  <c:v>21</c:v>
                </c:pt>
                <c:pt idx="9">
                  <c:v>20</c:v>
                </c:pt>
                <c:pt idx="10">
                  <c:v>18</c:v>
                </c:pt>
                <c:pt idx="11">
                  <c:v>18</c:v>
                </c:pt>
                <c:pt idx="12">
                  <c:v>17</c:v>
                </c:pt>
                <c:pt idx="13">
                  <c:v>12</c:v>
                </c:pt>
                <c:pt idx="14">
                  <c:v>13</c:v>
                </c:pt>
                <c:pt idx="15">
                  <c:v>14</c:v>
                </c:pt>
                <c:pt idx="16">
                  <c:v>14</c:v>
                </c:pt>
                <c:pt idx="17">
                  <c:v>9</c:v>
                </c:pt>
                <c:pt idx="18">
                  <c:v>10</c:v>
                </c:pt>
                <c:pt idx="19">
                  <c:v>10</c:v>
                </c:pt>
                <c:pt idx="20">
                  <c:v>10</c:v>
                </c:pt>
                <c:pt idx="21">
                  <c:v>9</c:v>
                </c:pt>
                <c:pt idx="22">
                  <c:v>11</c:v>
                </c:pt>
                <c:pt idx="23">
                  <c:v>10</c:v>
                </c:pt>
                <c:pt idx="24">
                  <c:v>12</c:v>
                </c:pt>
                <c:pt idx="25">
                  <c:v>16</c:v>
                </c:pt>
                <c:pt idx="26">
                  <c:v>13</c:v>
                </c:pt>
                <c:pt idx="27">
                  <c:v>14</c:v>
                </c:pt>
                <c:pt idx="28">
                  <c:v>16</c:v>
                </c:pt>
                <c:pt idx="29">
                  <c:v>17</c:v>
                </c:pt>
                <c:pt idx="30">
                  <c:v>17</c:v>
                </c:pt>
                <c:pt idx="31">
                  <c:v>18</c:v>
                </c:pt>
                <c:pt idx="32">
                  <c:v>19</c:v>
                </c:pt>
                <c:pt idx="33">
                  <c:v>17</c:v>
                </c:pt>
                <c:pt idx="34">
                  <c:v>18</c:v>
                </c:pt>
                <c:pt idx="35">
                  <c:v>20</c:v>
                </c:pt>
                <c:pt idx="36">
                  <c:v>21</c:v>
                </c:pt>
                <c:pt idx="37">
                  <c:v>25</c:v>
                </c:pt>
                <c:pt idx="38">
                  <c:v>28</c:v>
                </c:pt>
                <c:pt idx="39">
                  <c:v>31</c:v>
                </c:pt>
                <c:pt idx="40">
                  <c:v>32</c:v>
                </c:pt>
                <c:pt idx="41">
                  <c:v>35</c:v>
                </c:pt>
                <c:pt idx="42">
                  <c:v>37</c:v>
                </c:pt>
                <c:pt idx="43">
                  <c:v>43</c:v>
                </c:pt>
                <c:pt idx="44">
                  <c:v>39</c:v>
                </c:pt>
                <c:pt idx="45">
                  <c:v>37</c:v>
                </c:pt>
                <c:pt idx="46">
                  <c:v>39</c:v>
                </c:pt>
                <c:pt idx="47">
                  <c:v>36</c:v>
                </c:pt>
                <c:pt idx="48">
                  <c:v>41</c:v>
                </c:pt>
                <c:pt idx="49">
                  <c:v>48</c:v>
                </c:pt>
                <c:pt idx="50">
                  <c:v>51</c:v>
                </c:pt>
                <c:pt idx="51">
                  <c:v>57</c:v>
                </c:pt>
                <c:pt idx="52">
                  <c:v>58</c:v>
                </c:pt>
                <c:pt idx="53">
                  <c:v>57</c:v>
                </c:pt>
                <c:pt idx="54">
                  <c:v>56</c:v>
                </c:pt>
                <c:pt idx="55">
                  <c:v>57</c:v>
                </c:pt>
                <c:pt idx="56">
                  <c:v>54</c:v>
                </c:pt>
                <c:pt idx="57">
                  <c:v>67</c:v>
                </c:pt>
                <c:pt idx="58">
                  <c:v>70</c:v>
                </c:pt>
                <c:pt idx="59">
                  <c:v>70</c:v>
                </c:pt>
                <c:pt idx="60">
                  <c:v>65</c:v>
                </c:pt>
                <c:pt idx="61">
                  <c:v>64</c:v>
                </c:pt>
                <c:pt idx="62">
                  <c:v>67</c:v>
                </c:pt>
                <c:pt idx="63">
                  <c:v>67</c:v>
                </c:pt>
                <c:pt idx="64">
                  <c:v>68</c:v>
                </c:pt>
              </c:numCache>
            </c:numRef>
          </c:val>
          <c:smooth val="0"/>
          <c:extLst>
            <c:ext xmlns:c16="http://schemas.microsoft.com/office/drawing/2014/chart" uri="{C3380CC4-5D6E-409C-BE32-E72D297353CC}">
              <c16:uniqueId val="{00000002-F59D-4E71-B078-59771F456158}"/>
            </c:ext>
          </c:extLst>
        </c:ser>
        <c:ser>
          <c:idx val="2"/>
          <c:order val="2"/>
          <c:tx>
            <c:strRef>
              <c:f>GrafLugo!$G$30</c:f>
              <c:strCache>
                <c:ptCount val="1"/>
                <c:pt idx="0">
                  <c:v>Camas UCI</c:v>
                </c:pt>
              </c:strCache>
            </c:strRef>
          </c:tx>
          <c:spPr>
            <a:ln w="28575" cap="rnd">
              <a:solidFill>
                <a:srgbClr val="FF0000"/>
              </a:solidFill>
              <a:round/>
            </a:ln>
            <a:effectLst/>
          </c:spPr>
          <c:marker>
            <c:symbol val="none"/>
          </c:marker>
          <c:cat>
            <c:strRef>
              <c:f>GrafLugo!$D$31:$D$96</c:f>
              <c:strCache>
                <c:ptCount val="65"/>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strCache>
            </c:strRef>
          </c:cat>
          <c:val>
            <c:numRef>
              <c:f>GrafLugo!$G$31:$G$96</c:f>
              <c:numCache>
                <c:formatCode>General</c:formatCode>
                <c:ptCount val="65"/>
                <c:pt idx="0">
                  <c:v>1</c:v>
                </c:pt>
                <c:pt idx="1">
                  <c:v>1</c:v>
                </c:pt>
                <c:pt idx="2">
                  <c:v>2</c:v>
                </c:pt>
                <c:pt idx="3">
                  <c:v>3</c:v>
                </c:pt>
                <c:pt idx="4">
                  <c:v>4</c:v>
                </c:pt>
                <c:pt idx="5">
                  <c:v>4</c:v>
                </c:pt>
                <c:pt idx="6">
                  <c:v>4</c:v>
                </c:pt>
                <c:pt idx="7">
                  <c:v>4</c:v>
                </c:pt>
                <c:pt idx="8">
                  <c:v>6</c:v>
                </c:pt>
                <c:pt idx="9">
                  <c:v>6</c:v>
                </c:pt>
                <c:pt idx="10">
                  <c:v>6</c:v>
                </c:pt>
                <c:pt idx="11">
                  <c:v>5</c:v>
                </c:pt>
                <c:pt idx="12">
                  <c:v>6</c:v>
                </c:pt>
                <c:pt idx="13">
                  <c:v>7</c:v>
                </c:pt>
                <c:pt idx="14">
                  <c:v>6</c:v>
                </c:pt>
                <c:pt idx="15">
                  <c:v>6</c:v>
                </c:pt>
                <c:pt idx="16">
                  <c:v>4</c:v>
                </c:pt>
                <c:pt idx="17">
                  <c:v>4</c:v>
                </c:pt>
                <c:pt idx="18">
                  <c:v>3</c:v>
                </c:pt>
                <c:pt idx="19">
                  <c:v>3</c:v>
                </c:pt>
                <c:pt idx="20">
                  <c:v>4</c:v>
                </c:pt>
                <c:pt idx="21">
                  <c:v>4</c:v>
                </c:pt>
                <c:pt idx="22">
                  <c:v>3</c:v>
                </c:pt>
                <c:pt idx="23">
                  <c:v>3</c:v>
                </c:pt>
                <c:pt idx="24">
                  <c:v>2</c:v>
                </c:pt>
                <c:pt idx="25">
                  <c:v>2</c:v>
                </c:pt>
                <c:pt idx="26">
                  <c:v>2</c:v>
                </c:pt>
                <c:pt idx="27">
                  <c:v>2</c:v>
                </c:pt>
                <c:pt idx="28">
                  <c:v>2</c:v>
                </c:pt>
                <c:pt idx="29">
                  <c:v>0</c:v>
                </c:pt>
                <c:pt idx="30">
                  <c:v>0</c:v>
                </c:pt>
                <c:pt idx="31">
                  <c:v>0</c:v>
                </c:pt>
                <c:pt idx="32">
                  <c:v>0</c:v>
                </c:pt>
                <c:pt idx="33">
                  <c:v>0</c:v>
                </c:pt>
                <c:pt idx="34">
                  <c:v>0</c:v>
                </c:pt>
                <c:pt idx="35">
                  <c:v>2</c:v>
                </c:pt>
                <c:pt idx="36">
                  <c:v>3</c:v>
                </c:pt>
                <c:pt idx="37">
                  <c:v>2</c:v>
                </c:pt>
                <c:pt idx="38">
                  <c:v>4</c:v>
                </c:pt>
                <c:pt idx="39">
                  <c:v>3</c:v>
                </c:pt>
                <c:pt idx="40">
                  <c:v>3</c:v>
                </c:pt>
                <c:pt idx="41">
                  <c:v>4</c:v>
                </c:pt>
                <c:pt idx="42">
                  <c:v>6</c:v>
                </c:pt>
                <c:pt idx="43">
                  <c:v>7</c:v>
                </c:pt>
                <c:pt idx="44">
                  <c:v>7</c:v>
                </c:pt>
                <c:pt idx="45">
                  <c:v>8</c:v>
                </c:pt>
                <c:pt idx="46">
                  <c:v>9</c:v>
                </c:pt>
                <c:pt idx="47">
                  <c:v>10</c:v>
                </c:pt>
                <c:pt idx="48">
                  <c:v>11</c:v>
                </c:pt>
                <c:pt idx="49">
                  <c:v>11</c:v>
                </c:pt>
                <c:pt idx="50">
                  <c:v>15</c:v>
                </c:pt>
                <c:pt idx="51">
                  <c:v>15</c:v>
                </c:pt>
                <c:pt idx="52">
                  <c:v>15</c:v>
                </c:pt>
                <c:pt idx="53">
                  <c:v>15</c:v>
                </c:pt>
                <c:pt idx="54">
                  <c:v>16</c:v>
                </c:pt>
                <c:pt idx="55">
                  <c:v>21</c:v>
                </c:pt>
                <c:pt idx="56">
                  <c:v>19</c:v>
                </c:pt>
                <c:pt idx="57">
                  <c:v>20</c:v>
                </c:pt>
                <c:pt idx="58">
                  <c:v>22</c:v>
                </c:pt>
                <c:pt idx="59">
                  <c:v>25</c:v>
                </c:pt>
                <c:pt idx="60">
                  <c:v>26</c:v>
                </c:pt>
                <c:pt idx="61">
                  <c:v>27</c:v>
                </c:pt>
                <c:pt idx="62">
                  <c:v>30</c:v>
                </c:pt>
                <c:pt idx="63">
                  <c:v>28</c:v>
                </c:pt>
                <c:pt idx="64">
                  <c:v>29</c:v>
                </c:pt>
              </c:numCache>
            </c:numRef>
          </c:val>
          <c:smooth val="0"/>
          <c:extLst>
            <c:ext xmlns:c16="http://schemas.microsoft.com/office/drawing/2014/chart" uri="{C3380CC4-5D6E-409C-BE32-E72D297353CC}">
              <c16:uniqueId val="{00000003-F59D-4E71-B078-59771F456158}"/>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[SeguimientoIncidenciaArea.xlsm]GrafOurense!GrafFerrol</c:name>
    <c:fmtId val="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Ourense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GrafOurense!$H$30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GrafOurense!$D$31:$D$96</c:f>
              <c:strCache>
                <c:ptCount val="65"/>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strCache>
            </c:strRef>
          </c:cat>
          <c:val>
            <c:numRef>
              <c:f>GrafOurense!$H$31:$H$96</c:f>
              <c:numCache>
                <c:formatCode>General</c:formatCode>
                <c:ptCount val="65"/>
                <c:pt idx="0">
                  <c:v>814</c:v>
                </c:pt>
                <c:pt idx="1">
                  <c:v>765</c:v>
                </c:pt>
                <c:pt idx="2">
                  <c:v>779</c:v>
                </c:pt>
                <c:pt idx="3">
                  <c:v>705</c:v>
                </c:pt>
                <c:pt idx="4">
                  <c:v>1003</c:v>
                </c:pt>
                <c:pt idx="5">
                  <c:v>1031</c:v>
                </c:pt>
                <c:pt idx="6">
                  <c:v>689</c:v>
                </c:pt>
                <c:pt idx="7">
                  <c:v>553</c:v>
                </c:pt>
                <c:pt idx="8">
                  <c:v>642</c:v>
                </c:pt>
                <c:pt idx="9">
                  <c:v>1219</c:v>
                </c:pt>
                <c:pt idx="10">
                  <c:v>1081</c:v>
                </c:pt>
                <c:pt idx="11">
                  <c:v>773</c:v>
                </c:pt>
                <c:pt idx="12">
                  <c:v>777</c:v>
                </c:pt>
                <c:pt idx="13">
                  <c:v>847</c:v>
                </c:pt>
                <c:pt idx="14">
                  <c:v>955</c:v>
                </c:pt>
                <c:pt idx="15">
                  <c:v>1147</c:v>
                </c:pt>
                <c:pt idx="16">
                  <c:v>1015</c:v>
                </c:pt>
                <c:pt idx="17">
                  <c:v>767</c:v>
                </c:pt>
                <c:pt idx="18">
                  <c:v>815</c:v>
                </c:pt>
                <c:pt idx="19">
                  <c:v>937</c:v>
                </c:pt>
                <c:pt idx="20">
                  <c:v>577</c:v>
                </c:pt>
                <c:pt idx="21">
                  <c:v>317</c:v>
                </c:pt>
                <c:pt idx="22">
                  <c:v>472</c:v>
                </c:pt>
                <c:pt idx="23">
                  <c:v>753</c:v>
                </c:pt>
                <c:pt idx="24">
                  <c:v>785</c:v>
                </c:pt>
                <c:pt idx="25">
                  <c:v>636</c:v>
                </c:pt>
                <c:pt idx="26">
                  <c:v>921</c:v>
                </c:pt>
                <c:pt idx="27">
                  <c:v>479</c:v>
                </c:pt>
                <c:pt idx="28">
                  <c:v>454</c:v>
                </c:pt>
                <c:pt idx="29">
                  <c:v>797</c:v>
                </c:pt>
                <c:pt idx="30">
                  <c:v>629</c:v>
                </c:pt>
                <c:pt idx="31">
                  <c:v>1127</c:v>
                </c:pt>
                <c:pt idx="32">
                  <c:v>938</c:v>
                </c:pt>
                <c:pt idx="33">
                  <c:v>1016</c:v>
                </c:pt>
                <c:pt idx="34">
                  <c:v>1492</c:v>
                </c:pt>
                <c:pt idx="35">
                  <c:v>1378</c:v>
                </c:pt>
                <c:pt idx="36">
                  <c:v>1473</c:v>
                </c:pt>
                <c:pt idx="37">
                  <c:v>1281</c:v>
                </c:pt>
                <c:pt idx="38">
                  <c:v>1668</c:v>
                </c:pt>
                <c:pt idx="39">
                  <c:v>1797</c:v>
                </c:pt>
                <c:pt idx="40">
                  <c:v>2077</c:v>
                </c:pt>
                <c:pt idx="41">
                  <c:v>2289</c:v>
                </c:pt>
                <c:pt idx="42">
                  <c:v>1598</c:v>
                </c:pt>
                <c:pt idx="43">
                  <c:v>2165</c:v>
                </c:pt>
                <c:pt idx="44">
                  <c:v>2472</c:v>
                </c:pt>
                <c:pt idx="45">
                  <c:v>2228</c:v>
                </c:pt>
                <c:pt idx="46">
                  <c:v>2060</c:v>
                </c:pt>
                <c:pt idx="47">
                  <c:v>1577</c:v>
                </c:pt>
                <c:pt idx="48">
                  <c:v>2398</c:v>
                </c:pt>
                <c:pt idx="49">
                  <c:v>2181</c:v>
                </c:pt>
                <c:pt idx="50">
                  <c:v>2483</c:v>
                </c:pt>
                <c:pt idx="51">
                  <c:v>3638</c:v>
                </c:pt>
                <c:pt idx="52">
                  <c:v>4427</c:v>
                </c:pt>
                <c:pt idx="53">
                  <c:v>1897</c:v>
                </c:pt>
                <c:pt idx="54">
                  <c:v>2860</c:v>
                </c:pt>
                <c:pt idx="55">
                  <c:v>2846</c:v>
                </c:pt>
                <c:pt idx="56">
                  <c:v>1890</c:v>
                </c:pt>
                <c:pt idx="57">
                  <c:v>1725</c:v>
                </c:pt>
                <c:pt idx="58">
                  <c:v>2263</c:v>
                </c:pt>
                <c:pt idx="59">
                  <c:v>2074</c:v>
                </c:pt>
                <c:pt idx="60">
                  <c:v>1849</c:v>
                </c:pt>
                <c:pt idx="61">
                  <c:v>1997</c:v>
                </c:pt>
                <c:pt idx="62">
                  <c:v>3302</c:v>
                </c:pt>
                <c:pt idx="63">
                  <c:v>2917</c:v>
                </c:pt>
                <c:pt idx="64">
                  <c:v>2468</c:v>
                </c:pt>
              </c:numCache>
            </c:numRef>
          </c:val>
          <c:extLst>
            <c:ext xmlns:c16="http://schemas.microsoft.com/office/drawing/2014/chart" uri="{C3380CC4-5D6E-409C-BE32-E72D297353CC}">
              <c16:uniqueId val="{00000000-BC5D-4B33-86BC-B58F1FE3AA90}"/>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GrafOurense!$E$30</c:f>
              <c:strCache>
                <c:ptCount val="1"/>
                <c:pt idx="0">
                  <c:v>Nuevos Casos</c:v>
                </c:pt>
              </c:strCache>
            </c:strRef>
          </c:tx>
          <c:spPr>
            <a:ln w="28575" cap="rnd">
              <a:solidFill>
                <a:schemeClr val="accent1"/>
              </a:solidFill>
              <a:round/>
            </a:ln>
            <a:effectLst/>
          </c:spPr>
          <c:marker>
            <c:symbol val="none"/>
          </c:marker>
          <c:cat>
            <c:strRef>
              <c:f>GrafOurense!$D$31:$D$96</c:f>
              <c:strCache>
                <c:ptCount val="65"/>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strCache>
            </c:strRef>
          </c:cat>
          <c:val>
            <c:numRef>
              <c:f>GrafOurense!$E$31:$E$96</c:f>
              <c:numCache>
                <c:formatCode>General</c:formatCode>
                <c:ptCount val="65"/>
                <c:pt idx="0">
                  <c:v>22</c:v>
                </c:pt>
                <c:pt idx="1">
                  <c:v>23</c:v>
                </c:pt>
                <c:pt idx="2">
                  <c:v>22</c:v>
                </c:pt>
                <c:pt idx="3">
                  <c:v>34</c:v>
                </c:pt>
                <c:pt idx="4">
                  <c:v>31</c:v>
                </c:pt>
                <c:pt idx="5">
                  <c:v>37</c:v>
                </c:pt>
                <c:pt idx="6">
                  <c:v>31</c:v>
                </c:pt>
                <c:pt idx="7">
                  <c:v>48</c:v>
                </c:pt>
                <c:pt idx="8">
                  <c:v>41</c:v>
                </c:pt>
                <c:pt idx="9">
                  <c:v>12</c:v>
                </c:pt>
                <c:pt idx="10">
                  <c:v>28</c:v>
                </c:pt>
                <c:pt idx="11">
                  <c:v>41</c:v>
                </c:pt>
                <c:pt idx="12">
                  <c:v>51</c:v>
                </c:pt>
                <c:pt idx="13">
                  <c:v>23</c:v>
                </c:pt>
                <c:pt idx="14">
                  <c:v>15</c:v>
                </c:pt>
                <c:pt idx="15">
                  <c:v>44</c:v>
                </c:pt>
                <c:pt idx="16">
                  <c:v>51</c:v>
                </c:pt>
                <c:pt idx="17">
                  <c:v>27</c:v>
                </c:pt>
                <c:pt idx="18">
                  <c:v>45</c:v>
                </c:pt>
                <c:pt idx="19">
                  <c:v>52</c:v>
                </c:pt>
                <c:pt idx="20">
                  <c:v>42</c:v>
                </c:pt>
                <c:pt idx="21">
                  <c:v>16</c:v>
                </c:pt>
                <c:pt idx="22">
                  <c:v>21</c:v>
                </c:pt>
                <c:pt idx="23">
                  <c:v>27</c:v>
                </c:pt>
                <c:pt idx="24">
                  <c:v>49</c:v>
                </c:pt>
                <c:pt idx="25">
                  <c:v>69</c:v>
                </c:pt>
                <c:pt idx="26">
                  <c:v>69</c:v>
                </c:pt>
                <c:pt idx="27">
                  <c:v>31</c:v>
                </c:pt>
                <c:pt idx="28">
                  <c:v>30</c:v>
                </c:pt>
                <c:pt idx="29">
                  <c:v>87</c:v>
                </c:pt>
                <c:pt idx="30">
                  <c:v>62</c:v>
                </c:pt>
                <c:pt idx="31">
                  <c:v>95</c:v>
                </c:pt>
                <c:pt idx="32">
                  <c:v>80</c:v>
                </c:pt>
                <c:pt idx="33">
                  <c:v>102</c:v>
                </c:pt>
                <c:pt idx="34">
                  <c:v>100</c:v>
                </c:pt>
                <c:pt idx="35">
                  <c:v>110</c:v>
                </c:pt>
                <c:pt idx="36">
                  <c:v>114</c:v>
                </c:pt>
                <c:pt idx="37">
                  <c:v>124</c:v>
                </c:pt>
                <c:pt idx="38">
                  <c:v>135</c:v>
                </c:pt>
                <c:pt idx="39">
                  <c:v>164</c:v>
                </c:pt>
                <c:pt idx="40">
                  <c:v>194</c:v>
                </c:pt>
                <c:pt idx="41">
                  <c:v>187</c:v>
                </c:pt>
                <c:pt idx="42">
                  <c:v>167</c:v>
                </c:pt>
                <c:pt idx="43">
                  <c:v>131</c:v>
                </c:pt>
                <c:pt idx="44">
                  <c:v>207</c:v>
                </c:pt>
                <c:pt idx="45">
                  <c:v>205</c:v>
                </c:pt>
                <c:pt idx="46">
                  <c:v>242</c:v>
                </c:pt>
                <c:pt idx="47">
                  <c:v>253</c:v>
                </c:pt>
                <c:pt idx="48">
                  <c:v>264</c:v>
                </c:pt>
                <c:pt idx="49">
                  <c:v>231</c:v>
                </c:pt>
                <c:pt idx="50">
                  <c:v>150</c:v>
                </c:pt>
                <c:pt idx="51">
                  <c:v>211</c:v>
                </c:pt>
                <c:pt idx="52">
                  <c:v>218</c:v>
                </c:pt>
                <c:pt idx="53">
                  <c:v>171</c:v>
                </c:pt>
                <c:pt idx="54">
                  <c:v>190</c:v>
                </c:pt>
                <c:pt idx="55">
                  <c:v>136</c:v>
                </c:pt>
                <c:pt idx="56">
                  <c:v>156</c:v>
                </c:pt>
                <c:pt idx="57">
                  <c:v>132</c:v>
                </c:pt>
                <c:pt idx="58">
                  <c:v>119</c:v>
                </c:pt>
                <c:pt idx="59">
                  <c:v>114</c:v>
                </c:pt>
                <c:pt idx="60">
                  <c:v>121</c:v>
                </c:pt>
                <c:pt idx="61">
                  <c:v>112</c:v>
                </c:pt>
                <c:pt idx="62">
                  <c:v>77</c:v>
                </c:pt>
                <c:pt idx="63">
                  <c:v>81</c:v>
                </c:pt>
                <c:pt idx="64">
                  <c:v>44</c:v>
                </c:pt>
              </c:numCache>
            </c:numRef>
          </c:val>
          <c:smooth val="0"/>
          <c:extLst>
            <c:ext xmlns:c16="http://schemas.microsoft.com/office/drawing/2014/chart" uri="{C3380CC4-5D6E-409C-BE32-E72D297353CC}">
              <c16:uniqueId val="{00000001-BC5D-4B33-86BC-B58F1FE3AA90}"/>
            </c:ext>
          </c:extLst>
        </c:ser>
        <c:ser>
          <c:idx val="1"/>
          <c:order val="1"/>
          <c:tx>
            <c:strRef>
              <c:f>GrafOurense!$F$30</c:f>
              <c:strCache>
                <c:ptCount val="1"/>
                <c:pt idx="0">
                  <c:v>Camas Hosp</c:v>
                </c:pt>
              </c:strCache>
            </c:strRef>
          </c:tx>
          <c:spPr>
            <a:ln w="28575" cap="rnd">
              <a:solidFill>
                <a:schemeClr val="accent2"/>
              </a:solidFill>
              <a:round/>
            </a:ln>
            <a:effectLst/>
          </c:spPr>
          <c:marker>
            <c:symbol val="none"/>
          </c:marker>
          <c:cat>
            <c:strRef>
              <c:f>GrafOurense!$D$31:$D$96</c:f>
              <c:strCache>
                <c:ptCount val="65"/>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strCache>
            </c:strRef>
          </c:cat>
          <c:val>
            <c:numRef>
              <c:f>GrafOurense!$F$31:$F$96</c:f>
              <c:numCache>
                <c:formatCode>General</c:formatCode>
                <c:ptCount val="65"/>
                <c:pt idx="0">
                  <c:v>37</c:v>
                </c:pt>
                <c:pt idx="1">
                  <c:v>39</c:v>
                </c:pt>
                <c:pt idx="2">
                  <c:v>33</c:v>
                </c:pt>
                <c:pt idx="3">
                  <c:v>33</c:v>
                </c:pt>
                <c:pt idx="4">
                  <c:v>34</c:v>
                </c:pt>
                <c:pt idx="5">
                  <c:v>26</c:v>
                </c:pt>
                <c:pt idx="6">
                  <c:v>30</c:v>
                </c:pt>
                <c:pt idx="7">
                  <c:v>32</c:v>
                </c:pt>
                <c:pt idx="8">
                  <c:v>36</c:v>
                </c:pt>
                <c:pt idx="9">
                  <c:v>38</c:v>
                </c:pt>
                <c:pt idx="10">
                  <c:v>35</c:v>
                </c:pt>
                <c:pt idx="11">
                  <c:v>36</c:v>
                </c:pt>
                <c:pt idx="12">
                  <c:v>36</c:v>
                </c:pt>
                <c:pt idx="13">
                  <c:v>32</c:v>
                </c:pt>
                <c:pt idx="14">
                  <c:v>32</c:v>
                </c:pt>
                <c:pt idx="15">
                  <c:v>30</c:v>
                </c:pt>
                <c:pt idx="16">
                  <c:v>30</c:v>
                </c:pt>
                <c:pt idx="17">
                  <c:v>24</c:v>
                </c:pt>
                <c:pt idx="18">
                  <c:v>27</c:v>
                </c:pt>
                <c:pt idx="19">
                  <c:v>18</c:v>
                </c:pt>
                <c:pt idx="20">
                  <c:v>20</c:v>
                </c:pt>
                <c:pt idx="21">
                  <c:v>19</c:v>
                </c:pt>
                <c:pt idx="22">
                  <c:v>22</c:v>
                </c:pt>
                <c:pt idx="23">
                  <c:v>21</c:v>
                </c:pt>
                <c:pt idx="24">
                  <c:v>22</c:v>
                </c:pt>
                <c:pt idx="25">
                  <c:v>24</c:v>
                </c:pt>
                <c:pt idx="26">
                  <c:v>21</c:v>
                </c:pt>
                <c:pt idx="27">
                  <c:v>22</c:v>
                </c:pt>
                <c:pt idx="28">
                  <c:v>23</c:v>
                </c:pt>
                <c:pt idx="29">
                  <c:v>25</c:v>
                </c:pt>
                <c:pt idx="30">
                  <c:v>28</c:v>
                </c:pt>
                <c:pt idx="31">
                  <c:v>31</c:v>
                </c:pt>
                <c:pt idx="32">
                  <c:v>32</c:v>
                </c:pt>
                <c:pt idx="33">
                  <c:v>32</c:v>
                </c:pt>
                <c:pt idx="34">
                  <c:v>30</c:v>
                </c:pt>
                <c:pt idx="35">
                  <c:v>37</c:v>
                </c:pt>
                <c:pt idx="36">
                  <c:v>42</c:v>
                </c:pt>
                <c:pt idx="37">
                  <c:v>44</c:v>
                </c:pt>
                <c:pt idx="38">
                  <c:v>44</c:v>
                </c:pt>
                <c:pt idx="39">
                  <c:v>46</c:v>
                </c:pt>
                <c:pt idx="40">
                  <c:v>54</c:v>
                </c:pt>
                <c:pt idx="41">
                  <c:v>60</c:v>
                </c:pt>
                <c:pt idx="42">
                  <c:v>75</c:v>
                </c:pt>
                <c:pt idx="43">
                  <c:v>92</c:v>
                </c:pt>
                <c:pt idx="44">
                  <c:v>105</c:v>
                </c:pt>
                <c:pt idx="45">
                  <c:v>103</c:v>
                </c:pt>
                <c:pt idx="46">
                  <c:v>114</c:v>
                </c:pt>
                <c:pt idx="47">
                  <c:v>119</c:v>
                </c:pt>
                <c:pt idx="48">
                  <c:v>129</c:v>
                </c:pt>
                <c:pt idx="49">
                  <c:v>143</c:v>
                </c:pt>
                <c:pt idx="50">
                  <c:v>156</c:v>
                </c:pt>
                <c:pt idx="51">
                  <c:v>164</c:v>
                </c:pt>
                <c:pt idx="52">
                  <c:v>172</c:v>
                </c:pt>
                <c:pt idx="53">
                  <c:v>177</c:v>
                </c:pt>
                <c:pt idx="54">
                  <c:v>178</c:v>
                </c:pt>
                <c:pt idx="55">
                  <c:v>168</c:v>
                </c:pt>
                <c:pt idx="56">
                  <c:v>171</c:v>
                </c:pt>
                <c:pt idx="57">
                  <c:v>185</c:v>
                </c:pt>
                <c:pt idx="58">
                  <c:v>184</c:v>
                </c:pt>
                <c:pt idx="59">
                  <c:v>176</c:v>
                </c:pt>
                <c:pt idx="60">
                  <c:v>156</c:v>
                </c:pt>
                <c:pt idx="61">
                  <c:v>154</c:v>
                </c:pt>
                <c:pt idx="62">
                  <c:v>145</c:v>
                </c:pt>
                <c:pt idx="63">
                  <c:v>153</c:v>
                </c:pt>
                <c:pt idx="64">
                  <c:v>161</c:v>
                </c:pt>
              </c:numCache>
            </c:numRef>
          </c:val>
          <c:smooth val="0"/>
          <c:extLst>
            <c:ext xmlns:c16="http://schemas.microsoft.com/office/drawing/2014/chart" uri="{C3380CC4-5D6E-409C-BE32-E72D297353CC}">
              <c16:uniqueId val="{00000002-BC5D-4B33-86BC-B58F1FE3AA90}"/>
            </c:ext>
          </c:extLst>
        </c:ser>
        <c:ser>
          <c:idx val="2"/>
          <c:order val="2"/>
          <c:tx>
            <c:strRef>
              <c:f>GrafOurense!$G$30</c:f>
              <c:strCache>
                <c:ptCount val="1"/>
                <c:pt idx="0">
                  <c:v>Camas UCI</c:v>
                </c:pt>
              </c:strCache>
            </c:strRef>
          </c:tx>
          <c:spPr>
            <a:ln w="28575" cap="rnd">
              <a:solidFill>
                <a:srgbClr val="FF0000"/>
              </a:solidFill>
              <a:round/>
            </a:ln>
            <a:effectLst/>
          </c:spPr>
          <c:marker>
            <c:symbol val="none"/>
          </c:marker>
          <c:cat>
            <c:strRef>
              <c:f>GrafOurense!$D$31:$D$96</c:f>
              <c:strCache>
                <c:ptCount val="65"/>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strCache>
            </c:strRef>
          </c:cat>
          <c:val>
            <c:numRef>
              <c:f>GrafOurense!$G$31:$G$96</c:f>
              <c:numCache>
                <c:formatCode>General</c:formatCode>
                <c:ptCount val="65"/>
                <c:pt idx="0">
                  <c:v>5</c:v>
                </c:pt>
                <c:pt idx="1">
                  <c:v>5</c:v>
                </c:pt>
                <c:pt idx="2">
                  <c:v>3</c:v>
                </c:pt>
                <c:pt idx="3">
                  <c:v>3</c:v>
                </c:pt>
                <c:pt idx="4">
                  <c:v>3</c:v>
                </c:pt>
                <c:pt idx="5">
                  <c:v>2</c:v>
                </c:pt>
                <c:pt idx="6">
                  <c:v>2</c:v>
                </c:pt>
                <c:pt idx="7">
                  <c:v>2</c:v>
                </c:pt>
                <c:pt idx="8">
                  <c:v>1</c:v>
                </c:pt>
                <c:pt idx="9">
                  <c:v>1</c:v>
                </c:pt>
                <c:pt idx="10">
                  <c:v>2</c:v>
                </c:pt>
                <c:pt idx="11">
                  <c:v>1</c:v>
                </c:pt>
                <c:pt idx="12">
                  <c:v>2</c:v>
                </c:pt>
                <c:pt idx="13">
                  <c:v>3</c:v>
                </c:pt>
                <c:pt idx="14">
                  <c:v>3</c:v>
                </c:pt>
                <c:pt idx="15">
                  <c:v>4</c:v>
                </c:pt>
                <c:pt idx="16">
                  <c:v>4</c:v>
                </c:pt>
                <c:pt idx="17">
                  <c:v>4</c:v>
                </c:pt>
                <c:pt idx="18">
                  <c:v>4</c:v>
                </c:pt>
                <c:pt idx="19">
                  <c:v>4</c:v>
                </c:pt>
                <c:pt idx="20">
                  <c:v>3</c:v>
                </c:pt>
                <c:pt idx="21">
                  <c:v>4</c:v>
                </c:pt>
                <c:pt idx="22">
                  <c:v>4</c:v>
                </c:pt>
                <c:pt idx="23">
                  <c:v>4</c:v>
                </c:pt>
                <c:pt idx="24">
                  <c:v>3</c:v>
                </c:pt>
                <c:pt idx="25">
                  <c:v>3</c:v>
                </c:pt>
                <c:pt idx="26">
                  <c:v>2</c:v>
                </c:pt>
                <c:pt idx="27">
                  <c:v>2</c:v>
                </c:pt>
                <c:pt idx="28">
                  <c:v>3</c:v>
                </c:pt>
                <c:pt idx="29">
                  <c:v>3</c:v>
                </c:pt>
                <c:pt idx="30">
                  <c:v>2</c:v>
                </c:pt>
                <c:pt idx="31">
                  <c:v>1</c:v>
                </c:pt>
                <c:pt idx="32">
                  <c:v>2</c:v>
                </c:pt>
                <c:pt idx="33">
                  <c:v>2</c:v>
                </c:pt>
                <c:pt idx="34">
                  <c:v>3</c:v>
                </c:pt>
                <c:pt idx="35">
                  <c:v>3</c:v>
                </c:pt>
                <c:pt idx="36">
                  <c:v>3</c:v>
                </c:pt>
                <c:pt idx="37">
                  <c:v>4</c:v>
                </c:pt>
                <c:pt idx="38">
                  <c:v>4</c:v>
                </c:pt>
                <c:pt idx="39">
                  <c:v>7</c:v>
                </c:pt>
                <c:pt idx="40">
                  <c:v>9</c:v>
                </c:pt>
                <c:pt idx="41">
                  <c:v>9</c:v>
                </c:pt>
                <c:pt idx="42">
                  <c:v>7</c:v>
                </c:pt>
                <c:pt idx="43">
                  <c:v>6</c:v>
                </c:pt>
                <c:pt idx="44">
                  <c:v>8</c:v>
                </c:pt>
                <c:pt idx="45">
                  <c:v>10</c:v>
                </c:pt>
                <c:pt idx="46">
                  <c:v>10</c:v>
                </c:pt>
                <c:pt idx="47">
                  <c:v>10</c:v>
                </c:pt>
                <c:pt idx="48">
                  <c:v>12</c:v>
                </c:pt>
                <c:pt idx="49">
                  <c:v>12</c:v>
                </c:pt>
                <c:pt idx="50">
                  <c:v>12</c:v>
                </c:pt>
                <c:pt idx="51">
                  <c:v>12</c:v>
                </c:pt>
                <c:pt idx="52">
                  <c:v>14</c:v>
                </c:pt>
                <c:pt idx="53">
                  <c:v>14</c:v>
                </c:pt>
                <c:pt idx="54">
                  <c:v>12</c:v>
                </c:pt>
                <c:pt idx="55">
                  <c:v>14</c:v>
                </c:pt>
                <c:pt idx="56">
                  <c:v>13</c:v>
                </c:pt>
                <c:pt idx="57">
                  <c:v>13</c:v>
                </c:pt>
                <c:pt idx="58">
                  <c:v>13</c:v>
                </c:pt>
                <c:pt idx="59">
                  <c:v>14</c:v>
                </c:pt>
                <c:pt idx="60">
                  <c:v>15</c:v>
                </c:pt>
                <c:pt idx="61">
                  <c:v>18</c:v>
                </c:pt>
                <c:pt idx="62">
                  <c:v>17</c:v>
                </c:pt>
                <c:pt idx="63">
                  <c:v>18</c:v>
                </c:pt>
                <c:pt idx="64">
                  <c:v>20</c:v>
                </c:pt>
              </c:numCache>
            </c:numRef>
          </c:val>
          <c:smooth val="0"/>
          <c:extLst>
            <c:ext xmlns:c16="http://schemas.microsoft.com/office/drawing/2014/chart" uri="{C3380CC4-5D6E-409C-BE32-E72D297353CC}">
              <c16:uniqueId val="{00000003-BC5D-4B33-86BC-B58F1FE3AA90}"/>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[SeguimientoIncidenciaArea.xlsm]GrafPontevedra!GrafFerrol</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Pontevedra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GrafPontevedra!$H$30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GrafPontevedra!$D$31:$D$96</c:f>
              <c:strCache>
                <c:ptCount val="65"/>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strCache>
            </c:strRef>
          </c:cat>
          <c:val>
            <c:numRef>
              <c:f>GrafPontevedra!$H$31:$H$96</c:f>
              <c:numCache>
                <c:formatCode>General</c:formatCode>
                <c:ptCount val="65"/>
                <c:pt idx="0">
                  <c:v>903</c:v>
                </c:pt>
                <c:pt idx="1">
                  <c:v>692</c:v>
                </c:pt>
                <c:pt idx="2">
                  <c:v>668</c:v>
                </c:pt>
                <c:pt idx="3">
                  <c:v>870</c:v>
                </c:pt>
                <c:pt idx="4">
                  <c:v>658</c:v>
                </c:pt>
                <c:pt idx="5">
                  <c:v>940</c:v>
                </c:pt>
                <c:pt idx="6">
                  <c:v>1190</c:v>
                </c:pt>
                <c:pt idx="7">
                  <c:v>1047</c:v>
                </c:pt>
                <c:pt idx="8">
                  <c:v>616</c:v>
                </c:pt>
                <c:pt idx="9">
                  <c:v>932</c:v>
                </c:pt>
                <c:pt idx="10">
                  <c:v>904</c:v>
                </c:pt>
                <c:pt idx="11">
                  <c:v>1014</c:v>
                </c:pt>
                <c:pt idx="12">
                  <c:v>985</c:v>
                </c:pt>
                <c:pt idx="13">
                  <c:v>1065</c:v>
                </c:pt>
                <c:pt idx="14">
                  <c:v>796</c:v>
                </c:pt>
                <c:pt idx="15">
                  <c:v>530</c:v>
                </c:pt>
                <c:pt idx="16">
                  <c:v>748</c:v>
                </c:pt>
                <c:pt idx="17">
                  <c:v>1001</c:v>
                </c:pt>
                <c:pt idx="18">
                  <c:v>1102</c:v>
                </c:pt>
                <c:pt idx="19">
                  <c:v>1132</c:v>
                </c:pt>
                <c:pt idx="20">
                  <c:v>552</c:v>
                </c:pt>
                <c:pt idx="21">
                  <c:v>559</c:v>
                </c:pt>
                <c:pt idx="22">
                  <c:v>808</c:v>
                </c:pt>
                <c:pt idx="23">
                  <c:v>606</c:v>
                </c:pt>
                <c:pt idx="24">
                  <c:v>1052</c:v>
                </c:pt>
                <c:pt idx="25">
                  <c:v>1164</c:v>
                </c:pt>
                <c:pt idx="26">
                  <c:v>1104</c:v>
                </c:pt>
                <c:pt idx="27">
                  <c:v>403</c:v>
                </c:pt>
                <c:pt idx="28">
                  <c:v>376</c:v>
                </c:pt>
                <c:pt idx="29">
                  <c:v>412</c:v>
                </c:pt>
                <c:pt idx="30">
                  <c:v>710</c:v>
                </c:pt>
                <c:pt idx="31">
                  <c:v>885</c:v>
                </c:pt>
                <c:pt idx="32">
                  <c:v>819</c:v>
                </c:pt>
                <c:pt idx="33">
                  <c:v>576</c:v>
                </c:pt>
                <c:pt idx="34">
                  <c:v>623</c:v>
                </c:pt>
                <c:pt idx="35">
                  <c:v>771</c:v>
                </c:pt>
                <c:pt idx="36">
                  <c:v>425</c:v>
                </c:pt>
                <c:pt idx="37">
                  <c:v>581</c:v>
                </c:pt>
                <c:pt idx="38">
                  <c:v>767</c:v>
                </c:pt>
                <c:pt idx="39">
                  <c:v>911</c:v>
                </c:pt>
                <c:pt idx="40">
                  <c:v>919</c:v>
                </c:pt>
                <c:pt idx="41">
                  <c:v>804</c:v>
                </c:pt>
                <c:pt idx="42">
                  <c:v>753</c:v>
                </c:pt>
                <c:pt idx="43">
                  <c:v>970</c:v>
                </c:pt>
                <c:pt idx="44">
                  <c:v>1018</c:v>
                </c:pt>
                <c:pt idx="45">
                  <c:v>1391</c:v>
                </c:pt>
                <c:pt idx="46">
                  <c:v>1526</c:v>
                </c:pt>
                <c:pt idx="47">
                  <c:v>1753</c:v>
                </c:pt>
                <c:pt idx="48">
                  <c:v>1854</c:v>
                </c:pt>
                <c:pt idx="49">
                  <c:v>1393</c:v>
                </c:pt>
                <c:pt idx="50">
                  <c:v>1553</c:v>
                </c:pt>
                <c:pt idx="51">
                  <c:v>1764</c:v>
                </c:pt>
                <c:pt idx="52">
                  <c:v>1599</c:v>
                </c:pt>
                <c:pt idx="53">
                  <c:v>1882</c:v>
                </c:pt>
                <c:pt idx="54">
                  <c:v>1782</c:v>
                </c:pt>
                <c:pt idx="55">
                  <c:v>2453</c:v>
                </c:pt>
                <c:pt idx="56">
                  <c:v>2248</c:v>
                </c:pt>
                <c:pt idx="57">
                  <c:v>1129</c:v>
                </c:pt>
                <c:pt idx="58">
                  <c:v>1308</c:v>
                </c:pt>
                <c:pt idx="59">
                  <c:v>1681</c:v>
                </c:pt>
                <c:pt idx="60">
                  <c:v>2692</c:v>
                </c:pt>
                <c:pt idx="61">
                  <c:v>3430</c:v>
                </c:pt>
                <c:pt idx="62">
                  <c:v>3397</c:v>
                </c:pt>
                <c:pt idx="63">
                  <c:v>2503</c:v>
                </c:pt>
                <c:pt idx="64">
                  <c:v>1121</c:v>
                </c:pt>
              </c:numCache>
            </c:numRef>
          </c:val>
          <c:extLst>
            <c:ext xmlns:c16="http://schemas.microsoft.com/office/drawing/2014/chart" uri="{C3380CC4-5D6E-409C-BE32-E72D297353CC}">
              <c16:uniqueId val="{00000000-262E-4529-A2E3-D50A73C506BD}"/>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GrafPontevedra!$E$30</c:f>
              <c:strCache>
                <c:ptCount val="1"/>
                <c:pt idx="0">
                  <c:v>Nuevos Casos</c:v>
                </c:pt>
              </c:strCache>
            </c:strRef>
          </c:tx>
          <c:spPr>
            <a:ln w="28575" cap="rnd">
              <a:solidFill>
                <a:schemeClr val="accent1"/>
              </a:solidFill>
              <a:round/>
            </a:ln>
            <a:effectLst/>
          </c:spPr>
          <c:marker>
            <c:symbol val="none"/>
          </c:marker>
          <c:cat>
            <c:strRef>
              <c:f>GrafPontevedra!$D$31:$D$96</c:f>
              <c:strCache>
                <c:ptCount val="65"/>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strCache>
            </c:strRef>
          </c:cat>
          <c:val>
            <c:numRef>
              <c:f>GrafPontevedra!$E$31:$E$96</c:f>
              <c:numCache>
                <c:formatCode>General</c:formatCode>
                <c:ptCount val="65"/>
                <c:pt idx="0">
                  <c:v>37</c:v>
                </c:pt>
                <c:pt idx="1">
                  <c:v>33</c:v>
                </c:pt>
                <c:pt idx="2">
                  <c:v>44</c:v>
                </c:pt>
                <c:pt idx="3">
                  <c:v>48</c:v>
                </c:pt>
                <c:pt idx="4">
                  <c:v>39</c:v>
                </c:pt>
                <c:pt idx="5">
                  <c:v>37</c:v>
                </c:pt>
                <c:pt idx="6">
                  <c:v>64</c:v>
                </c:pt>
                <c:pt idx="7">
                  <c:v>68</c:v>
                </c:pt>
                <c:pt idx="8">
                  <c:v>52</c:v>
                </c:pt>
                <c:pt idx="9">
                  <c:v>82</c:v>
                </c:pt>
                <c:pt idx="10">
                  <c:v>45</c:v>
                </c:pt>
                <c:pt idx="11">
                  <c:v>61</c:v>
                </c:pt>
                <c:pt idx="12">
                  <c:v>72</c:v>
                </c:pt>
                <c:pt idx="13">
                  <c:v>64</c:v>
                </c:pt>
                <c:pt idx="14">
                  <c:v>58</c:v>
                </c:pt>
                <c:pt idx="15">
                  <c:v>26</c:v>
                </c:pt>
                <c:pt idx="16">
                  <c:v>45</c:v>
                </c:pt>
                <c:pt idx="17">
                  <c:v>36</c:v>
                </c:pt>
                <c:pt idx="18">
                  <c:v>60</c:v>
                </c:pt>
                <c:pt idx="19">
                  <c:v>58</c:v>
                </c:pt>
                <c:pt idx="20">
                  <c:v>39</c:v>
                </c:pt>
                <c:pt idx="21">
                  <c:v>46</c:v>
                </c:pt>
                <c:pt idx="22">
                  <c:v>37</c:v>
                </c:pt>
                <c:pt idx="23">
                  <c:v>39</c:v>
                </c:pt>
                <c:pt idx="24">
                  <c:v>53</c:v>
                </c:pt>
                <c:pt idx="25">
                  <c:v>30</c:v>
                </c:pt>
                <c:pt idx="26">
                  <c:v>51</c:v>
                </c:pt>
                <c:pt idx="27">
                  <c:v>46</c:v>
                </c:pt>
                <c:pt idx="28">
                  <c:v>26</c:v>
                </c:pt>
                <c:pt idx="29">
                  <c:v>59</c:v>
                </c:pt>
                <c:pt idx="30">
                  <c:v>44</c:v>
                </c:pt>
                <c:pt idx="31">
                  <c:v>33</c:v>
                </c:pt>
                <c:pt idx="32">
                  <c:v>50</c:v>
                </c:pt>
                <c:pt idx="33">
                  <c:v>55</c:v>
                </c:pt>
                <c:pt idx="34">
                  <c:v>63</c:v>
                </c:pt>
                <c:pt idx="35">
                  <c:v>50</c:v>
                </c:pt>
                <c:pt idx="36">
                  <c:v>67</c:v>
                </c:pt>
                <c:pt idx="37">
                  <c:v>95</c:v>
                </c:pt>
                <c:pt idx="38">
                  <c:v>62</c:v>
                </c:pt>
                <c:pt idx="39">
                  <c:v>85</c:v>
                </c:pt>
                <c:pt idx="40">
                  <c:v>81</c:v>
                </c:pt>
                <c:pt idx="41">
                  <c:v>100</c:v>
                </c:pt>
                <c:pt idx="42">
                  <c:v>92</c:v>
                </c:pt>
                <c:pt idx="43">
                  <c:v>126</c:v>
                </c:pt>
                <c:pt idx="44">
                  <c:v>100</c:v>
                </c:pt>
                <c:pt idx="45">
                  <c:v>88</c:v>
                </c:pt>
                <c:pt idx="46">
                  <c:v>214</c:v>
                </c:pt>
                <c:pt idx="47">
                  <c:v>162</c:v>
                </c:pt>
                <c:pt idx="48">
                  <c:v>154</c:v>
                </c:pt>
                <c:pt idx="49">
                  <c:v>134</c:v>
                </c:pt>
                <c:pt idx="50">
                  <c:v>201</c:v>
                </c:pt>
                <c:pt idx="51">
                  <c:v>216</c:v>
                </c:pt>
                <c:pt idx="52">
                  <c:v>165</c:v>
                </c:pt>
                <c:pt idx="53">
                  <c:v>187</c:v>
                </c:pt>
                <c:pt idx="54">
                  <c:v>170</c:v>
                </c:pt>
                <c:pt idx="55">
                  <c:v>208</c:v>
                </c:pt>
                <c:pt idx="56">
                  <c:v>168</c:v>
                </c:pt>
                <c:pt idx="57">
                  <c:v>119</c:v>
                </c:pt>
                <c:pt idx="58">
                  <c:v>154</c:v>
                </c:pt>
                <c:pt idx="59">
                  <c:v>179</c:v>
                </c:pt>
                <c:pt idx="60">
                  <c:v>115</c:v>
                </c:pt>
                <c:pt idx="61">
                  <c:v>163</c:v>
                </c:pt>
                <c:pt idx="62">
                  <c:v>114</c:v>
                </c:pt>
                <c:pt idx="63">
                  <c:v>112</c:v>
                </c:pt>
                <c:pt idx="64">
                  <c:v>59</c:v>
                </c:pt>
              </c:numCache>
            </c:numRef>
          </c:val>
          <c:smooth val="0"/>
          <c:extLst>
            <c:ext xmlns:c16="http://schemas.microsoft.com/office/drawing/2014/chart" uri="{C3380CC4-5D6E-409C-BE32-E72D297353CC}">
              <c16:uniqueId val="{00000001-262E-4529-A2E3-D50A73C506BD}"/>
            </c:ext>
          </c:extLst>
        </c:ser>
        <c:ser>
          <c:idx val="1"/>
          <c:order val="1"/>
          <c:tx>
            <c:strRef>
              <c:f>GrafPontevedra!$F$30</c:f>
              <c:strCache>
                <c:ptCount val="1"/>
                <c:pt idx="0">
                  <c:v>Camas Hosp</c:v>
                </c:pt>
              </c:strCache>
            </c:strRef>
          </c:tx>
          <c:spPr>
            <a:ln w="28575" cap="rnd">
              <a:solidFill>
                <a:schemeClr val="accent2"/>
              </a:solidFill>
              <a:round/>
            </a:ln>
            <a:effectLst/>
          </c:spPr>
          <c:marker>
            <c:symbol val="none"/>
          </c:marker>
          <c:cat>
            <c:strRef>
              <c:f>GrafPontevedra!$D$31:$D$96</c:f>
              <c:strCache>
                <c:ptCount val="65"/>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strCache>
            </c:strRef>
          </c:cat>
          <c:val>
            <c:numRef>
              <c:f>GrafPontevedra!$F$31:$F$96</c:f>
              <c:numCache>
                <c:formatCode>General</c:formatCode>
                <c:ptCount val="65"/>
                <c:pt idx="0">
                  <c:v>42</c:v>
                </c:pt>
                <c:pt idx="1">
                  <c:v>44</c:v>
                </c:pt>
                <c:pt idx="2">
                  <c:v>40</c:v>
                </c:pt>
                <c:pt idx="3">
                  <c:v>41</c:v>
                </c:pt>
                <c:pt idx="4">
                  <c:v>42</c:v>
                </c:pt>
                <c:pt idx="5">
                  <c:v>42</c:v>
                </c:pt>
                <c:pt idx="6">
                  <c:v>39</c:v>
                </c:pt>
                <c:pt idx="7">
                  <c:v>38</c:v>
                </c:pt>
                <c:pt idx="8">
                  <c:v>42</c:v>
                </c:pt>
                <c:pt idx="9">
                  <c:v>44</c:v>
                </c:pt>
                <c:pt idx="10">
                  <c:v>44</c:v>
                </c:pt>
                <c:pt idx="11">
                  <c:v>44</c:v>
                </c:pt>
                <c:pt idx="12">
                  <c:v>46</c:v>
                </c:pt>
                <c:pt idx="13">
                  <c:v>37</c:v>
                </c:pt>
                <c:pt idx="14">
                  <c:v>40</c:v>
                </c:pt>
                <c:pt idx="15">
                  <c:v>42</c:v>
                </c:pt>
                <c:pt idx="16">
                  <c:v>42</c:v>
                </c:pt>
                <c:pt idx="17">
                  <c:v>42</c:v>
                </c:pt>
                <c:pt idx="18">
                  <c:v>40</c:v>
                </c:pt>
                <c:pt idx="19">
                  <c:v>39</c:v>
                </c:pt>
                <c:pt idx="20">
                  <c:v>45</c:v>
                </c:pt>
                <c:pt idx="21">
                  <c:v>45</c:v>
                </c:pt>
                <c:pt idx="22">
                  <c:v>50</c:v>
                </c:pt>
                <c:pt idx="23">
                  <c:v>44</c:v>
                </c:pt>
                <c:pt idx="24">
                  <c:v>41</c:v>
                </c:pt>
                <c:pt idx="25">
                  <c:v>42</c:v>
                </c:pt>
                <c:pt idx="26">
                  <c:v>39</c:v>
                </c:pt>
                <c:pt idx="27">
                  <c:v>32</c:v>
                </c:pt>
                <c:pt idx="28">
                  <c:v>35</c:v>
                </c:pt>
                <c:pt idx="29">
                  <c:v>39</c:v>
                </c:pt>
                <c:pt idx="30">
                  <c:v>37</c:v>
                </c:pt>
                <c:pt idx="31">
                  <c:v>44</c:v>
                </c:pt>
                <c:pt idx="32">
                  <c:v>46</c:v>
                </c:pt>
                <c:pt idx="33">
                  <c:v>39</c:v>
                </c:pt>
                <c:pt idx="34">
                  <c:v>40</c:v>
                </c:pt>
                <c:pt idx="35">
                  <c:v>38</c:v>
                </c:pt>
                <c:pt idx="36">
                  <c:v>44</c:v>
                </c:pt>
                <c:pt idx="37">
                  <c:v>45</c:v>
                </c:pt>
                <c:pt idx="38">
                  <c:v>47</c:v>
                </c:pt>
                <c:pt idx="39">
                  <c:v>51</c:v>
                </c:pt>
                <c:pt idx="40">
                  <c:v>54</c:v>
                </c:pt>
                <c:pt idx="41">
                  <c:v>54</c:v>
                </c:pt>
                <c:pt idx="42">
                  <c:v>56</c:v>
                </c:pt>
                <c:pt idx="43">
                  <c:v>64</c:v>
                </c:pt>
                <c:pt idx="44">
                  <c:v>67</c:v>
                </c:pt>
                <c:pt idx="45">
                  <c:v>62</c:v>
                </c:pt>
                <c:pt idx="46">
                  <c:v>74</c:v>
                </c:pt>
                <c:pt idx="47">
                  <c:v>83</c:v>
                </c:pt>
                <c:pt idx="48">
                  <c:v>84</c:v>
                </c:pt>
                <c:pt idx="49">
                  <c:v>102</c:v>
                </c:pt>
                <c:pt idx="50">
                  <c:v>107</c:v>
                </c:pt>
                <c:pt idx="51">
                  <c:v>113</c:v>
                </c:pt>
                <c:pt idx="52">
                  <c:v>118</c:v>
                </c:pt>
                <c:pt idx="53">
                  <c:v>116</c:v>
                </c:pt>
                <c:pt idx="54">
                  <c:v>119</c:v>
                </c:pt>
                <c:pt idx="55">
                  <c:v>112</c:v>
                </c:pt>
                <c:pt idx="56">
                  <c:v>124</c:v>
                </c:pt>
                <c:pt idx="57">
                  <c:v>131</c:v>
                </c:pt>
                <c:pt idx="58">
                  <c:v>130</c:v>
                </c:pt>
                <c:pt idx="59">
                  <c:v>117</c:v>
                </c:pt>
                <c:pt idx="60">
                  <c:v>113</c:v>
                </c:pt>
                <c:pt idx="61">
                  <c:v>112</c:v>
                </c:pt>
                <c:pt idx="62">
                  <c:v>106</c:v>
                </c:pt>
                <c:pt idx="63">
                  <c:v>105</c:v>
                </c:pt>
                <c:pt idx="64">
                  <c:v>111</c:v>
                </c:pt>
              </c:numCache>
            </c:numRef>
          </c:val>
          <c:smooth val="0"/>
          <c:extLst>
            <c:ext xmlns:c16="http://schemas.microsoft.com/office/drawing/2014/chart" uri="{C3380CC4-5D6E-409C-BE32-E72D297353CC}">
              <c16:uniqueId val="{00000002-262E-4529-A2E3-D50A73C506BD}"/>
            </c:ext>
          </c:extLst>
        </c:ser>
        <c:ser>
          <c:idx val="2"/>
          <c:order val="2"/>
          <c:tx>
            <c:strRef>
              <c:f>GrafPontevedra!$G$30</c:f>
              <c:strCache>
                <c:ptCount val="1"/>
                <c:pt idx="0">
                  <c:v>Camas UCI</c:v>
                </c:pt>
              </c:strCache>
            </c:strRef>
          </c:tx>
          <c:spPr>
            <a:ln w="28575" cap="rnd">
              <a:solidFill>
                <a:srgbClr val="FF0000"/>
              </a:solidFill>
              <a:round/>
            </a:ln>
            <a:effectLst/>
          </c:spPr>
          <c:marker>
            <c:symbol val="none"/>
          </c:marker>
          <c:cat>
            <c:strRef>
              <c:f>GrafPontevedra!$D$31:$D$96</c:f>
              <c:strCache>
                <c:ptCount val="65"/>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strCache>
            </c:strRef>
          </c:cat>
          <c:val>
            <c:numRef>
              <c:f>GrafPontevedra!$G$31:$G$96</c:f>
              <c:numCache>
                <c:formatCode>General</c:formatCode>
                <c:ptCount val="65"/>
                <c:pt idx="0">
                  <c:v>9</c:v>
                </c:pt>
                <c:pt idx="1">
                  <c:v>9</c:v>
                </c:pt>
                <c:pt idx="2">
                  <c:v>9</c:v>
                </c:pt>
                <c:pt idx="3">
                  <c:v>9</c:v>
                </c:pt>
                <c:pt idx="4">
                  <c:v>9</c:v>
                </c:pt>
                <c:pt idx="5">
                  <c:v>10</c:v>
                </c:pt>
                <c:pt idx="6">
                  <c:v>9</c:v>
                </c:pt>
                <c:pt idx="7">
                  <c:v>8</c:v>
                </c:pt>
                <c:pt idx="8">
                  <c:v>8</c:v>
                </c:pt>
                <c:pt idx="9">
                  <c:v>8</c:v>
                </c:pt>
                <c:pt idx="10">
                  <c:v>8</c:v>
                </c:pt>
                <c:pt idx="11">
                  <c:v>9</c:v>
                </c:pt>
                <c:pt idx="12">
                  <c:v>9</c:v>
                </c:pt>
                <c:pt idx="13">
                  <c:v>8</c:v>
                </c:pt>
                <c:pt idx="14">
                  <c:v>8</c:v>
                </c:pt>
                <c:pt idx="15">
                  <c:v>7</c:v>
                </c:pt>
                <c:pt idx="16">
                  <c:v>8</c:v>
                </c:pt>
                <c:pt idx="17">
                  <c:v>6</c:v>
                </c:pt>
                <c:pt idx="18">
                  <c:v>8</c:v>
                </c:pt>
                <c:pt idx="19">
                  <c:v>9</c:v>
                </c:pt>
                <c:pt idx="20">
                  <c:v>9</c:v>
                </c:pt>
                <c:pt idx="21">
                  <c:v>11</c:v>
                </c:pt>
                <c:pt idx="22">
                  <c:v>11</c:v>
                </c:pt>
                <c:pt idx="23">
                  <c:v>10</c:v>
                </c:pt>
                <c:pt idx="24">
                  <c:v>11</c:v>
                </c:pt>
                <c:pt idx="25">
                  <c:v>10</c:v>
                </c:pt>
                <c:pt idx="26">
                  <c:v>12</c:v>
                </c:pt>
                <c:pt idx="27">
                  <c:v>12</c:v>
                </c:pt>
                <c:pt idx="28">
                  <c:v>9</c:v>
                </c:pt>
                <c:pt idx="29">
                  <c:v>8</c:v>
                </c:pt>
                <c:pt idx="30">
                  <c:v>11</c:v>
                </c:pt>
                <c:pt idx="31">
                  <c:v>11</c:v>
                </c:pt>
                <c:pt idx="32">
                  <c:v>10</c:v>
                </c:pt>
                <c:pt idx="33">
                  <c:v>12</c:v>
                </c:pt>
                <c:pt idx="34">
                  <c:v>12</c:v>
                </c:pt>
                <c:pt idx="35">
                  <c:v>12</c:v>
                </c:pt>
                <c:pt idx="36">
                  <c:v>11</c:v>
                </c:pt>
                <c:pt idx="37">
                  <c:v>10</c:v>
                </c:pt>
                <c:pt idx="38">
                  <c:v>10</c:v>
                </c:pt>
                <c:pt idx="39">
                  <c:v>9</c:v>
                </c:pt>
                <c:pt idx="40">
                  <c:v>11</c:v>
                </c:pt>
                <c:pt idx="41">
                  <c:v>12</c:v>
                </c:pt>
                <c:pt idx="42">
                  <c:v>12</c:v>
                </c:pt>
                <c:pt idx="43">
                  <c:v>13</c:v>
                </c:pt>
                <c:pt idx="44">
                  <c:v>11</c:v>
                </c:pt>
                <c:pt idx="45">
                  <c:v>14</c:v>
                </c:pt>
                <c:pt idx="46">
                  <c:v>14</c:v>
                </c:pt>
                <c:pt idx="47">
                  <c:v>14</c:v>
                </c:pt>
                <c:pt idx="48">
                  <c:v>13</c:v>
                </c:pt>
                <c:pt idx="49">
                  <c:v>15</c:v>
                </c:pt>
                <c:pt idx="50">
                  <c:v>15</c:v>
                </c:pt>
                <c:pt idx="51">
                  <c:v>15</c:v>
                </c:pt>
                <c:pt idx="52">
                  <c:v>16</c:v>
                </c:pt>
                <c:pt idx="53">
                  <c:v>17</c:v>
                </c:pt>
                <c:pt idx="54">
                  <c:v>25</c:v>
                </c:pt>
                <c:pt idx="55">
                  <c:v>29</c:v>
                </c:pt>
                <c:pt idx="56">
                  <c:v>30</c:v>
                </c:pt>
                <c:pt idx="57">
                  <c:v>31</c:v>
                </c:pt>
                <c:pt idx="58">
                  <c:v>30</c:v>
                </c:pt>
                <c:pt idx="59">
                  <c:v>29</c:v>
                </c:pt>
                <c:pt idx="60">
                  <c:v>27</c:v>
                </c:pt>
                <c:pt idx="61">
                  <c:v>27</c:v>
                </c:pt>
                <c:pt idx="62">
                  <c:v>24</c:v>
                </c:pt>
                <c:pt idx="63">
                  <c:v>23</c:v>
                </c:pt>
                <c:pt idx="64">
                  <c:v>21</c:v>
                </c:pt>
              </c:numCache>
            </c:numRef>
          </c:val>
          <c:smooth val="0"/>
          <c:extLst>
            <c:ext xmlns:c16="http://schemas.microsoft.com/office/drawing/2014/chart" uri="{C3380CC4-5D6E-409C-BE32-E72D297353CC}">
              <c16:uniqueId val="{00000003-262E-4529-A2E3-D50A73C506BD}"/>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[SeguimientoIncidenciaArea.xlsm]GrafSantiago!GrafFerrol</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Santiago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GrafSantiago!$H$30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GrafSantiago!$D$31:$D$96</c:f>
              <c:strCache>
                <c:ptCount val="65"/>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strCache>
            </c:strRef>
          </c:cat>
          <c:val>
            <c:numRef>
              <c:f>GrafSantiago!$H$31:$H$96</c:f>
              <c:numCache>
                <c:formatCode>General</c:formatCode>
                <c:ptCount val="65"/>
                <c:pt idx="0">
                  <c:v>1511</c:v>
                </c:pt>
                <c:pt idx="1">
                  <c:v>1235</c:v>
                </c:pt>
                <c:pt idx="2">
                  <c:v>1965</c:v>
                </c:pt>
                <c:pt idx="3">
                  <c:v>977</c:v>
                </c:pt>
                <c:pt idx="4">
                  <c:v>2131</c:v>
                </c:pt>
                <c:pt idx="5">
                  <c:v>1032</c:v>
                </c:pt>
                <c:pt idx="6">
                  <c:v>1403</c:v>
                </c:pt>
                <c:pt idx="7">
                  <c:v>1524</c:v>
                </c:pt>
                <c:pt idx="8">
                  <c:v>2247</c:v>
                </c:pt>
                <c:pt idx="9">
                  <c:v>2079</c:v>
                </c:pt>
                <c:pt idx="10">
                  <c:v>2786</c:v>
                </c:pt>
                <c:pt idx="11">
                  <c:v>2237</c:v>
                </c:pt>
                <c:pt idx="12">
                  <c:v>1679</c:v>
                </c:pt>
                <c:pt idx="13">
                  <c:v>2252</c:v>
                </c:pt>
                <c:pt idx="14">
                  <c:v>1742</c:v>
                </c:pt>
                <c:pt idx="15">
                  <c:v>1797</c:v>
                </c:pt>
                <c:pt idx="16">
                  <c:v>1931</c:v>
                </c:pt>
                <c:pt idx="17">
                  <c:v>1751</c:v>
                </c:pt>
                <c:pt idx="18">
                  <c:v>1830</c:v>
                </c:pt>
                <c:pt idx="19">
                  <c:v>2605</c:v>
                </c:pt>
                <c:pt idx="20">
                  <c:v>2032</c:v>
                </c:pt>
                <c:pt idx="21">
                  <c:v>740</c:v>
                </c:pt>
                <c:pt idx="22">
                  <c:v>986</c:v>
                </c:pt>
                <c:pt idx="23">
                  <c:v>929</c:v>
                </c:pt>
                <c:pt idx="24">
                  <c:v>1432</c:v>
                </c:pt>
                <c:pt idx="25">
                  <c:v>1273</c:v>
                </c:pt>
                <c:pt idx="26">
                  <c:v>1586</c:v>
                </c:pt>
                <c:pt idx="27">
                  <c:v>1044</c:v>
                </c:pt>
                <c:pt idx="28">
                  <c:v>735</c:v>
                </c:pt>
                <c:pt idx="29">
                  <c:v>979</c:v>
                </c:pt>
                <c:pt idx="30">
                  <c:v>814</c:v>
                </c:pt>
                <c:pt idx="31">
                  <c:v>2273</c:v>
                </c:pt>
                <c:pt idx="32">
                  <c:v>2202</c:v>
                </c:pt>
                <c:pt idx="33">
                  <c:v>2867</c:v>
                </c:pt>
                <c:pt idx="34">
                  <c:v>2658</c:v>
                </c:pt>
                <c:pt idx="35">
                  <c:v>2487</c:v>
                </c:pt>
                <c:pt idx="36">
                  <c:v>2090</c:v>
                </c:pt>
                <c:pt idx="37">
                  <c:v>1307</c:v>
                </c:pt>
                <c:pt idx="38">
                  <c:v>2689</c:v>
                </c:pt>
                <c:pt idx="39">
                  <c:v>2474</c:v>
                </c:pt>
                <c:pt idx="40">
                  <c:v>2174</c:v>
                </c:pt>
                <c:pt idx="41">
                  <c:v>2242</c:v>
                </c:pt>
                <c:pt idx="42">
                  <c:v>1812</c:v>
                </c:pt>
                <c:pt idx="43">
                  <c:v>1698</c:v>
                </c:pt>
                <c:pt idx="44">
                  <c:v>2275</c:v>
                </c:pt>
                <c:pt idx="45">
                  <c:v>2535</c:v>
                </c:pt>
                <c:pt idx="46">
                  <c:v>2509</c:v>
                </c:pt>
                <c:pt idx="47">
                  <c:v>2698</c:v>
                </c:pt>
                <c:pt idx="48">
                  <c:v>2298</c:v>
                </c:pt>
                <c:pt idx="49">
                  <c:v>2076</c:v>
                </c:pt>
                <c:pt idx="50">
                  <c:v>2797</c:v>
                </c:pt>
                <c:pt idx="51">
                  <c:v>2737</c:v>
                </c:pt>
                <c:pt idx="52">
                  <c:v>2622</c:v>
                </c:pt>
                <c:pt idx="53">
                  <c:v>2987</c:v>
                </c:pt>
                <c:pt idx="54">
                  <c:v>3301</c:v>
                </c:pt>
                <c:pt idx="55">
                  <c:v>4126</c:v>
                </c:pt>
                <c:pt idx="56">
                  <c:v>3852</c:v>
                </c:pt>
                <c:pt idx="57">
                  <c:v>4024</c:v>
                </c:pt>
                <c:pt idx="58">
                  <c:v>4434</c:v>
                </c:pt>
                <c:pt idx="59">
                  <c:v>5173</c:v>
                </c:pt>
                <c:pt idx="60">
                  <c:v>4266</c:v>
                </c:pt>
                <c:pt idx="61">
                  <c:v>4548</c:v>
                </c:pt>
                <c:pt idx="62">
                  <c:v>3966</c:v>
                </c:pt>
                <c:pt idx="63">
                  <c:v>6597</c:v>
                </c:pt>
                <c:pt idx="64">
                  <c:v>6779</c:v>
                </c:pt>
              </c:numCache>
            </c:numRef>
          </c:val>
          <c:extLst>
            <c:ext xmlns:c16="http://schemas.microsoft.com/office/drawing/2014/chart" uri="{C3380CC4-5D6E-409C-BE32-E72D297353CC}">
              <c16:uniqueId val="{00000000-31C5-48B2-A069-BBE6F2400A5E}"/>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GrafSantiago!$E$30</c:f>
              <c:strCache>
                <c:ptCount val="1"/>
                <c:pt idx="0">
                  <c:v>Nuevos Casos</c:v>
                </c:pt>
              </c:strCache>
            </c:strRef>
          </c:tx>
          <c:spPr>
            <a:ln w="28575" cap="rnd">
              <a:solidFill>
                <a:schemeClr val="accent1"/>
              </a:solidFill>
              <a:round/>
            </a:ln>
            <a:effectLst/>
          </c:spPr>
          <c:marker>
            <c:symbol val="none"/>
          </c:marker>
          <c:cat>
            <c:strRef>
              <c:f>GrafSantiago!$D$31:$D$96</c:f>
              <c:strCache>
                <c:ptCount val="65"/>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strCache>
            </c:strRef>
          </c:cat>
          <c:val>
            <c:numRef>
              <c:f>GrafSantiago!$E$31:$E$96</c:f>
              <c:numCache>
                <c:formatCode>General</c:formatCode>
                <c:ptCount val="65"/>
                <c:pt idx="0">
                  <c:v>52</c:v>
                </c:pt>
                <c:pt idx="1">
                  <c:v>47</c:v>
                </c:pt>
                <c:pt idx="2">
                  <c:v>65</c:v>
                </c:pt>
                <c:pt idx="3">
                  <c:v>53</c:v>
                </c:pt>
                <c:pt idx="4">
                  <c:v>77</c:v>
                </c:pt>
                <c:pt idx="5">
                  <c:v>66</c:v>
                </c:pt>
                <c:pt idx="6">
                  <c:v>91</c:v>
                </c:pt>
                <c:pt idx="7">
                  <c:v>96</c:v>
                </c:pt>
                <c:pt idx="8">
                  <c:v>88</c:v>
                </c:pt>
                <c:pt idx="9">
                  <c:v>78</c:v>
                </c:pt>
                <c:pt idx="10">
                  <c:v>118</c:v>
                </c:pt>
                <c:pt idx="11">
                  <c:v>110</c:v>
                </c:pt>
                <c:pt idx="12">
                  <c:v>104</c:v>
                </c:pt>
                <c:pt idx="13">
                  <c:v>101</c:v>
                </c:pt>
                <c:pt idx="14">
                  <c:v>81</c:v>
                </c:pt>
                <c:pt idx="15">
                  <c:v>64</c:v>
                </c:pt>
                <c:pt idx="16">
                  <c:v>55</c:v>
                </c:pt>
                <c:pt idx="17">
                  <c:v>80</c:v>
                </c:pt>
                <c:pt idx="18">
                  <c:v>114</c:v>
                </c:pt>
                <c:pt idx="19">
                  <c:v>78</c:v>
                </c:pt>
                <c:pt idx="20">
                  <c:v>99</c:v>
                </c:pt>
                <c:pt idx="21">
                  <c:v>79</c:v>
                </c:pt>
                <c:pt idx="22">
                  <c:v>76</c:v>
                </c:pt>
                <c:pt idx="23">
                  <c:v>72</c:v>
                </c:pt>
                <c:pt idx="24">
                  <c:v>121</c:v>
                </c:pt>
                <c:pt idx="25">
                  <c:v>115</c:v>
                </c:pt>
                <c:pt idx="26">
                  <c:v>103</c:v>
                </c:pt>
                <c:pt idx="27">
                  <c:v>122</c:v>
                </c:pt>
                <c:pt idx="28">
                  <c:v>66</c:v>
                </c:pt>
                <c:pt idx="29">
                  <c:v>53</c:v>
                </c:pt>
                <c:pt idx="30">
                  <c:v>60</c:v>
                </c:pt>
                <c:pt idx="31">
                  <c:v>156</c:v>
                </c:pt>
                <c:pt idx="32">
                  <c:v>106</c:v>
                </c:pt>
                <c:pt idx="33">
                  <c:v>179</c:v>
                </c:pt>
                <c:pt idx="34">
                  <c:v>203</c:v>
                </c:pt>
                <c:pt idx="35">
                  <c:v>98</c:v>
                </c:pt>
                <c:pt idx="36">
                  <c:v>99</c:v>
                </c:pt>
                <c:pt idx="37">
                  <c:v>200</c:v>
                </c:pt>
                <c:pt idx="38">
                  <c:v>195</c:v>
                </c:pt>
                <c:pt idx="39">
                  <c:v>231</c:v>
                </c:pt>
                <c:pt idx="40">
                  <c:v>210</c:v>
                </c:pt>
                <c:pt idx="41">
                  <c:v>211</c:v>
                </c:pt>
                <c:pt idx="42">
                  <c:v>177</c:v>
                </c:pt>
                <c:pt idx="43">
                  <c:v>140</c:v>
                </c:pt>
                <c:pt idx="44">
                  <c:v>206</c:v>
                </c:pt>
                <c:pt idx="45">
                  <c:v>190</c:v>
                </c:pt>
                <c:pt idx="46">
                  <c:v>233</c:v>
                </c:pt>
                <c:pt idx="47">
                  <c:v>295</c:v>
                </c:pt>
                <c:pt idx="48">
                  <c:v>253</c:v>
                </c:pt>
                <c:pt idx="49">
                  <c:v>159</c:v>
                </c:pt>
                <c:pt idx="50">
                  <c:v>294</c:v>
                </c:pt>
                <c:pt idx="51">
                  <c:v>239</c:v>
                </c:pt>
                <c:pt idx="52">
                  <c:v>225</c:v>
                </c:pt>
                <c:pt idx="53">
                  <c:v>197</c:v>
                </c:pt>
                <c:pt idx="54">
                  <c:v>301</c:v>
                </c:pt>
                <c:pt idx="55">
                  <c:v>266</c:v>
                </c:pt>
                <c:pt idx="56">
                  <c:v>176</c:v>
                </c:pt>
                <c:pt idx="57">
                  <c:v>148</c:v>
                </c:pt>
                <c:pt idx="58">
                  <c:v>169</c:v>
                </c:pt>
                <c:pt idx="59">
                  <c:v>129</c:v>
                </c:pt>
                <c:pt idx="60">
                  <c:v>242</c:v>
                </c:pt>
                <c:pt idx="61">
                  <c:v>172</c:v>
                </c:pt>
                <c:pt idx="62">
                  <c:v>130</c:v>
                </c:pt>
                <c:pt idx="63">
                  <c:v>108</c:v>
                </c:pt>
                <c:pt idx="64">
                  <c:v>73</c:v>
                </c:pt>
              </c:numCache>
            </c:numRef>
          </c:val>
          <c:smooth val="0"/>
          <c:extLst>
            <c:ext xmlns:c16="http://schemas.microsoft.com/office/drawing/2014/chart" uri="{C3380CC4-5D6E-409C-BE32-E72D297353CC}">
              <c16:uniqueId val="{00000001-31C5-48B2-A069-BBE6F2400A5E}"/>
            </c:ext>
          </c:extLst>
        </c:ser>
        <c:ser>
          <c:idx val="1"/>
          <c:order val="1"/>
          <c:tx>
            <c:strRef>
              <c:f>GrafSantiago!$F$30</c:f>
              <c:strCache>
                <c:ptCount val="1"/>
                <c:pt idx="0">
                  <c:v>Camas Hosp</c:v>
                </c:pt>
              </c:strCache>
            </c:strRef>
          </c:tx>
          <c:spPr>
            <a:ln w="28575" cap="rnd">
              <a:solidFill>
                <a:schemeClr val="accent2"/>
              </a:solidFill>
              <a:round/>
            </a:ln>
            <a:effectLst/>
          </c:spPr>
          <c:marker>
            <c:symbol val="none"/>
          </c:marker>
          <c:cat>
            <c:strRef>
              <c:f>GrafSantiago!$D$31:$D$96</c:f>
              <c:strCache>
                <c:ptCount val="65"/>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strCache>
            </c:strRef>
          </c:cat>
          <c:val>
            <c:numRef>
              <c:f>GrafSantiago!$F$31:$F$96</c:f>
              <c:numCache>
                <c:formatCode>General</c:formatCode>
                <c:ptCount val="65"/>
                <c:pt idx="0">
                  <c:v>43</c:v>
                </c:pt>
                <c:pt idx="1">
                  <c:v>45</c:v>
                </c:pt>
                <c:pt idx="2">
                  <c:v>51</c:v>
                </c:pt>
                <c:pt idx="3">
                  <c:v>52</c:v>
                </c:pt>
                <c:pt idx="4">
                  <c:v>53</c:v>
                </c:pt>
                <c:pt idx="5">
                  <c:v>52</c:v>
                </c:pt>
                <c:pt idx="6">
                  <c:v>50</c:v>
                </c:pt>
                <c:pt idx="7">
                  <c:v>56</c:v>
                </c:pt>
                <c:pt idx="8">
                  <c:v>62</c:v>
                </c:pt>
                <c:pt idx="9">
                  <c:v>67</c:v>
                </c:pt>
                <c:pt idx="10">
                  <c:v>64</c:v>
                </c:pt>
                <c:pt idx="11">
                  <c:v>62</c:v>
                </c:pt>
                <c:pt idx="12">
                  <c:v>63</c:v>
                </c:pt>
                <c:pt idx="13">
                  <c:v>66</c:v>
                </c:pt>
                <c:pt idx="14">
                  <c:v>73</c:v>
                </c:pt>
                <c:pt idx="15">
                  <c:v>76</c:v>
                </c:pt>
                <c:pt idx="16">
                  <c:v>73</c:v>
                </c:pt>
                <c:pt idx="17">
                  <c:v>76</c:v>
                </c:pt>
                <c:pt idx="18">
                  <c:v>70</c:v>
                </c:pt>
                <c:pt idx="19">
                  <c:v>63</c:v>
                </c:pt>
                <c:pt idx="20">
                  <c:v>65</c:v>
                </c:pt>
                <c:pt idx="21">
                  <c:v>69</c:v>
                </c:pt>
                <c:pt idx="22">
                  <c:v>71</c:v>
                </c:pt>
                <c:pt idx="23">
                  <c:v>74</c:v>
                </c:pt>
                <c:pt idx="24">
                  <c:v>65</c:v>
                </c:pt>
                <c:pt idx="25">
                  <c:v>69</c:v>
                </c:pt>
                <c:pt idx="26">
                  <c:v>75</c:v>
                </c:pt>
                <c:pt idx="27">
                  <c:v>79</c:v>
                </c:pt>
                <c:pt idx="28">
                  <c:v>76</c:v>
                </c:pt>
                <c:pt idx="29">
                  <c:v>74</c:v>
                </c:pt>
                <c:pt idx="30">
                  <c:v>80</c:v>
                </c:pt>
                <c:pt idx="31">
                  <c:v>83</c:v>
                </c:pt>
                <c:pt idx="32">
                  <c:v>91</c:v>
                </c:pt>
                <c:pt idx="33">
                  <c:v>92</c:v>
                </c:pt>
                <c:pt idx="34">
                  <c:v>94</c:v>
                </c:pt>
                <c:pt idx="35">
                  <c:v>98</c:v>
                </c:pt>
                <c:pt idx="36">
                  <c:v>101</c:v>
                </c:pt>
                <c:pt idx="37">
                  <c:v>105</c:v>
                </c:pt>
                <c:pt idx="38">
                  <c:v>93</c:v>
                </c:pt>
                <c:pt idx="39">
                  <c:v>92</c:v>
                </c:pt>
                <c:pt idx="40">
                  <c:v>94</c:v>
                </c:pt>
                <c:pt idx="41">
                  <c:v>97</c:v>
                </c:pt>
                <c:pt idx="42">
                  <c:v>95</c:v>
                </c:pt>
                <c:pt idx="43">
                  <c:v>99</c:v>
                </c:pt>
                <c:pt idx="44">
                  <c:v>100</c:v>
                </c:pt>
                <c:pt idx="45">
                  <c:v>106</c:v>
                </c:pt>
                <c:pt idx="46">
                  <c:v>108</c:v>
                </c:pt>
                <c:pt idx="47">
                  <c:v>114</c:v>
                </c:pt>
                <c:pt idx="48">
                  <c:v>106</c:v>
                </c:pt>
                <c:pt idx="49">
                  <c:v>112</c:v>
                </c:pt>
                <c:pt idx="50">
                  <c:v>122</c:v>
                </c:pt>
                <c:pt idx="51">
                  <c:v>124</c:v>
                </c:pt>
                <c:pt idx="52">
                  <c:v>126</c:v>
                </c:pt>
                <c:pt idx="53">
                  <c:v>119</c:v>
                </c:pt>
                <c:pt idx="54">
                  <c:v>133</c:v>
                </c:pt>
                <c:pt idx="55">
                  <c:v>131</c:v>
                </c:pt>
                <c:pt idx="56">
                  <c:v>141</c:v>
                </c:pt>
                <c:pt idx="57">
                  <c:v>156</c:v>
                </c:pt>
                <c:pt idx="58">
                  <c:v>141</c:v>
                </c:pt>
                <c:pt idx="59">
                  <c:v>125</c:v>
                </c:pt>
                <c:pt idx="60">
                  <c:v>128</c:v>
                </c:pt>
                <c:pt idx="61">
                  <c:v>131</c:v>
                </c:pt>
                <c:pt idx="62">
                  <c:v>136</c:v>
                </c:pt>
                <c:pt idx="63">
                  <c:v>129</c:v>
                </c:pt>
                <c:pt idx="64">
                  <c:v>133</c:v>
                </c:pt>
              </c:numCache>
            </c:numRef>
          </c:val>
          <c:smooth val="0"/>
          <c:extLst>
            <c:ext xmlns:c16="http://schemas.microsoft.com/office/drawing/2014/chart" uri="{C3380CC4-5D6E-409C-BE32-E72D297353CC}">
              <c16:uniqueId val="{00000002-31C5-48B2-A069-BBE6F2400A5E}"/>
            </c:ext>
          </c:extLst>
        </c:ser>
        <c:ser>
          <c:idx val="2"/>
          <c:order val="2"/>
          <c:tx>
            <c:strRef>
              <c:f>GrafSantiago!$G$30</c:f>
              <c:strCache>
                <c:ptCount val="1"/>
                <c:pt idx="0">
                  <c:v>Camas UCI</c:v>
                </c:pt>
              </c:strCache>
            </c:strRef>
          </c:tx>
          <c:spPr>
            <a:ln w="28575" cap="rnd">
              <a:solidFill>
                <a:srgbClr val="FF0000"/>
              </a:solidFill>
              <a:round/>
            </a:ln>
            <a:effectLst/>
          </c:spPr>
          <c:marker>
            <c:symbol val="none"/>
          </c:marker>
          <c:cat>
            <c:strRef>
              <c:f>GrafSantiago!$D$31:$D$96</c:f>
              <c:strCache>
                <c:ptCount val="65"/>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strCache>
            </c:strRef>
          </c:cat>
          <c:val>
            <c:numRef>
              <c:f>GrafSantiago!$G$31:$G$96</c:f>
              <c:numCache>
                <c:formatCode>General</c:formatCode>
                <c:ptCount val="65"/>
                <c:pt idx="0">
                  <c:v>6</c:v>
                </c:pt>
                <c:pt idx="1">
                  <c:v>6</c:v>
                </c:pt>
                <c:pt idx="2">
                  <c:v>6</c:v>
                </c:pt>
                <c:pt idx="3">
                  <c:v>6</c:v>
                </c:pt>
                <c:pt idx="4">
                  <c:v>6</c:v>
                </c:pt>
                <c:pt idx="5">
                  <c:v>7</c:v>
                </c:pt>
                <c:pt idx="6">
                  <c:v>11</c:v>
                </c:pt>
                <c:pt idx="7">
                  <c:v>10</c:v>
                </c:pt>
                <c:pt idx="8">
                  <c:v>11</c:v>
                </c:pt>
                <c:pt idx="9">
                  <c:v>8</c:v>
                </c:pt>
                <c:pt idx="10">
                  <c:v>7</c:v>
                </c:pt>
                <c:pt idx="11">
                  <c:v>6</c:v>
                </c:pt>
                <c:pt idx="12">
                  <c:v>6</c:v>
                </c:pt>
                <c:pt idx="13">
                  <c:v>6</c:v>
                </c:pt>
                <c:pt idx="14">
                  <c:v>5</c:v>
                </c:pt>
                <c:pt idx="15">
                  <c:v>6</c:v>
                </c:pt>
                <c:pt idx="16">
                  <c:v>7</c:v>
                </c:pt>
                <c:pt idx="17">
                  <c:v>5</c:v>
                </c:pt>
                <c:pt idx="18">
                  <c:v>6</c:v>
                </c:pt>
                <c:pt idx="19">
                  <c:v>7</c:v>
                </c:pt>
                <c:pt idx="20">
                  <c:v>7</c:v>
                </c:pt>
                <c:pt idx="21">
                  <c:v>7</c:v>
                </c:pt>
                <c:pt idx="22">
                  <c:v>7</c:v>
                </c:pt>
                <c:pt idx="23">
                  <c:v>5</c:v>
                </c:pt>
                <c:pt idx="24">
                  <c:v>7</c:v>
                </c:pt>
                <c:pt idx="25">
                  <c:v>7</c:v>
                </c:pt>
                <c:pt idx="26">
                  <c:v>8</c:v>
                </c:pt>
                <c:pt idx="27">
                  <c:v>8</c:v>
                </c:pt>
                <c:pt idx="28">
                  <c:v>11</c:v>
                </c:pt>
                <c:pt idx="29">
                  <c:v>12</c:v>
                </c:pt>
                <c:pt idx="30">
                  <c:v>13</c:v>
                </c:pt>
                <c:pt idx="31">
                  <c:v>13</c:v>
                </c:pt>
                <c:pt idx="32">
                  <c:v>9</c:v>
                </c:pt>
                <c:pt idx="33">
                  <c:v>9</c:v>
                </c:pt>
                <c:pt idx="34">
                  <c:v>8</c:v>
                </c:pt>
                <c:pt idx="35">
                  <c:v>7</c:v>
                </c:pt>
                <c:pt idx="36">
                  <c:v>8</c:v>
                </c:pt>
                <c:pt idx="37">
                  <c:v>7</c:v>
                </c:pt>
                <c:pt idx="38">
                  <c:v>6</c:v>
                </c:pt>
                <c:pt idx="39">
                  <c:v>8</c:v>
                </c:pt>
                <c:pt idx="40">
                  <c:v>10</c:v>
                </c:pt>
                <c:pt idx="41">
                  <c:v>12</c:v>
                </c:pt>
                <c:pt idx="42">
                  <c:v>14</c:v>
                </c:pt>
                <c:pt idx="43">
                  <c:v>16</c:v>
                </c:pt>
                <c:pt idx="44">
                  <c:v>20</c:v>
                </c:pt>
                <c:pt idx="45">
                  <c:v>26</c:v>
                </c:pt>
                <c:pt idx="46">
                  <c:v>28</c:v>
                </c:pt>
                <c:pt idx="47">
                  <c:v>28</c:v>
                </c:pt>
                <c:pt idx="48">
                  <c:v>27</c:v>
                </c:pt>
                <c:pt idx="49">
                  <c:v>29</c:v>
                </c:pt>
                <c:pt idx="50">
                  <c:v>32</c:v>
                </c:pt>
                <c:pt idx="51">
                  <c:v>34</c:v>
                </c:pt>
                <c:pt idx="52">
                  <c:v>36</c:v>
                </c:pt>
                <c:pt idx="53">
                  <c:v>35</c:v>
                </c:pt>
                <c:pt idx="54">
                  <c:v>40</c:v>
                </c:pt>
                <c:pt idx="55">
                  <c:v>40</c:v>
                </c:pt>
                <c:pt idx="56">
                  <c:v>42</c:v>
                </c:pt>
                <c:pt idx="57">
                  <c:v>44</c:v>
                </c:pt>
                <c:pt idx="58">
                  <c:v>47</c:v>
                </c:pt>
                <c:pt idx="59">
                  <c:v>43</c:v>
                </c:pt>
                <c:pt idx="60">
                  <c:v>42</c:v>
                </c:pt>
                <c:pt idx="61">
                  <c:v>43</c:v>
                </c:pt>
                <c:pt idx="62">
                  <c:v>44</c:v>
                </c:pt>
                <c:pt idx="63">
                  <c:v>44</c:v>
                </c:pt>
                <c:pt idx="64">
                  <c:v>47</c:v>
                </c:pt>
              </c:numCache>
            </c:numRef>
          </c:val>
          <c:smooth val="0"/>
          <c:extLst>
            <c:ext xmlns:c16="http://schemas.microsoft.com/office/drawing/2014/chart" uri="{C3380CC4-5D6E-409C-BE32-E72D297353CC}">
              <c16:uniqueId val="{00000003-31C5-48B2-A069-BBE6F2400A5E}"/>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[SeguimientoIncidenciaArea.xlsm]GrafVigo!GrafFerrol</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Vigo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GrafVigo!$H$30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GrafVigo!$D$31:$D$96</c:f>
              <c:strCache>
                <c:ptCount val="65"/>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strCache>
            </c:strRef>
          </c:cat>
          <c:val>
            <c:numRef>
              <c:f>GrafVigo!$H$31:$H$96</c:f>
              <c:numCache>
                <c:formatCode>General</c:formatCode>
                <c:ptCount val="65"/>
                <c:pt idx="0">
                  <c:v>1839</c:v>
                </c:pt>
                <c:pt idx="1">
                  <c:v>1408</c:v>
                </c:pt>
                <c:pt idx="2">
                  <c:v>1383</c:v>
                </c:pt>
                <c:pt idx="3">
                  <c:v>1609</c:v>
                </c:pt>
                <c:pt idx="4">
                  <c:v>2725</c:v>
                </c:pt>
                <c:pt idx="5">
                  <c:v>2064</c:v>
                </c:pt>
                <c:pt idx="6">
                  <c:v>1876</c:v>
                </c:pt>
                <c:pt idx="7">
                  <c:v>2448</c:v>
                </c:pt>
                <c:pt idx="8">
                  <c:v>2135</c:v>
                </c:pt>
                <c:pt idx="9">
                  <c:v>2352</c:v>
                </c:pt>
                <c:pt idx="10">
                  <c:v>2468</c:v>
                </c:pt>
                <c:pt idx="11">
                  <c:v>2761</c:v>
                </c:pt>
                <c:pt idx="12">
                  <c:v>1733</c:v>
                </c:pt>
                <c:pt idx="13">
                  <c:v>1896</c:v>
                </c:pt>
                <c:pt idx="14">
                  <c:v>2659</c:v>
                </c:pt>
                <c:pt idx="15">
                  <c:v>1800</c:v>
                </c:pt>
                <c:pt idx="16">
                  <c:v>2626</c:v>
                </c:pt>
                <c:pt idx="17">
                  <c:v>3059</c:v>
                </c:pt>
                <c:pt idx="18">
                  <c:v>2898</c:v>
                </c:pt>
                <c:pt idx="19">
                  <c:v>2089</c:v>
                </c:pt>
                <c:pt idx="20">
                  <c:v>1228</c:v>
                </c:pt>
                <c:pt idx="21">
                  <c:v>592</c:v>
                </c:pt>
                <c:pt idx="22">
                  <c:v>919</c:v>
                </c:pt>
                <c:pt idx="23">
                  <c:v>819</c:v>
                </c:pt>
                <c:pt idx="24">
                  <c:v>1468</c:v>
                </c:pt>
                <c:pt idx="25">
                  <c:v>1609</c:v>
                </c:pt>
                <c:pt idx="26">
                  <c:v>1809</c:v>
                </c:pt>
                <c:pt idx="27">
                  <c:v>890</c:v>
                </c:pt>
                <c:pt idx="28">
                  <c:v>1114</c:v>
                </c:pt>
                <c:pt idx="29">
                  <c:v>1212</c:v>
                </c:pt>
                <c:pt idx="30">
                  <c:v>834</c:v>
                </c:pt>
                <c:pt idx="31">
                  <c:v>1445</c:v>
                </c:pt>
                <c:pt idx="32">
                  <c:v>1566</c:v>
                </c:pt>
                <c:pt idx="33">
                  <c:v>759</c:v>
                </c:pt>
                <c:pt idx="34">
                  <c:v>2056</c:v>
                </c:pt>
                <c:pt idx="35">
                  <c:v>1826</c:v>
                </c:pt>
                <c:pt idx="36">
                  <c:v>1741</c:v>
                </c:pt>
                <c:pt idx="37">
                  <c:v>1422</c:v>
                </c:pt>
                <c:pt idx="38">
                  <c:v>2193</c:v>
                </c:pt>
                <c:pt idx="39">
                  <c:v>2551</c:v>
                </c:pt>
                <c:pt idx="40">
                  <c:v>2453</c:v>
                </c:pt>
                <c:pt idx="41">
                  <c:v>2554</c:v>
                </c:pt>
                <c:pt idx="42">
                  <c:v>2618</c:v>
                </c:pt>
                <c:pt idx="43">
                  <c:v>1593</c:v>
                </c:pt>
                <c:pt idx="44">
                  <c:v>2865</c:v>
                </c:pt>
                <c:pt idx="45">
                  <c:v>2839</c:v>
                </c:pt>
                <c:pt idx="46">
                  <c:v>3665</c:v>
                </c:pt>
                <c:pt idx="47">
                  <c:v>3193</c:v>
                </c:pt>
                <c:pt idx="48">
                  <c:v>2345</c:v>
                </c:pt>
                <c:pt idx="49">
                  <c:v>3113</c:v>
                </c:pt>
                <c:pt idx="50">
                  <c:v>2925</c:v>
                </c:pt>
                <c:pt idx="51">
                  <c:v>2092</c:v>
                </c:pt>
                <c:pt idx="52">
                  <c:v>3024</c:v>
                </c:pt>
                <c:pt idx="53">
                  <c:v>2703</c:v>
                </c:pt>
                <c:pt idx="54">
                  <c:v>3311</c:v>
                </c:pt>
                <c:pt idx="55">
                  <c:v>2874</c:v>
                </c:pt>
                <c:pt idx="56">
                  <c:v>3267</c:v>
                </c:pt>
                <c:pt idx="57">
                  <c:v>6618</c:v>
                </c:pt>
                <c:pt idx="58">
                  <c:v>6059</c:v>
                </c:pt>
                <c:pt idx="59">
                  <c:v>7097</c:v>
                </c:pt>
                <c:pt idx="60">
                  <c:v>7130</c:v>
                </c:pt>
                <c:pt idx="61">
                  <c:v>6457</c:v>
                </c:pt>
                <c:pt idx="62">
                  <c:v>2728</c:v>
                </c:pt>
                <c:pt idx="63">
                  <c:v>3602</c:v>
                </c:pt>
                <c:pt idx="64">
                  <c:v>2194</c:v>
                </c:pt>
              </c:numCache>
            </c:numRef>
          </c:val>
          <c:extLst>
            <c:ext xmlns:c16="http://schemas.microsoft.com/office/drawing/2014/chart" uri="{C3380CC4-5D6E-409C-BE32-E72D297353CC}">
              <c16:uniqueId val="{00000000-D3D8-48CD-9812-EA330AA3D39D}"/>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GrafVigo!$E$30</c:f>
              <c:strCache>
                <c:ptCount val="1"/>
                <c:pt idx="0">
                  <c:v>Nuevos Casos</c:v>
                </c:pt>
              </c:strCache>
            </c:strRef>
          </c:tx>
          <c:spPr>
            <a:ln w="28575" cap="rnd">
              <a:solidFill>
                <a:schemeClr val="accent1"/>
              </a:solidFill>
              <a:round/>
            </a:ln>
            <a:effectLst/>
          </c:spPr>
          <c:marker>
            <c:symbol val="none"/>
          </c:marker>
          <c:cat>
            <c:strRef>
              <c:f>GrafVigo!$D$31:$D$96</c:f>
              <c:strCache>
                <c:ptCount val="65"/>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strCache>
            </c:strRef>
          </c:cat>
          <c:val>
            <c:numRef>
              <c:f>GrafVigo!$E$31:$E$96</c:f>
              <c:numCache>
                <c:formatCode>General</c:formatCode>
                <c:ptCount val="65"/>
                <c:pt idx="0">
                  <c:v>91</c:v>
                </c:pt>
                <c:pt idx="1">
                  <c:v>53</c:v>
                </c:pt>
                <c:pt idx="2">
                  <c:v>60</c:v>
                </c:pt>
                <c:pt idx="3">
                  <c:v>79</c:v>
                </c:pt>
                <c:pt idx="4">
                  <c:v>52</c:v>
                </c:pt>
                <c:pt idx="5">
                  <c:v>127</c:v>
                </c:pt>
                <c:pt idx="6">
                  <c:v>53</c:v>
                </c:pt>
                <c:pt idx="7">
                  <c:v>93</c:v>
                </c:pt>
                <c:pt idx="8">
                  <c:v>56</c:v>
                </c:pt>
                <c:pt idx="9">
                  <c:v>50</c:v>
                </c:pt>
                <c:pt idx="10">
                  <c:v>121</c:v>
                </c:pt>
                <c:pt idx="11">
                  <c:v>95</c:v>
                </c:pt>
                <c:pt idx="12">
                  <c:v>95</c:v>
                </c:pt>
                <c:pt idx="13">
                  <c:v>83</c:v>
                </c:pt>
                <c:pt idx="14">
                  <c:v>76</c:v>
                </c:pt>
                <c:pt idx="15">
                  <c:v>69</c:v>
                </c:pt>
                <c:pt idx="16">
                  <c:v>46</c:v>
                </c:pt>
                <c:pt idx="17">
                  <c:v>92</c:v>
                </c:pt>
                <c:pt idx="18">
                  <c:v>117</c:v>
                </c:pt>
                <c:pt idx="19">
                  <c:v>65</c:v>
                </c:pt>
                <c:pt idx="20">
                  <c:v>88</c:v>
                </c:pt>
                <c:pt idx="21">
                  <c:v>39</c:v>
                </c:pt>
                <c:pt idx="22">
                  <c:v>52</c:v>
                </c:pt>
                <c:pt idx="23">
                  <c:v>77</c:v>
                </c:pt>
                <c:pt idx="24">
                  <c:v>75</c:v>
                </c:pt>
                <c:pt idx="25">
                  <c:v>91</c:v>
                </c:pt>
                <c:pt idx="26">
                  <c:v>131</c:v>
                </c:pt>
                <c:pt idx="27">
                  <c:v>71</c:v>
                </c:pt>
                <c:pt idx="28">
                  <c:v>85</c:v>
                </c:pt>
                <c:pt idx="29">
                  <c:v>33</c:v>
                </c:pt>
                <c:pt idx="30">
                  <c:v>32</c:v>
                </c:pt>
                <c:pt idx="31">
                  <c:v>95</c:v>
                </c:pt>
                <c:pt idx="32">
                  <c:v>184</c:v>
                </c:pt>
                <c:pt idx="33">
                  <c:v>78</c:v>
                </c:pt>
                <c:pt idx="34">
                  <c:v>220</c:v>
                </c:pt>
                <c:pt idx="35">
                  <c:v>136</c:v>
                </c:pt>
                <c:pt idx="36">
                  <c:v>120</c:v>
                </c:pt>
                <c:pt idx="37">
                  <c:v>148</c:v>
                </c:pt>
                <c:pt idx="38">
                  <c:v>221</c:v>
                </c:pt>
                <c:pt idx="39">
                  <c:v>244</c:v>
                </c:pt>
                <c:pt idx="40">
                  <c:v>191</c:v>
                </c:pt>
                <c:pt idx="41">
                  <c:v>278</c:v>
                </c:pt>
                <c:pt idx="42">
                  <c:v>256</c:v>
                </c:pt>
                <c:pt idx="43">
                  <c:v>154</c:v>
                </c:pt>
                <c:pt idx="44">
                  <c:v>187</c:v>
                </c:pt>
                <c:pt idx="45">
                  <c:v>239</c:v>
                </c:pt>
                <c:pt idx="46">
                  <c:v>323</c:v>
                </c:pt>
                <c:pt idx="47">
                  <c:v>354</c:v>
                </c:pt>
                <c:pt idx="48">
                  <c:v>331</c:v>
                </c:pt>
                <c:pt idx="49">
                  <c:v>275</c:v>
                </c:pt>
                <c:pt idx="50">
                  <c:v>230</c:v>
                </c:pt>
                <c:pt idx="51">
                  <c:v>177</c:v>
                </c:pt>
                <c:pt idx="52">
                  <c:v>225</c:v>
                </c:pt>
                <c:pt idx="53">
                  <c:v>255</c:v>
                </c:pt>
                <c:pt idx="54">
                  <c:v>349</c:v>
                </c:pt>
                <c:pt idx="55">
                  <c:v>251</c:v>
                </c:pt>
                <c:pt idx="56">
                  <c:v>277</c:v>
                </c:pt>
                <c:pt idx="57">
                  <c:v>153</c:v>
                </c:pt>
                <c:pt idx="58">
                  <c:v>135</c:v>
                </c:pt>
                <c:pt idx="59">
                  <c:v>239</c:v>
                </c:pt>
                <c:pt idx="60">
                  <c:v>204</c:v>
                </c:pt>
                <c:pt idx="61">
                  <c:v>135</c:v>
                </c:pt>
                <c:pt idx="62">
                  <c:v>156</c:v>
                </c:pt>
                <c:pt idx="63">
                  <c:v>103</c:v>
                </c:pt>
                <c:pt idx="64">
                  <c:v>71</c:v>
                </c:pt>
              </c:numCache>
            </c:numRef>
          </c:val>
          <c:smooth val="0"/>
          <c:extLst>
            <c:ext xmlns:c16="http://schemas.microsoft.com/office/drawing/2014/chart" uri="{C3380CC4-5D6E-409C-BE32-E72D297353CC}">
              <c16:uniqueId val="{00000001-D3D8-48CD-9812-EA330AA3D39D}"/>
            </c:ext>
          </c:extLst>
        </c:ser>
        <c:ser>
          <c:idx val="1"/>
          <c:order val="1"/>
          <c:tx>
            <c:strRef>
              <c:f>GrafVigo!$F$30</c:f>
              <c:strCache>
                <c:ptCount val="1"/>
                <c:pt idx="0">
                  <c:v>Camas Hosp</c:v>
                </c:pt>
              </c:strCache>
            </c:strRef>
          </c:tx>
          <c:spPr>
            <a:ln w="28575" cap="rnd">
              <a:solidFill>
                <a:schemeClr val="accent2"/>
              </a:solidFill>
              <a:round/>
            </a:ln>
            <a:effectLst/>
          </c:spPr>
          <c:marker>
            <c:symbol val="none"/>
          </c:marker>
          <c:cat>
            <c:strRef>
              <c:f>GrafVigo!$D$31:$D$96</c:f>
              <c:strCache>
                <c:ptCount val="65"/>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strCache>
            </c:strRef>
          </c:cat>
          <c:val>
            <c:numRef>
              <c:f>GrafVigo!$F$31:$F$96</c:f>
              <c:numCache>
                <c:formatCode>General</c:formatCode>
                <c:ptCount val="65"/>
                <c:pt idx="0">
                  <c:v>65</c:v>
                </c:pt>
                <c:pt idx="1">
                  <c:v>66</c:v>
                </c:pt>
                <c:pt idx="2">
                  <c:v>59</c:v>
                </c:pt>
                <c:pt idx="3">
                  <c:v>59</c:v>
                </c:pt>
                <c:pt idx="4">
                  <c:v>62</c:v>
                </c:pt>
                <c:pt idx="5">
                  <c:v>60</c:v>
                </c:pt>
                <c:pt idx="6">
                  <c:v>51</c:v>
                </c:pt>
                <c:pt idx="7">
                  <c:v>47</c:v>
                </c:pt>
                <c:pt idx="8">
                  <c:v>44</c:v>
                </c:pt>
                <c:pt idx="9">
                  <c:v>48</c:v>
                </c:pt>
                <c:pt idx="10">
                  <c:v>47</c:v>
                </c:pt>
                <c:pt idx="11">
                  <c:v>45</c:v>
                </c:pt>
                <c:pt idx="12">
                  <c:v>53</c:v>
                </c:pt>
                <c:pt idx="13">
                  <c:v>45</c:v>
                </c:pt>
                <c:pt idx="14">
                  <c:v>47</c:v>
                </c:pt>
                <c:pt idx="15">
                  <c:v>49</c:v>
                </c:pt>
                <c:pt idx="16">
                  <c:v>51</c:v>
                </c:pt>
                <c:pt idx="17">
                  <c:v>56</c:v>
                </c:pt>
                <c:pt idx="18">
                  <c:v>54</c:v>
                </c:pt>
                <c:pt idx="19">
                  <c:v>50</c:v>
                </c:pt>
                <c:pt idx="20">
                  <c:v>51</c:v>
                </c:pt>
                <c:pt idx="21">
                  <c:v>50</c:v>
                </c:pt>
                <c:pt idx="22">
                  <c:v>51</c:v>
                </c:pt>
                <c:pt idx="23">
                  <c:v>44</c:v>
                </c:pt>
                <c:pt idx="24">
                  <c:v>40</c:v>
                </c:pt>
                <c:pt idx="25">
                  <c:v>42</c:v>
                </c:pt>
                <c:pt idx="26">
                  <c:v>40</c:v>
                </c:pt>
                <c:pt idx="27">
                  <c:v>41</c:v>
                </c:pt>
                <c:pt idx="28">
                  <c:v>43</c:v>
                </c:pt>
                <c:pt idx="29">
                  <c:v>51</c:v>
                </c:pt>
                <c:pt idx="30">
                  <c:v>49</c:v>
                </c:pt>
                <c:pt idx="31">
                  <c:v>41</c:v>
                </c:pt>
                <c:pt idx="32">
                  <c:v>45</c:v>
                </c:pt>
                <c:pt idx="33">
                  <c:v>39</c:v>
                </c:pt>
                <c:pt idx="34">
                  <c:v>41</c:v>
                </c:pt>
                <c:pt idx="35">
                  <c:v>41</c:v>
                </c:pt>
                <c:pt idx="36">
                  <c:v>42</c:v>
                </c:pt>
                <c:pt idx="37">
                  <c:v>45</c:v>
                </c:pt>
                <c:pt idx="38">
                  <c:v>44</c:v>
                </c:pt>
                <c:pt idx="39">
                  <c:v>47</c:v>
                </c:pt>
                <c:pt idx="40">
                  <c:v>56</c:v>
                </c:pt>
                <c:pt idx="41">
                  <c:v>50</c:v>
                </c:pt>
                <c:pt idx="42">
                  <c:v>66</c:v>
                </c:pt>
                <c:pt idx="43">
                  <c:v>85</c:v>
                </c:pt>
                <c:pt idx="44">
                  <c:v>90</c:v>
                </c:pt>
                <c:pt idx="45">
                  <c:v>112</c:v>
                </c:pt>
                <c:pt idx="46">
                  <c:v>117</c:v>
                </c:pt>
                <c:pt idx="47">
                  <c:v>116</c:v>
                </c:pt>
                <c:pt idx="48">
                  <c:v>126</c:v>
                </c:pt>
                <c:pt idx="49">
                  <c:v>139</c:v>
                </c:pt>
                <c:pt idx="50">
                  <c:v>154</c:v>
                </c:pt>
                <c:pt idx="51">
                  <c:v>159</c:v>
                </c:pt>
                <c:pt idx="52">
                  <c:v>178</c:v>
                </c:pt>
                <c:pt idx="53">
                  <c:v>172</c:v>
                </c:pt>
                <c:pt idx="54">
                  <c:v>164</c:v>
                </c:pt>
                <c:pt idx="55">
                  <c:v>153</c:v>
                </c:pt>
                <c:pt idx="56">
                  <c:v>154</c:v>
                </c:pt>
                <c:pt idx="57">
                  <c:v>166</c:v>
                </c:pt>
                <c:pt idx="58">
                  <c:v>172</c:v>
                </c:pt>
                <c:pt idx="59">
                  <c:v>165</c:v>
                </c:pt>
                <c:pt idx="60">
                  <c:v>153</c:v>
                </c:pt>
                <c:pt idx="61">
                  <c:v>136</c:v>
                </c:pt>
                <c:pt idx="62">
                  <c:v>135</c:v>
                </c:pt>
                <c:pt idx="63">
                  <c:v>136</c:v>
                </c:pt>
                <c:pt idx="64">
                  <c:v>145</c:v>
                </c:pt>
              </c:numCache>
            </c:numRef>
          </c:val>
          <c:smooth val="0"/>
          <c:extLst>
            <c:ext xmlns:c16="http://schemas.microsoft.com/office/drawing/2014/chart" uri="{C3380CC4-5D6E-409C-BE32-E72D297353CC}">
              <c16:uniqueId val="{00000002-D3D8-48CD-9812-EA330AA3D39D}"/>
            </c:ext>
          </c:extLst>
        </c:ser>
        <c:ser>
          <c:idx val="2"/>
          <c:order val="2"/>
          <c:tx>
            <c:strRef>
              <c:f>GrafVigo!$G$30</c:f>
              <c:strCache>
                <c:ptCount val="1"/>
                <c:pt idx="0">
                  <c:v>Camas UCI</c:v>
                </c:pt>
              </c:strCache>
            </c:strRef>
          </c:tx>
          <c:spPr>
            <a:ln w="28575" cap="rnd">
              <a:solidFill>
                <a:srgbClr val="FF0000"/>
              </a:solidFill>
              <a:round/>
            </a:ln>
            <a:effectLst/>
          </c:spPr>
          <c:marker>
            <c:symbol val="none"/>
          </c:marker>
          <c:cat>
            <c:strRef>
              <c:f>GrafVigo!$D$31:$D$96</c:f>
              <c:strCache>
                <c:ptCount val="65"/>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strCache>
            </c:strRef>
          </c:cat>
          <c:val>
            <c:numRef>
              <c:f>GrafVigo!$G$31:$G$96</c:f>
              <c:numCache>
                <c:formatCode>General</c:formatCode>
                <c:ptCount val="65"/>
                <c:pt idx="0">
                  <c:v>12</c:v>
                </c:pt>
                <c:pt idx="1">
                  <c:v>11</c:v>
                </c:pt>
                <c:pt idx="2">
                  <c:v>9</c:v>
                </c:pt>
                <c:pt idx="3">
                  <c:v>10</c:v>
                </c:pt>
                <c:pt idx="4">
                  <c:v>11</c:v>
                </c:pt>
                <c:pt idx="5">
                  <c:v>12</c:v>
                </c:pt>
                <c:pt idx="6">
                  <c:v>11</c:v>
                </c:pt>
                <c:pt idx="7">
                  <c:v>11</c:v>
                </c:pt>
                <c:pt idx="8">
                  <c:v>12</c:v>
                </c:pt>
                <c:pt idx="9">
                  <c:v>14</c:v>
                </c:pt>
                <c:pt idx="10">
                  <c:v>13</c:v>
                </c:pt>
                <c:pt idx="11">
                  <c:v>13</c:v>
                </c:pt>
                <c:pt idx="12">
                  <c:v>13</c:v>
                </c:pt>
                <c:pt idx="13">
                  <c:v>12</c:v>
                </c:pt>
                <c:pt idx="14">
                  <c:v>12</c:v>
                </c:pt>
                <c:pt idx="15">
                  <c:v>12</c:v>
                </c:pt>
                <c:pt idx="16">
                  <c:v>9</c:v>
                </c:pt>
                <c:pt idx="17">
                  <c:v>11</c:v>
                </c:pt>
                <c:pt idx="18">
                  <c:v>11</c:v>
                </c:pt>
                <c:pt idx="19">
                  <c:v>12</c:v>
                </c:pt>
                <c:pt idx="20">
                  <c:v>13</c:v>
                </c:pt>
                <c:pt idx="21">
                  <c:v>11</c:v>
                </c:pt>
                <c:pt idx="22">
                  <c:v>12</c:v>
                </c:pt>
                <c:pt idx="23">
                  <c:v>12</c:v>
                </c:pt>
                <c:pt idx="24">
                  <c:v>11</c:v>
                </c:pt>
                <c:pt idx="25">
                  <c:v>11</c:v>
                </c:pt>
                <c:pt idx="26">
                  <c:v>9</c:v>
                </c:pt>
                <c:pt idx="27">
                  <c:v>11</c:v>
                </c:pt>
                <c:pt idx="28">
                  <c:v>12</c:v>
                </c:pt>
                <c:pt idx="29">
                  <c:v>11</c:v>
                </c:pt>
                <c:pt idx="30">
                  <c:v>12</c:v>
                </c:pt>
                <c:pt idx="31">
                  <c:v>13</c:v>
                </c:pt>
                <c:pt idx="32">
                  <c:v>14</c:v>
                </c:pt>
                <c:pt idx="33">
                  <c:v>16</c:v>
                </c:pt>
                <c:pt idx="34">
                  <c:v>18</c:v>
                </c:pt>
                <c:pt idx="35">
                  <c:v>16</c:v>
                </c:pt>
                <c:pt idx="36">
                  <c:v>19</c:v>
                </c:pt>
                <c:pt idx="37">
                  <c:v>20</c:v>
                </c:pt>
                <c:pt idx="38">
                  <c:v>22</c:v>
                </c:pt>
                <c:pt idx="39">
                  <c:v>22</c:v>
                </c:pt>
                <c:pt idx="40">
                  <c:v>22</c:v>
                </c:pt>
                <c:pt idx="41">
                  <c:v>19</c:v>
                </c:pt>
                <c:pt idx="42">
                  <c:v>18</c:v>
                </c:pt>
                <c:pt idx="43">
                  <c:v>20</c:v>
                </c:pt>
                <c:pt idx="44">
                  <c:v>21</c:v>
                </c:pt>
                <c:pt idx="45">
                  <c:v>22</c:v>
                </c:pt>
                <c:pt idx="46">
                  <c:v>22</c:v>
                </c:pt>
                <c:pt idx="47">
                  <c:v>21</c:v>
                </c:pt>
                <c:pt idx="48">
                  <c:v>22</c:v>
                </c:pt>
                <c:pt idx="49">
                  <c:v>23</c:v>
                </c:pt>
                <c:pt idx="50">
                  <c:v>21</c:v>
                </c:pt>
                <c:pt idx="51">
                  <c:v>23</c:v>
                </c:pt>
                <c:pt idx="52">
                  <c:v>23</c:v>
                </c:pt>
                <c:pt idx="53">
                  <c:v>23</c:v>
                </c:pt>
                <c:pt idx="54">
                  <c:v>23</c:v>
                </c:pt>
                <c:pt idx="55">
                  <c:v>21</c:v>
                </c:pt>
                <c:pt idx="56">
                  <c:v>21</c:v>
                </c:pt>
                <c:pt idx="57">
                  <c:v>24</c:v>
                </c:pt>
                <c:pt idx="58">
                  <c:v>25</c:v>
                </c:pt>
                <c:pt idx="59">
                  <c:v>24</c:v>
                </c:pt>
                <c:pt idx="60">
                  <c:v>25</c:v>
                </c:pt>
                <c:pt idx="61">
                  <c:v>26</c:v>
                </c:pt>
                <c:pt idx="62">
                  <c:v>26</c:v>
                </c:pt>
                <c:pt idx="63">
                  <c:v>30</c:v>
                </c:pt>
                <c:pt idx="64">
                  <c:v>29</c:v>
                </c:pt>
              </c:numCache>
            </c:numRef>
          </c:val>
          <c:smooth val="0"/>
          <c:extLst>
            <c:ext xmlns:c16="http://schemas.microsoft.com/office/drawing/2014/chart" uri="{C3380CC4-5D6E-409C-BE32-E72D297353CC}">
              <c16:uniqueId val="{00000003-D3D8-48CD-9812-EA330AA3D39D}"/>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1" Type="http://schemas.openxmlformats.org/officeDocument/2006/relationships/chart" Target="../charts/chart8.xml"/></Relationships>
</file>

<file path=xl/drawings/_rels/drawing3.xml.rels><?xml version="1.0" encoding="UTF-8" standalone="yes"?>
<Relationships xmlns="http://schemas.openxmlformats.org/package/2006/relationships"><Relationship Id="rId1" Type="http://schemas.openxmlformats.org/officeDocument/2006/relationships/chart" Target="../charts/chart9.xml"/></Relationships>
</file>

<file path=xl/drawings/_rels/drawing4.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5.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6.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7.xml.rels><?xml version="1.0" encoding="UTF-8" standalone="yes"?>
<Relationships xmlns="http://schemas.openxmlformats.org/package/2006/relationships"><Relationship Id="rId1" Type="http://schemas.openxmlformats.org/officeDocument/2006/relationships/chart" Target="../charts/chart13.xml"/></Relationships>
</file>

<file path=xl/drawings/_rels/drawing8.xml.rels><?xml version="1.0" encoding="UTF-8" standalone="yes"?>
<Relationships xmlns="http://schemas.openxmlformats.org/package/2006/relationships"><Relationship Id="rId1" Type="http://schemas.openxmlformats.org/officeDocument/2006/relationships/chart" Target="../charts/chart14.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5.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17.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18.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0</xdr:col>
      <xdr:colOff>152400</xdr:colOff>
      <xdr:row>0</xdr:row>
      <xdr:rowOff>95250</xdr:rowOff>
    </xdr:from>
    <xdr:to>
      <xdr:col>18</xdr:col>
      <xdr:colOff>224790</xdr:colOff>
      <xdr:row>24</xdr:row>
      <xdr:rowOff>145733</xdr:rowOff>
    </xdr:to>
    <xdr:graphicFrame macro="">
      <xdr:nvGraphicFramePr>
        <xdr:cNvPr id="2" name="Chart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161925</xdr:colOff>
      <xdr:row>25</xdr:row>
      <xdr:rowOff>0</xdr:rowOff>
    </xdr:from>
    <xdr:to>
      <xdr:col>18</xdr:col>
      <xdr:colOff>234315</xdr:colOff>
      <xdr:row>49</xdr:row>
      <xdr:rowOff>50483</xdr:rowOff>
    </xdr:to>
    <xdr:graphicFrame macro="">
      <xdr:nvGraphicFramePr>
        <xdr:cNvPr id="3" name="Chart 2">
          <a:extLst>
            <a:ext uri="{FF2B5EF4-FFF2-40B4-BE49-F238E27FC236}">
              <a16:creationId xmlns:a16="http://schemas.microsoft.com/office/drawing/2014/main" id="{00000000-0008-0000-0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133350</xdr:colOff>
      <xdr:row>50</xdr:row>
      <xdr:rowOff>19050</xdr:rowOff>
    </xdr:from>
    <xdr:to>
      <xdr:col>18</xdr:col>
      <xdr:colOff>205740</xdr:colOff>
      <xdr:row>74</xdr:row>
      <xdr:rowOff>69533</xdr:rowOff>
    </xdr:to>
    <xdr:graphicFrame macro="">
      <xdr:nvGraphicFramePr>
        <xdr:cNvPr id="4" name="Chart 3">
          <a:extLst>
            <a:ext uri="{FF2B5EF4-FFF2-40B4-BE49-F238E27FC236}">
              <a16:creationId xmlns:a16="http://schemas.microsoft.com/office/drawing/2014/main" id="{00000000-0008-0000-0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123825</xdr:colOff>
      <xdr:row>75</xdr:row>
      <xdr:rowOff>0</xdr:rowOff>
    </xdr:from>
    <xdr:to>
      <xdr:col>18</xdr:col>
      <xdr:colOff>188595</xdr:colOff>
      <xdr:row>99</xdr:row>
      <xdr:rowOff>54293</xdr:rowOff>
    </xdr:to>
    <xdr:graphicFrame macro="">
      <xdr:nvGraphicFramePr>
        <xdr:cNvPr id="5" name="Chart 4">
          <a:extLst>
            <a:ext uri="{FF2B5EF4-FFF2-40B4-BE49-F238E27FC236}">
              <a16:creationId xmlns:a16="http://schemas.microsoft.com/office/drawing/2014/main" id="{00000000-0008-0000-00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121920</xdr:colOff>
      <xdr:row>99</xdr:row>
      <xdr:rowOff>173355</xdr:rowOff>
    </xdr:from>
    <xdr:to>
      <xdr:col>18</xdr:col>
      <xdr:colOff>192405</xdr:colOff>
      <xdr:row>124</xdr:row>
      <xdr:rowOff>37148</xdr:rowOff>
    </xdr:to>
    <xdr:graphicFrame macro="">
      <xdr:nvGraphicFramePr>
        <xdr:cNvPr id="7" name="Chart 6">
          <a:extLst>
            <a:ext uri="{FF2B5EF4-FFF2-40B4-BE49-F238E27FC236}">
              <a16:creationId xmlns:a16="http://schemas.microsoft.com/office/drawing/2014/main" id="{00000000-0008-0000-00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121920</xdr:colOff>
      <xdr:row>124</xdr:row>
      <xdr:rowOff>114300</xdr:rowOff>
    </xdr:from>
    <xdr:to>
      <xdr:col>18</xdr:col>
      <xdr:colOff>201930</xdr:colOff>
      <xdr:row>148</xdr:row>
      <xdr:rowOff>160973</xdr:rowOff>
    </xdr:to>
    <xdr:graphicFrame macro="">
      <xdr:nvGraphicFramePr>
        <xdr:cNvPr id="8" name="Chart 7">
          <a:extLst>
            <a:ext uri="{FF2B5EF4-FFF2-40B4-BE49-F238E27FC236}">
              <a16:creationId xmlns:a16="http://schemas.microsoft.com/office/drawing/2014/main" id="{00000000-0008-0000-00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110490</xdr:colOff>
      <xdr:row>149</xdr:row>
      <xdr:rowOff>78105</xdr:rowOff>
    </xdr:from>
    <xdr:to>
      <xdr:col>18</xdr:col>
      <xdr:colOff>180975</xdr:colOff>
      <xdr:row>173</xdr:row>
      <xdr:rowOff>126683</xdr:rowOff>
    </xdr:to>
    <xdr:graphicFrame macro="">
      <xdr:nvGraphicFramePr>
        <xdr:cNvPr id="9" name="Chart 8">
          <a:extLst>
            <a:ext uri="{FF2B5EF4-FFF2-40B4-BE49-F238E27FC236}">
              <a16:creationId xmlns:a16="http://schemas.microsoft.com/office/drawing/2014/main" id="{00000000-0008-0000-00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mc:AlternateContent xmlns:mc="http://schemas.openxmlformats.org/markup-compatibility/2006">
    <mc:Choice xmlns:a14="http://schemas.microsoft.com/office/drawing/2010/main" Requires="a14">
      <xdr:twoCellAnchor editAs="oneCell">
        <xdr:from>
          <xdr:col>18</xdr:col>
          <xdr:colOff>312420</xdr:colOff>
          <xdr:row>0</xdr:row>
          <xdr:rowOff>45720</xdr:rowOff>
        </xdr:from>
        <xdr:to>
          <xdr:col>22</xdr:col>
          <xdr:colOff>441960</xdr:colOff>
          <xdr:row>4</xdr:row>
          <xdr:rowOff>99060</xdr:rowOff>
        </xdr:to>
        <xdr:sp macro="" textlink="">
          <xdr:nvSpPr>
            <xdr:cNvPr id="1026" name="BotonActualiza"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266700</xdr:colOff>
      <xdr:row>0</xdr:row>
      <xdr:rowOff>60007</xdr:rowOff>
    </xdr:from>
    <xdr:to>
      <xdr:col>16</xdr:col>
      <xdr:colOff>548640</xdr:colOff>
      <xdr:row>24</xdr:row>
      <xdr:rowOff>26670</xdr:rowOff>
    </xdr:to>
    <xdr:graphicFrame macro="">
      <xdr:nvGraphicFramePr>
        <xdr:cNvPr id="2" name="Chart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169545</xdr:colOff>
      <xdr:row>0</xdr:row>
      <xdr:rowOff>110489</xdr:rowOff>
    </xdr:from>
    <xdr:to>
      <xdr:col>20</xdr:col>
      <xdr:colOff>167640</xdr:colOff>
      <xdr:row>15</xdr:row>
      <xdr:rowOff>19049</xdr:rowOff>
    </xdr:to>
    <mc:AlternateContent xmlns:mc="http://schemas.openxmlformats.org/markup-compatibility/2006" xmlns:a14="http://schemas.microsoft.com/office/drawing/2010/main">
      <mc:Choice Requires="a14">
        <xdr:graphicFrame macro="">
          <xdr:nvGraphicFramePr>
            <xdr:cNvPr id="3" name="Area_Sanitaria 3">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microsoft.com/office/drawing/2010/slicer">
              <sle:slicer xmlns:sle="http://schemas.microsoft.com/office/drawing/2010/slicer" name="Area_Sanitaria 3"/>
            </a:graphicData>
          </a:graphic>
        </xdr:graphicFrame>
      </mc:Choice>
      <mc:Fallback xmlns="">
        <xdr:sp macro="" textlink="">
          <xdr:nvSpPr>
            <xdr:cNvPr id="0" name=""/>
            <xdr:cNvSpPr>
              <a:spLocks noTextEdit="1"/>
            </xdr:cNvSpPr>
          </xdr:nvSpPr>
          <xdr:spPr>
            <a:xfrm>
              <a:off x="11908155" y="108584"/>
              <a:ext cx="1826895" cy="262890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438151</xdr:colOff>
      <xdr:row>24</xdr:row>
      <xdr:rowOff>150495</xdr:rowOff>
    </xdr:from>
    <xdr:to>
      <xdr:col>17</xdr:col>
      <xdr:colOff>1</xdr:colOff>
      <xdr:row>32</xdr:row>
      <xdr:rowOff>59055</xdr:rowOff>
    </xdr:to>
    <mc:AlternateContent xmlns:mc="http://schemas.openxmlformats.org/markup-compatibility/2006" xmlns:tsle="http://schemas.microsoft.com/office/drawing/2012/timeslicer">
      <mc:Choice Requires="tsle">
        <xdr:graphicFrame macro="">
          <xdr:nvGraphicFramePr>
            <xdr:cNvPr id="4" name="Fecha">
              <a:extLst>
                <a:ext uri="{FF2B5EF4-FFF2-40B4-BE49-F238E27FC236}">
                  <a16:creationId xmlns:a16="http://schemas.microsoft.com/office/drawing/2014/main" id="{00000000-0008-0000-0200-000004000000}"/>
                </a:ext>
              </a:extLst>
            </xdr:cNvPr>
            <xdr:cNvGraphicFramePr/>
          </xdr:nvGraphicFramePr>
          <xdr:xfrm>
            <a:off x="0" y="0"/>
            <a:ext cx="0" cy="0"/>
          </xdr:xfrm>
          <a:graphic>
            <a:graphicData uri="http://schemas.microsoft.com/office/drawing/2012/timeslicer">
              <tsle:timeslicer name="Fecha"/>
            </a:graphicData>
          </a:graphic>
        </xdr:graphicFrame>
      </mc:Choice>
      <mc:Fallback xmlns="">
        <xdr:sp macro="" textlink="">
          <xdr:nvSpPr>
            <xdr:cNvPr id="0" name=""/>
            <xdr:cNvSpPr>
              <a:spLocks noTextEdit="1"/>
            </xdr:cNvSpPr>
          </xdr:nvSpPr>
          <xdr:spPr>
            <a:xfrm>
              <a:off x="7402830" y="4493895"/>
              <a:ext cx="3350895" cy="1352550"/>
            </a:xfrm>
            <a:prstGeom prst="rect">
              <a:avLst/>
            </a:prstGeom>
            <a:solidFill>
              <a:prstClr val="white"/>
            </a:solidFill>
            <a:ln w="1">
              <a:solidFill>
                <a:prstClr val="green"/>
              </a:solidFill>
            </a:ln>
          </xdr:spPr>
          <xdr:txBody>
            <a:bodyPr vertOverflow="clip" horzOverflow="clip"/>
            <a:lstStyle/>
            <a:p>
              <a:r>
                <a:rPr lang="es-ES" sz="1100"/>
                <a:t>Timeline: Works in Excel 2013 or higher. Do not move or resize.</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0</xdr:col>
      <xdr:colOff>598170</xdr:colOff>
      <xdr:row>1</xdr:row>
      <xdr:rowOff>18096</xdr:rowOff>
    </xdr:from>
    <xdr:to>
      <xdr:col>16</xdr:col>
      <xdr:colOff>369570</xdr:colOff>
      <xdr:row>24</xdr:row>
      <xdr:rowOff>11429</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396240</xdr:colOff>
      <xdr:row>1</xdr:row>
      <xdr:rowOff>17145</xdr:rowOff>
    </xdr:from>
    <xdr:to>
      <xdr:col>19</xdr:col>
      <xdr:colOff>396240</xdr:colOff>
      <xdr:row>14</xdr:row>
      <xdr:rowOff>133350</xdr:rowOff>
    </xdr:to>
    <mc:AlternateContent xmlns:mc="http://schemas.openxmlformats.org/markup-compatibility/2006" xmlns:a14="http://schemas.microsoft.com/office/drawing/2010/main">
      <mc:Choice Requires="a14">
        <xdr:graphicFrame macro="">
          <xdr:nvGraphicFramePr>
            <xdr:cNvPr id="3" name="Area_Sanitaria">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microsoft.com/office/drawing/2010/slicer">
              <sle:slicer xmlns:sle="http://schemas.microsoft.com/office/drawing/2010/slicer" name="Area_Sanitaria"/>
            </a:graphicData>
          </a:graphic>
        </xdr:graphicFrame>
      </mc:Choice>
      <mc:Fallback xmlns="">
        <xdr:sp macro="" textlink="">
          <xdr:nvSpPr>
            <xdr:cNvPr id="0" name=""/>
            <xdr:cNvSpPr>
              <a:spLocks noTextEdit="1"/>
            </xdr:cNvSpPr>
          </xdr:nvSpPr>
          <xdr:spPr>
            <a:xfrm>
              <a:off x="12287250" y="201930"/>
              <a:ext cx="1828800" cy="246126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573404</xdr:colOff>
      <xdr:row>0</xdr:row>
      <xdr:rowOff>98106</xdr:rowOff>
    </xdr:from>
    <xdr:to>
      <xdr:col>11</xdr:col>
      <xdr:colOff>1200149</xdr:colOff>
      <xdr:row>21</xdr:row>
      <xdr:rowOff>171449</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11</xdr:col>
      <xdr:colOff>1369695</xdr:colOff>
      <xdr:row>0</xdr:row>
      <xdr:rowOff>125730</xdr:rowOff>
    </xdr:from>
    <xdr:to>
      <xdr:col>12</xdr:col>
      <xdr:colOff>1811655</xdr:colOff>
      <xdr:row>14</xdr:row>
      <xdr:rowOff>53340</xdr:rowOff>
    </xdr:to>
    <mc:AlternateContent xmlns:mc="http://schemas.openxmlformats.org/markup-compatibility/2006" xmlns:a14="http://schemas.microsoft.com/office/drawing/2010/main">
      <mc:Choice Requires="a14">
        <xdr:graphicFrame macro="">
          <xdr:nvGraphicFramePr>
            <xdr:cNvPr id="3" name="Area_Sanitaria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microsoft.com/office/drawing/2010/slicer">
              <sle:slicer xmlns:sle="http://schemas.microsoft.com/office/drawing/2010/slicer" name="Area_Sanitaria 2"/>
            </a:graphicData>
          </a:graphic>
        </xdr:graphicFrame>
      </mc:Choice>
      <mc:Fallback xmlns="">
        <xdr:sp macro="" textlink="">
          <xdr:nvSpPr>
            <xdr:cNvPr id="0" name=""/>
            <xdr:cNvSpPr>
              <a:spLocks noTextEdit="1"/>
            </xdr:cNvSpPr>
          </xdr:nvSpPr>
          <xdr:spPr>
            <a:xfrm>
              <a:off x="12085320" y="129540"/>
              <a:ext cx="1813560" cy="245745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xdr:from>
      <xdr:col>0</xdr:col>
      <xdr:colOff>243840</xdr:colOff>
      <xdr:row>0</xdr:row>
      <xdr:rowOff>134301</xdr:rowOff>
    </xdr:from>
    <xdr:to>
      <xdr:col>15</xdr:col>
      <xdr:colOff>28575</xdr:colOff>
      <xdr:row>22</xdr:row>
      <xdr:rowOff>140969</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104775</xdr:colOff>
      <xdr:row>0</xdr:row>
      <xdr:rowOff>139065</xdr:rowOff>
    </xdr:from>
    <xdr:to>
      <xdr:col>18</xdr:col>
      <xdr:colOff>93345</xdr:colOff>
      <xdr:row>14</xdr:row>
      <xdr:rowOff>72390</xdr:rowOff>
    </xdr:to>
    <mc:AlternateContent xmlns:mc="http://schemas.openxmlformats.org/markup-compatibility/2006" xmlns:a14="http://schemas.microsoft.com/office/drawing/2010/main">
      <mc:Choice Requires="a14">
        <xdr:graphicFrame macro="">
          <xdr:nvGraphicFramePr>
            <xdr:cNvPr id="3" name="Area_Sanitaria 1">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microsoft.com/office/drawing/2010/slicer">
              <sle:slicer xmlns:sle="http://schemas.microsoft.com/office/drawing/2010/slicer" name="Area_Sanitaria 1"/>
            </a:graphicData>
          </a:graphic>
        </xdr:graphicFrame>
      </mc:Choice>
      <mc:Fallback xmlns="">
        <xdr:sp macro="" textlink="">
          <xdr:nvSpPr>
            <xdr:cNvPr id="0" name=""/>
            <xdr:cNvSpPr>
              <a:spLocks noTextEdit="1"/>
            </xdr:cNvSpPr>
          </xdr:nvSpPr>
          <xdr:spPr>
            <a:xfrm>
              <a:off x="11323320" y="135255"/>
              <a:ext cx="1823085" cy="2470785"/>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3" name="Chart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1</xdr:col>
      <xdr:colOff>9525</xdr:colOff>
      <xdr:row>0</xdr:row>
      <xdr:rowOff>117157</xdr:rowOff>
    </xdr:from>
    <xdr:to>
      <xdr:col>17</xdr:col>
      <xdr:colOff>586740</xdr:colOff>
      <xdr:row>24</xdr:row>
      <xdr:rowOff>161925</xdr:rowOff>
    </xdr:to>
    <xdr:graphicFrame macro="">
      <xdr:nvGraphicFramePr>
        <xdr:cNvPr id="2" name="Chart 1">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_rels/pivotCacheDefinition7.xml.rels><?xml version="1.0" encoding="UTF-8" standalone="yes"?>
<Relationships xmlns="http://schemas.openxmlformats.org/package/2006/relationships"><Relationship Id="rId1" Type="http://schemas.openxmlformats.org/officeDocument/2006/relationships/pivotCacheRecords" Target="pivotCacheRecords7.xml"/></Relationships>
</file>

<file path=xl/pivotCache/_rels/pivotCacheDefinition8.xml.rels><?xml version="1.0" encoding="UTF-8" standalone="yes"?>
<Relationships xmlns="http://schemas.openxmlformats.org/package/2006/relationships"><Relationship Id="rId1" Type="http://schemas.openxmlformats.org/officeDocument/2006/relationships/pivotCacheRecords" Target="pivotCacheRecords8.xml"/></Relationships>
</file>

<file path=xl/pivotCache/_rels/pivotCacheDefinition9.xml.rels><?xml version="1.0" encoding="UTF-8" standalone="yes"?>
<Relationships xmlns="http://schemas.openxmlformats.org/package/2006/relationships"><Relationship Id="rId1" Type="http://schemas.openxmlformats.org/officeDocument/2006/relationships/pivotCacheRecords" Target="pivotCacheRecords9.xml"/></Relationships>
</file>

<file path=xl/pivotCache/_rels/pivotCacheDefinition10.xml.rels><?xml version="1.0" encoding="UTF-8" standalone="yes"?>
<Relationships xmlns="http://schemas.openxmlformats.org/package/2006/relationships"><Relationship Id="rId1" Type="http://schemas.openxmlformats.org/officeDocument/2006/relationships/pivotCacheRecords" Target="pivotCacheRecords10.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35.480261574077" createdVersion="6" refreshedVersion="6" minRefreshableVersion="3" recordCount="65" xr:uid="{9C4702B8-D298-4790-84C2-9768DF3A177C}">
  <cacheSource type="worksheet">
    <worksheetSource name="AS_Vigo"/>
  </cacheSource>
  <cacheFields count="23">
    <cacheField name="Dia" numFmtId="14">
      <sharedItems containsSemiMixedTypes="0" containsNonDate="0" containsDate="1" containsString="0" minDate="2020-10-11T00:00:00" maxDate="2021-02-08T00:00:00" count="120">
        <d v="2020-12-05T00:00:00"/>
        <d v="2020-12-06T00:00:00"/>
        <d v="2020-12-07T00:00:00"/>
        <d v="2020-12-08T00:00:00"/>
        <d v="2020-12-09T00:00:00"/>
        <d v="2020-12-10T00:00:00"/>
        <d v="2020-12-11T00:00:00"/>
        <d v="2020-12-12T00:00:00"/>
        <d v="2020-12-13T00:00:00"/>
        <d v="2020-12-14T00:00:00"/>
        <d v="2020-12-15T00:00:00"/>
        <d v="2020-12-16T00:00:00"/>
        <d v="2020-12-17T00:00:00"/>
        <d v="2020-12-18T00:00:00"/>
        <d v="2020-12-19T00:00:00"/>
        <d v="2020-12-20T00:00:00"/>
        <d v="2020-12-21T00:00:00"/>
        <d v="2020-12-22T00:00:00"/>
        <d v="2020-12-23T00:00:00"/>
        <d v="2020-12-24T00:00:00"/>
        <d v="2020-12-25T00:00:00"/>
        <d v="2020-12-26T00:00:00"/>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0-11-11T00:00:00" u="1"/>
        <d v="2020-10-25T00:00:00" u="1"/>
        <d v="2020-11-30T00:00:00" u="1"/>
        <d v="2020-11-04T00:00:00" u="1"/>
        <d v="2020-10-18T00:00:00" u="1"/>
        <d v="2020-11-23T00:00:00" u="1"/>
        <d v="2020-10-11T00:00:00" u="1"/>
        <d v="2020-12-02T00:00:00" u="1"/>
        <d v="2020-11-16T00:00:00" u="1"/>
        <d v="2020-10-30T00:00:00" u="1"/>
        <d v="2020-11-09T00:00:00" u="1"/>
        <d v="2020-10-23T00:00:00" u="1"/>
        <d v="2020-11-28T00:00:00" u="1"/>
        <d v="2020-11-02T00:00:00" u="1"/>
        <d v="2020-10-16T00:00:00" u="1"/>
        <d v="2020-11-21T00:00:00" u="1"/>
        <d v="2020-11-14T00:00:00" u="1"/>
        <d v="2020-10-28T00:00:00" u="1"/>
        <d v="2020-11-07T00:00:00" u="1"/>
        <d v="2020-10-21T00:00:00" u="1"/>
        <d v="2020-11-26T00:00:00" u="1"/>
        <d v="2020-10-14T00:00:00" u="1"/>
        <d v="2020-11-19T00:00:00" u="1"/>
        <d v="2020-11-12T00:00:00" u="1"/>
        <d v="2020-10-26T00:00:00" u="1"/>
        <d v="2020-11-05T00:00:00" u="1"/>
        <d v="2020-10-19T00:00:00" u="1"/>
        <d v="2020-11-24T00:00:00" u="1"/>
        <d v="2020-10-12T00:00:00" u="1"/>
        <d v="2020-12-03T00:00:00" u="1"/>
        <d v="2020-11-17T00:00:00" u="1"/>
        <d v="2020-10-31T00:00:00" u="1"/>
        <d v="2020-11-10T00:00:00" u="1"/>
        <d v="2020-10-24T00:00:00" u="1"/>
        <d v="2020-11-29T00:00:00" u="1"/>
        <d v="2020-11-03T00:00:00" u="1"/>
        <d v="2020-10-17T00:00:00" u="1"/>
        <d v="2020-11-22T00:00:00" u="1"/>
        <d v="2020-12-01T00:00:00" u="1"/>
        <d v="2020-11-15T00:00:00" u="1"/>
        <d v="2020-10-29T00:00:00" u="1"/>
        <d v="2020-11-08T00:00:00" u="1"/>
        <d v="2020-10-22T00:00:00" u="1"/>
        <d v="2020-11-27T00:00:00" u="1"/>
        <d v="2020-11-01T00:00:00" u="1"/>
        <d v="2020-10-15T00:00:00" u="1"/>
        <d v="2020-11-20T00:00:00" u="1"/>
        <d v="2020-11-13T00:00:00" u="1"/>
        <d v="2020-10-27T00:00:00" u="1"/>
        <d v="2020-11-06T00:00:00" u="1"/>
        <d v="2020-10-20T00:00:00" u="1"/>
        <d v="2020-11-25T00:00:00" u="1"/>
        <d v="2020-10-13T00:00:00" u="1"/>
        <d v="2020-12-04T00:00:00" u="1"/>
        <d v="2020-11-18T00:00:00" u="1"/>
      </sharedItems>
    </cacheField>
    <cacheField name="Area_Sanitaria" numFmtId="0">
      <sharedItems/>
    </cacheField>
    <cacheField name="TotalNuevosCasos" numFmtId="0">
      <sharedItems containsSemiMixedTypes="0" containsString="0" containsNumber="1" containsInteger="1" minValue="32" maxValue="354"/>
    </cacheField>
    <cacheField name="FallecidosAcum" numFmtId="0">
      <sharedItems containsSemiMixedTypes="0" containsString="0" containsNumber="1" containsInteger="1" minValue="224" maxValue="351"/>
    </cacheField>
    <cacheField name="historico_CifrasTotales.Casos_Confirmados_PCR_Ultimas24h" numFmtId="0">
      <sharedItems containsSemiMixedTypes="0" containsString="0" containsNumber="1" containsInteger="1" minValue="28" maxValue="333"/>
    </cacheField>
    <cacheField name="historico_CifrasTotales.Pacientes_Sin_Alta" numFmtId="0">
      <sharedItems containsSemiMixedTypes="0" containsString="0" containsNumber="1" containsInteger="1" minValue="1113" maxValue="3867"/>
    </cacheField>
    <cacheField name="historico_CifrasTotales.Pacientes_Con_Alta" numFmtId="0">
      <sharedItems containsSemiMixedTypes="0" containsString="0" containsNumber="1" containsInteger="1" minValue="8422" maxValue="16110"/>
    </cacheField>
    <cacheField name="historico_CifrasTotales.Camas_Ocupadas_HOS" numFmtId="0">
      <sharedItems containsSemiMixedTypes="0" containsString="0" containsNumber="1" containsInteger="1" minValue="39" maxValue="178"/>
    </cacheField>
    <cacheField name="historico_CifrasTotales.Camas_Ocupadas_UCI" numFmtId="0">
      <sharedItems containsSemiMixedTypes="0" containsString="0" containsNumber="1" containsInteger="1" minValue="9" maxValue="30"/>
    </cacheField>
    <cacheField name="historico_CifrasTotales.Probas_Realizadas_PCR" numFmtId="0">
      <sharedItems containsSemiMixedTypes="0" containsString="0" containsNumber="1" containsInteger="1" minValue="191386" maxValue="318296"/>
    </cacheField>
    <cacheField name="historico_CifrasTotales.Probas_Realizadas_Non_PCR" numFmtId="0">
      <sharedItems containsSemiMixedTypes="0" containsString="0" containsNumber="1" containsInteger="1" minValue="56291" maxValue="88387"/>
    </cacheField>
    <cacheField name="FallecidosAcumOld" numFmtId="0">
      <sharedItems containsSemiMixedTypes="0" containsString="0" containsNumber="1" containsInteger="1" minValue="224" maxValue="348"/>
    </cacheField>
    <cacheField name="IncrementoActivos" numFmtId="0">
      <sharedItems containsSemiMixedTypes="0" containsString="0" containsNumber="1" containsInteger="1" minValue="-265" maxValue="211"/>
    </cacheField>
    <cacheField name="Camas_Ocupadas_HOS" numFmtId="0">
      <sharedItems containsSemiMixedTypes="0" containsString="0" containsNumber="1" containsInteger="1" minValue="39" maxValue="178"/>
    </cacheField>
    <cacheField name="Camas_Ocupadas_UCI" numFmtId="0">
      <sharedItems containsSemiMixedTypes="0" containsString="0" containsNumber="1" containsInteger="1" minValue="9" maxValue="30"/>
    </cacheField>
    <cacheField name="PCR_Dia" numFmtId="0">
      <sharedItems containsSemiMixedTypes="0" containsString="0" containsNumber="1" containsInteger="1" minValue="525" maxValue="3301"/>
    </cacheField>
    <cacheField name="Serologicas_Dia" numFmtId="0">
      <sharedItems containsSemiMixedTypes="0" containsString="0" containsNumber="1" containsInteger="1" minValue="21" maxValue="4686"/>
    </cacheField>
    <cacheField name="ActivosRatioIncremento" numFmtId="0">
      <sharedItems containsSemiMixedTypes="0" containsString="0" containsNumber="1" minValue="0.85129068462401791" maxValue="1.1005813953488373"/>
    </cacheField>
    <cacheField name="NuevasAltas" numFmtId="0">
      <sharedItems containsSemiMixedTypes="0" containsString="0" containsNumber="1" containsInteger="1" minValue="24" maxValue="333"/>
    </cacheField>
    <cacheField name="FechaOrd" numFmtId="0">
      <sharedItems/>
    </cacheField>
    <cacheField name="Pruebas_Dia" numFmtId="0">
      <sharedItems containsSemiMixedTypes="0" containsString="0" containsNumber="1" containsInteger="1" minValue="592" maxValue="7130"/>
    </cacheField>
    <cacheField name="Positividad" numFmtId="0">
      <sharedItems containsSemiMixedTypes="0" containsString="0" containsNumber="1" minValue="1.75171363290175E-2" maxValue="0.14115138592750501"/>
    </cacheField>
    <cacheField name="IncFallecidos" numFmtId="0">
      <sharedItems containsSemiMixedTypes="0" containsString="0" containsNumber="1" containsInteger="1" minValue="0" maxValue="8"/>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35.480261689816" createdVersion="6" refreshedVersion="6" minRefreshableVersion="3" recordCount="65" xr:uid="{37C7A3EC-9A7E-4E29-BE30-BE6CE8DB5BAA}">
  <cacheSource type="worksheet">
    <worksheetSource name="AS_Santiago"/>
  </cacheSource>
  <cacheFields count="23">
    <cacheField name="Dia" numFmtId="14">
      <sharedItems containsSemiMixedTypes="0" containsNonDate="0" containsDate="1" containsString="0" minDate="2020-10-11T00:00:00" maxDate="2021-02-08T00:00:00" count="120">
        <d v="2020-12-05T00:00:00"/>
        <d v="2020-12-06T00:00:00"/>
        <d v="2020-12-07T00:00:00"/>
        <d v="2020-12-08T00:00:00"/>
        <d v="2020-12-09T00:00:00"/>
        <d v="2020-12-10T00:00:00"/>
        <d v="2020-12-11T00:00:00"/>
        <d v="2020-12-12T00:00:00"/>
        <d v="2020-12-13T00:00:00"/>
        <d v="2020-12-14T00:00:00"/>
        <d v="2020-12-15T00:00:00"/>
        <d v="2020-12-16T00:00:00"/>
        <d v="2020-12-17T00:00:00"/>
        <d v="2020-12-18T00:00:00"/>
        <d v="2020-12-19T00:00:00"/>
        <d v="2020-12-20T00:00:00"/>
        <d v="2020-12-21T00:00:00"/>
        <d v="2020-12-22T00:00:00"/>
        <d v="2020-12-23T00:00:00"/>
        <d v="2020-12-24T00:00:00"/>
        <d v="2020-12-25T00:00:00"/>
        <d v="2020-12-26T00:00:00"/>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0-11-11T00:00:00" u="1"/>
        <d v="2020-10-25T00:00:00" u="1"/>
        <d v="2020-11-30T00:00:00" u="1"/>
        <d v="2020-11-04T00:00:00" u="1"/>
        <d v="2020-10-18T00:00:00" u="1"/>
        <d v="2020-11-23T00:00:00" u="1"/>
        <d v="2020-10-11T00:00:00" u="1"/>
        <d v="2020-12-02T00:00:00" u="1"/>
        <d v="2020-11-16T00:00:00" u="1"/>
        <d v="2020-10-30T00:00:00" u="1"/>
        <d v="2020-11-09T00:00:00" u="1"/>
        <d v="2020-10-23T00:00:00" u="1"/>
        <d v="2020-11-28T00:00:00" u="1"/>
        <d v="2020-11-02T00:00:00" u="1"/>
        <d v="2020-10-16T00:00:00" u="1"/>
        <d v="2020-11-21T00:00:00" u="1"/>
        <d v="2020-11-14T00:00:00" u="1"/>
        <d v="2020-10-28T00:00:00" u="1"/>
        <d v="2020-11-07T00:00:00" u="1"/>
        <d v="2020-10-21T00:00:00" u="1"/>
        <d v="2020-11-26T00:00:00" u="1"/>
        <d v="2020-10-14T00:00:00" u="1"/>
        <d v="2020-11-19T00:00:00" u="1"/>
        <d v="2020-11-12T00:00:00" u="1"/>
        <d v="2020-10-26T00:00:00" u="1"/>
        <d v="2020-11-05T00:00:00" u="1"/>
        <d v="2020-10-19T00:00:00" u="1"/>
        <d v="2020-11-24T00:00:00" u="1"/>
        <d v="2020-10-12T00:00:00" u="1"/>
        <d v="2020-12-03T00:00:00" u="1"/>
        <d v="2020-11-17T00:00:00" u="1"/>
        <d v="2020-10-31T00:00:00" u="1"/>
        <d v="2020-11-10T00:00:00" u="1"/>
        <d v="2020-10-24T00:00:00" u="1"/>
        <d v="2020-11-29T00:00:00" u="1"/>
        <d v="2020-11-03T00:00:00" u="1"/>
        <d v="2020-10-17T00:00:00" u="1"/>
        <d v="2020-11-22T00:00:00" u="1"/>
        <d v="2020-12-01T00:00:00" u="1"/>
        <d v="2020-11-15T00:00:00" u="1"/>
        <d v="2020-10-29T00:00:00" u="1"/>
        <d v="2020-11-08T00:00:00" u="1"/>
        <d v="2020-10-22T00:00:00" u="1"/>
        <d v="2020-11-27T00:00:00" u="1"/>
        <d v="2020-11-01T00:00:00" u="1"/>
        <d v="2020-10-15T00:00:00" u="1"/>
        <d v="2020-11-20T00:00:00" u="1"/>
        <d v="2020-11-13T00:00:00" u="1"/>
        <d v="2020-10-27T00:00:00" u="1"/>
        <d v="2020-11-06T00:00:00" u="1"/>
        <d v="2020-10-20T00:00:00" u="1"/>
        <d v="2020-11-25T00:00:00" u="1"/>
        <d v="2020-10-13T00:00:00" u="1"/>
        <d v="2020-12-04T00:00:00" u="1"/>
        <d v="2020-11-18T00:00:00" u="1"/>
      </sharedItems>
    </cacheField>
    <cacheField name="Area_Sanitaria" numFmtId="0">
      <sharedItems/>
    </cacheField>
    <cacheField name="TotalNuevosCasos" numFmtId="0">
      <sharedItems containsSemiMixedTypes="0" containsString="0" containsNumber="1" containsInteger="1" minValue="47" maxValue="301"/>
    </cacheField>
    <cacheField name="FallecidosAcum" numFmtId="0">
      <sharedItems containsSemiMixedTypes="0" containsString="0" containsNumber="1" containsInteger="1" minValue="170" maxValue="290"/>
    </cacheField>
    <cacheField name="historico_CifrasTotales.Casos_Confirmados_PCR_Ultimas24h" numFmtId="0">
      <sharedItems containsSemiMixedTypes="0" containsString="0" containsNumber="1" containsInteger="1" minValue="37" maxValue="253"/>
    </cacheField>
    <cacheField name="historico_CifrasTotales.Pacientes_Sin_Alta" numFmtId="0">
      <sharedItems containsSemiMixedTypes="0" containsString="0" containsNumber="1" containsInteger="1" minValue="783" maxValue="3445"/>
    </cacheField>
    <cacheField name="historico_CifrasTotales.Pacientes_Con_Alta" numFmtId="0">
      <sharedItems containsSemiMixedTypes="0" containsString="0" containsNumber="1" containsInteger="1" minValue="7076" maxValue="13673"/>
    </cacheField>
    <cacheField name="historico_CifrasTotales.Camas_Ocupadas_HOS" numFmtId="0">
      <sharedItems containsSemiMixedTypes="0" containsString="0" containsNumber="1" containsInteger="1" minValue="36" maxValue="156"/>
    </cacheField>
    <cacheField name="historico_CifrasTotales.Camas_Ocupadas_UCI" numFmtId="0">
      <sharedItems containsSemiMixedTypes="0" containsString="0" containsNumber="1" containsInteger="1" minValue="5" maxValue="47"/>
    </cacheField>
    <cacheField name="historico_CifrasTotales.Probas_Realizadas_PCR" numFmtId="0">
      <sharedItems containsSemiMixedTypes="0" containsString="0" containsNumber="1" containsInteger="1" minValue="149227" maxValue="266298"/>
    </cacheField>
    <cacheField name="historico_CifrasTotales.Probas_Realizadas_Non_PCR" numFmtId="0">
      <sharedItems containsSemiMixedTypes="0" containsString="0" containsNumber="1" containsInteger="1" minValue="87756" maxValue="118743"/>
    </cacheField>
    <cacheField name="FallecidosAcumOld" numFmtId="0">
      <sharedItems containsSemiMixedTypes="0" containsString="0" containsNumber="1" containsInteger="1" minValue="170" maxValue="286"/>
    </cacheField>
    <cacheField name="IncrementoActivos" numFmtId="0">
      <sharedItems containsSemiMixedTypes="0" containsString="0" containsNumber="1" containsInteger="1" minValue="-160" maxValue="194"/>
    </cacheField>
    <cacheField name="Camas_Ocupadas_HOS" numFmtId="0">
      <sharedItems containsSemiMixedTypes="0" containsString="0" containsNumber="1" containsInteger="1" minValue="43" maxValue="156"/>
    </cacheField>
    <cacheField name="Camas_Ocupadas_UCI" numFmtId="0">
      <sharedItems containsSemiMixedTypes="0" containsString="0" containsNumber="1" containsInteger="1" minValue="5" maxValue="47"/>
    </cacheField>
    <cacheField name="PCR_Dia" numFmtId="0">
      <sharedItems containsSemiMixedTypes="0" containsString="0" containsNumber="1" containsInteger="1" minValue="583" maxValue="3972"/>
    </cacheField>
    <cacheField name="Serologicas_Dia" numFmtId="0">
      <sharedItems containsSemiMixedTypes="0" containsString="0" containsNumber="1" containsInteger="1" minValue="57" maxValue="4719"/>
    </cacheField>
    <cacheField name="ActivosRatioIncremento" numFmtId="0">
      <sharedItems containsSemiMixedTypes="0" containsString="0" containsNumber="1" minValue="0.94973295633050581" maxValue="1.0876730388925511"/>
    </cacheField>
    <cacheField name="NuevasAltas" numFmtId="0">
      <sharedItems containsSemiMixedTypes="0" containsString="0" containsNumber="1" containsInteger="1" minValue="24" maxValue="282"/>
    </cacheField>
    <cacheField name="FechaOrd" numFmtId="0">
      <sharedItems/>
    </cacheField>
    <cacheField name="Pruebas_Dia" numFmtId="0">
      <sharedItems containsSemiMixedTypes="0" containsString="0" containsNumber="1" containsInteger="1" minValue="735" maxValue="6779"/>
    </cacheField>
    <cacheField name="Positividad" numFmtId="0">
      <sharedItems containsSemiMixedTypes="0" containsString="0" containsNumber="1" minValue="1.0768549933618501E-2" maxValue="0.15302218821729199"/>
    </cacheField>
    <cacheField name="IncFallecidos" numFmtId="0">
      <sharedItems containsSemiMixedTypes="0" containsString="0" containsNumber="1" containsInteger="1" minValue="0" maxValue="9"/>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35.480261805555" createdVersion="6" refreshedVersion="6" minRefreshableVersion="3" recordCount="65" xr:uid="{CFCD54FF-3BCE-4B1C-8E19-4A85AEFC640C}">
  <cacheSource type="worksheet">
    <worksheetSource name="AS_Pontevedra"/>
  </cacheSource>
  <cacheFields count="23">
    <cacheField name="Dia" numFmtId="14">
      <sharedItems containsSemiMixedTypes="0" containsNonDate="0" containsDate="1" containsString="0" minDate="2020-10-11T00:00:00" maxDate="2021-02-08T00:00:00" count="120">
        <d v="2020-12-05T00:00:00"/>
        <d v="2020-12-06T00:00:00"/>
        <d v="2020-12-07T00:00:00"/>
        <d v="2020-12-08T00:00:00"/>
        <d v="2020-12-09T00:00:00"/>
        <d v="2020-12-10T00:00:00"/>
        <d v="2020-12-11T00:00:00"/>
        <d v="2020-12-12T00:00:00"/>
        <d v="2020-12-13T00:00:00"/>
        <d v="2020-12-14T00:00:00"/>
        <d v="2020-12-15T00:00:00"/>
        <d v="2020-12-16T00:00:00"/>
        <d v="2020-12-17T00:00:00"/>
        <d v="2020-12-18T00:00:00"/>
        <d v="2020-12-19T00:00:00"/>
        <d v="2020-12-20T00:00:00"/>
        <d v="2020-12-21T00:00:00"/>
        <d v="2020-12-22T00:00:00"/>
        <d v="2020-12-23T00:00:00"/>
        <d v="2020-12-24T00:00:00"/>
        <d v="2020-12-25T00:00:00"/>
        <d v="2020-12-26T00:00:00"/>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0-11-11T00:00:00" u="1"/>
        <d v="2020-10-25T00:00:00" u="1"/>
        <d v="2020-11-30T00:00:00" u="1"/>
        <d v="2020-11-04T00:00:00" u="1"/>
        <d v="2020-10-18T00:00:00" u="1"/>
        <d v="2020-11-23T00:00:00" u="1"/>
        <d v="2020-10-11T00:00:00" u="1"/>
        <d v="2020-12-02T00:00:00" u="1"/>
        <d v="2020-11-16T00:00:00" u="1"/>
        <d v="2020-10-30T00:00:00" u="1"/>
        <d v="2020-11-09T00:00:00" u="1"/>
        <d v="2020-10-23T00:00:00" u="1"/>
        <d v="2020-11-28T00:00:00" u="1"/>
        <d v="2020-11-02T00:00:00" u="1"/>
        <d v="2020-10-16T00:00:00" u="1"/>
        <d v="2020-11-21T00:00:00" u="1"/>
        <d v="2020-11-14T00:00:00" u="1"/>
        <d v="2020-10-28T00:00:00" u="1"/>
        <d v="2020-11-07T00:00:00" u="1"/>
        <d v="2020-10-21T00:00:00" u="1"/>
        <d v="2020-11-26T00:00:00" u="1"/>
        <d v="2020-10-14T00:00:00" u="1"/>
        <d v="2020-11-19T00:00:00" u="1"/>
        <d v="2020-11-12T00:00:00" u="1"/>
        <d v="2020-10-26T00:00:00" u="1"/>
        <d v="2020-11-05T00:00:00" u="1"/>
        <d v="2020-10-19T00:00:00" u="1"/>
        <d v="2020-11-24T00:00:00" u="1"/>
        <d v="2020-10-12T00:00:00" u="1"/>
        <d v="2020-12-03T00:00:00" u="1"/>
        <d v="2020-11-17T00:00:00" u="1"/>
        <d v="2020-10-31T00:00:00" u="1"/>
        <d v="2020-11-10T00:00:00" u="1"/>
        <d v="2020-10-24T00:00:00" u="1"/>
        <d v="2020-11-29T00:00:00" u="1"/>
        <d v="2020-11-03T00:00:00" u="1"/>
        <d v="2020-10-17T00:00:00" u="1"/>
        <d v="2020-11-22T00:00:00" u="1"/>
        <d v="2020-12-01T00:00:00" u="1"/>
        <d v="2020-11-15T00:00:00" u="1"/>
        <d v="2020-10-29T00:00:00" u="1"/>
        <d v="2020-11-08T00:00:00" u="1"/>
        <d v="2020-10-22T00:00:00" u="1"/>
        <d v="2020-11-27T00:00:00" u="1"/>
        <d v="2020-11-01T00:00:00" u="1"/>
        <d v="2020-10-15T00:00:00" u="1"/>
        <d v="2020-11-20T00:00:00" u="1"/>
        <d v="2020-11-13T00:00:00" u="1"/>
        <d v="2020-10-27T00:00:00" u="1"/>
        <d v="2020-11-06T00:00:00" u="1"/>
        <d v="2020-10-20T00:00:00" u="1"/>
        <d v="2020-11-25T00:00:00" u="1"/>
        <d v="2020-10-13T00:00:00" u="1"/>
        <d v="2020-12-04T00:00:00" u="1"/>
        <d v="2020-11-18T00:00:00" u="1"/>
      </sharedItems>
    </cacheField>
    <cacheField name="Area_Sanitaria" numFmtId="0">
      <sharedItems/>
    </cacheField>
    <cacheField name="TotalNuevosCasos" numFmtId="0">
      <sharedItems containsSemiMixedTypes="0" containsString="0" containsNumber="1" containsInteger="1" minValue="26" maxValue="216"/>
    </cacheField>
    <cacheField name="FallecidosAcum" numFmtId="0">
      <sharedItems containsSemiMixedTypes="0" containsString="0" containsNumber="1" containsInteger="1" minValue="60" maxValue="128"/>
    </cacheField>
    <cacheField name="historico_CifrasTotales.Casos_Confirmados_PCR_Ultimas24h" numFmtId="0">
      <sharedItems containsSemiMixedTypes="0" containsString="0" containsNumber="1" containsInteger="1" minValue="16" maxValue="192"/>
    </cacheField>
    <cacheField name="historico_CifrasTotales.Pacientes_Sin_Alta" numFmtId="0">
      <sharedItems containsSemiMixedTypes="0" containsString="0" containsNumber="1" containsInteger="1" minValue="710" maxValue="2613"/>
    </cacheField>
    <cacheField name="historico_CifrasTotales.Pacientes_Con_Alta" numFmtId="0">
      <sharedItems containsSemiMixedTypes="0" containsString="0" containsNumber="1" containsInteger="1" minValue="4585" maxValue="8598"/>
    </cacheField>
    <cacheField name="historico_CifrasTotales.Camas_Ocupadas_HOS" numFmtId="0">
      <sharedItems containsSemiMixedTypes="0" containsString="0" containsNumber="1" containsInteger="1" minValue="32" maxValue="131"/>
    </cacheField>
    <cacheField name="historico_CifrasTotales.Camas_Ocupadas_UCI" numFmtId="0">
      <sharedItems containsSemiMixedTypes="0" containsString="0" containsNumber="1" containsInteger="1" minValue="6" maxValue="31"/>
    </cacheField>
    <cacheField name="historico_CifrasTotales.Probas_Realizadas_PCR" numFmtId="0">
      <sharedItems containsSemiMixedTypes="0" containsString="0" containsNumber="1" containsInteger="1" minValue="94462" maxValue="149151"/>
    </cacheField>
    <cacheField name="historico_CifrasTotales.Probas_Realizadas_Non_PCR" numFmtId="0">
      <sharedItems containsSemiMixedTypes="0" containsString="0" containsNumber="1" containsInteger="1" minValue="43668" maxValue="62678"/>
    </cacheField>
    <cacheField name="FallecidosAcumOld" numFmtId="0">
      <sharedItems containsSemiMixedTypes="0" containsString="0" containsNumber="1" containsInteger="1" minValue="59" maxValue="128"/>
    </cacheField>
    <cacheField name="IncrementoActivos" numFmtId="0">
      <sharedItems containsSemiMixedTypes="0" containsString="0" containsNumber="1" containsInteger="1" minValue="-72" maxValue="179"/>
    </cacheField>
    <cacheField name="Camas_Ocupadas_HOS" numFmtId="0">
      <sharedItems containsSemiMixedTypes="0" containsString="0" containsNumber="1" containsInteger="1" minValue="32" maxValue="131"/>
    </cacheField>
    <cacheField name="Camas_Ocupadas_UCI" numFmtId="0">
      <sharedItems containsSemiMixedTypes="0" containsString="0" containsNumber="1" containsInteger="1" minValue="6" maxValue="31"/>
    </cacheField>
    <cacheField name="PCR_Dia" numFmtId="0">
      <sharedItems containsSemiMixedTypes="0" containsString="0" containsNumber="1" containsInteger="1" minValue="288" maxValue="1653"/>
    </cacheField>
    <cacheField name="Serologicas_Dia" numFmtId="0">
      <sharedItems containsSemiMixedTypes="0" containsString="0" containsNumber="1" containsInteger="1" minValue="35" maxValue="2261"/>
    </cacheField>
    <cacheField name="ActivosRatioIncremento" numFmtId="0">
      <sharedItems containsSemiMixedTypes="0" containsString="0" containsNumber="1" minValue="0.91849935316946962" maxValue="1.1497907949790795"/>
    </cacheField>
    <cacheField name="NuevasAltas" numFmtId="0">
      <sharedItems containsSemiMixedTypes="0" containsString="0" containsNumber="1" containsInteger="1" minValue="20" maxValue="195"/>
    </cacheField>
    <cacheField name="FechaOrd" numFmtId="0">
      <sharedItems/>
    </cacheField>
    <cacheField name="Pruebas_Dia" numFmtId="0">
      <sharedItems containsSemiMixedTypes="0" containsString="0" containsNumber="1" containsInteger="1" minValue="376" maxValue="3430"/>
    </cacheField>
    <cacheField name="Positividad" numFmtId="0">
      <sharedItems containsSemiMixedTypes="0" containsString="0" containsNumber="1" minValue="2.57731958762887E-2" maxValue="0.16351118760757299"/>
    </cacheField>
    <cacheField name="IncFallecidos" numFmtId="0">
      <sharedItems containsSemiMixedTypes="0" containsString="0" containsNumber="1" containsInteger="1" minValue="0" maxValue="5"/>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35.480261921293" createdVersion="6" refreshedVersion="6" minRefreshableVersion="3" recordCount="65" xr:uid="{E495530D-B367-45F7-8CB2-D01E588241D6}">
  <cacheSource type="worksheet">
    <worksheetSource name="AS_Lugo"/>
  </cacheSource>
  <cacheFields count="23">
    <cacheField name="Dia" numFmtId="14">
      <sharedItems containsSemiMixedTypes="0" containsNonDate="0" containsDate="1" containsString="0" minDate="2020-10-11T00:00:00" maxDate="2021-02-08T00:00:00" count="120">
        <d v="2020-12-05T00:00:00"/>
        <d v="2020-12-06T00:00:00"/>
        <d v="2020-12-07T00:00:00"/>
        <d v="2020-12-08T00:00:00"/>
        <d v="2020-12-09T00:00:00"/>
        <d v="2020-12-10T00:00:00"/>
        <d v="2020-12-11T00:00:00"/>
        <d v="2020-12-12T00:00:00"/>
        <d v="2020-12-13T00:00:00"/>
        <d v="2020-12-14T00:00:00"/>
        <d v="2020-12-15T00:00:00"/>
        <d v="2020-12-16T00:00:00"/>
        <d v="2020-12-17T00:00:00"/>
        <d v="2020-12-18T00:00:00"/>
        <d v="2020-12-19T00:00:00"/>
        <d v="2020-12-20T00:00:00"/>
        <d v="2020-12-21T00:00:00"/>
        <d v="2020-12-22T00:00:00"/>
        <d v="2020-12-23T00:00:00"/>
        <d v="2020-12-24T00:00:00"/>
        <d v="2020-12-25T00:00:00"/>
        <d v="2020-12-26T00:00:00"/>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0-11-11T00:00:00" u="1"/>
        <d v="2020-10-25T00:00:00" u="1"/>
        <d v="2020-11-30T00:00:00" u="1"/>
        <d v="2020-11-04T00:00:00" u="1"/>
        <d v="2020-10-18T00:00:00" u="1"/>
        <d v="2020-11-23T00:00:00" u="1"/>
        <d v="2020-10-11T00:00:00" u="1"/>
        <d v="2020-12-02T00:00:00" u="1"/>
        <d v="2020-11-16T00:00:00" u="1"/>
        <d v="2020-10-30T00:00:00" u="1"/>
        <d v="2020-11-09T00:00:00" u="1"/>
        <d v="2020-10-23T00:00:00" u="1"/>
        <d v="2020-11-28T00:00:00" u="1"/>
        <d v="2020-11-02T00:00:00" u="1"/>
        <d v="2020-10-16T00:00:00" u="1"/>
        <d v="2020-11-21T00:00:00" u="1"/>
        <d v="2020-11-14T00:00:00" u="1"/>
        <d v="2020-10-28T00:00:00" u="1"/>
        <d v="2020-11-07T00:00:00" u="1"/>
        <d v="2020-10-21T00:00:00" u="1"/>
        <d v="2020-11-26T00:00:00" u="1"/>
        <d v="2020-10-14T00:00:00" u="1"/>
        <d v="2020-11-19T00:00:00" u="1"/>
        <d v="2020-11-12T00:00:00" u="1"/>
        <d v="2020-10-26T00:00:00" u="1"/>
        <d v="2020-11-05T00:00:00" u="1"/>
        <d v="2020-10-19T00:00:00" u="1"/>
        <d v="2020-11-24T00:00:00" u="1"/>
        <d v="2020-10-12T00:00:00" u="1"/>
        <d v="2020-12-03T00:00:00" u="1"/>
        <d v="2020-11-17T00:00:00" u="1"/>
        <d v="2020-10-31T00:00:00" u="1"/>
        <d v="2020-11-10T00:00:00" u="1"/>
        <d v="2020-10-24T00:00:00" u="1"/>
        <d v="2020-11-29T00:00:00" u="1"/>
        <d v="2020-11-03T00:00:00" u="1"/>
        <d v="2020-10-17T00:00:00" u="1"/>
        <d v="2020-11-22T00:00:00" u="1"/>
        <d v="2020-12-01T00:00:00" u="1"/>
        <d v="2020-11-15T00:00:00" u="1"/>
        <d v="2020-10-29T00:00:00" u="1"/>
        <d v="2020-11-08T00:00:00" u="1"/>
        <d v="2020-10-22T00:00:00" u="1"/>
        <d v="2020-11-27T00:00:00" u="1"/>
        <d v="2020-11-01T00:00:00" u="1"/>
        <d v="2020-10-15T00:00:00" u="1"/>
        <d v="2020-11-20T00:00:00" u="1"/>
        <d v="2020-11-13T00:00:00" u="1"/>
        <d v="2020-10-27T00:00:00" u="1"/>
        <d v="2020-11-06T00:00:00" u="1"/>
        <d v="2020-10-20T00:00:00" u="1"/>
        <d v="2020-11-25T00:00:00" u="1"/>
        <d v="2020-10-13T00:00:00" u="1"/>
        <d v="2020-12-04T00:00:00" u="1"/>
        <d v="2020-11-18T00:00:00" u="1"/>
      </sharedItems>
    </cacheField>
    <cacheField name="Area_Sanitaria" numFmtId="0">
      <sharedItems/>
    </cacheField>
    <cacheField name="TotalNuevosCasos" numFmtId="0">
      <sharedItems containsSemiMixedTypes="0" containsString="0" containsNumber="1" containsInteger="1" minValue="11" maxValue="211"/>
    </cacheField>
    <cacheField name="FallecidosAcum" numFmtId="0">
      <sharedItems containsSemiMixedTypes="0" containsString="0" containsNumber="1" containsInteger="1" minValue="132" maxValue="182"/>
    </cacheField>
    <cacheField name="historico_CifrasTotales.Casos_Confirmados_PCR_Ultimas24h" numFmtId="0">
      <sharedItems containsSemiMixedTypes="0" containsString="0" containsNumber="1" containsInteger="1" minValue="7" maxValue="184"/>
    </cacheField>
    <cacheField name="historico_CifrasTotales.Pacientes_Sin_Alta" numFmtId="0">
      <sharedItems containsSemiMixedTypes="0" containsString="0" containsNumber="1" containsInteger="1" minValue="356" maxValue="2135"/>
    </cacheField>
    <cacheField name="historico_CifrasTotales.Pacientes_Con_Alta" numFmtId="0">
      <sharedItems containsSemiMixedTypes="0" containsString="0" containsNumber="1" containsInteger="1" minValue="5464" maxValue="8815"/>
    </cacheField>
    <cacheField name="historico_CifrasTotales.Camas_Ocupadas_HOS" numFmtId="0">
      <sharedItems containsSemiMixedTypes="0" containsString="0" containsNumber="1" containsInteger="1" minValue="9" maxValue="70"/>
    </cacheField>
    <cacheField name="historico_CifrasTotales.Camas_Ocupadas_UCI" numFmtId="0">
      <sharedItems containsSemiMixedTypes="0" containsString="0" containsNumber="1" containsInteger="1" minValue="0" maxValue="30"/>
    </cacheField>
    <cacheField name="historico_CifrasTotales.Probas_Realizadas_PCR" numFmtId="0">
      <sharedItems containsSemiMixedTypes="0" containsString="0" containsNumber="1" containsInteger="1" minValue="106206" maxValue="167559"/>
    </cacheField>
    <cacheField name="historico_CifrasTotales.Probas_Realizadas_Non_PCR" numFmtId="0">
      <sharedItems containsSemiMixedTypes="0" containsString="0" containsNumber="1" containsInteger="1" minValue="72531" maxValue="86144"/>
    </cacheField>
    <cacheField name="FallecidosAcumOld" numFmtId="0">
      <sharedItems containsSemiMixedTypes="0" containsString="0" containsNumber="1" containsInteger="1" minValue="130" maxValue="180"/>
    </cacheField>
    <cacheField name="IncrementoActivos" numFmtId="0">
      <sharedItems containsSemiMixedTypes="0" containsString="0" containsNumber="1" containsInteger="1" minValue="-147" maxValue="156"/>
    </cacheField>
    <cacheField name="Camas_Ocupadas_HOS" numFmtId="0">
      <sharedItems containsSemiMixedTypes="0" containsString="0" containsNumber="1" containsInteger="1" minValue="9" maxValue="70"/>
    </cacheField>
    <cacheField name="Camas_Ocupadas_UCI" numFmtId="0">
      <sharedItems containsSemiMixedTypes="0" containsString="0" containsNumber="1" containsInteger="1" minValue="0" maxValue="30"/>
    </cacheField>
    <cacheField name="PCR_Dia" numFmtId="0">
      <sharedItems containsSemiMixedTypes="0" containsString="0" containsNumber="1" containsInteger="1" minValue="245" maxValue="1616"/>
    </cacheField>
    <cacheField name="Serologicas_Dia" numFmtId="0">
      <sharedItems containsSemiMixedTypes="0" containsString="0" containsNumber="1" containsInteger="1" minValue="32" maxValue="681"/>
    </cacheField>
    <cacheField name="ActivosRatioIncremento" numFmtId="0">
      <sharedItems containsSemiMixedTypes="0" containsString="0" containsNumber="1" minValue="0.80933852140077822" maxValue="1.1166134185303513"/>
    </cacheField>
    <cacheField name="NuevasAltas" numFmtId="0">
      <sharedItems containsSemiMixedTypes="0" containsString="0" containsNumber="1" containsInteger="1" minValue="13" maxValue="184"/>
    </cacheField>
    <cacheField name="FechaOrd" numFmtId="0">
      <sharedItems/>
    </cacheField>
    <cacheField name="Pruebas_Dia" numFmtId="0">
      <sharedItems containsSemiMixedTypes="0" containsString="0" containsNumber="1" containsInteger="1" minValue="315" maxValue="2041"/>
    </cacheField>
    <cacheField name="Positividad" numFmtId="0">
      <sharedItems containsSemiMixedTypes="0" containsString="0" containsNumber="1" minValue="1.4332965821389199E-2" maxValue="0.106200122774708"/>
    </cacheField>
    <cacheField name="IncFallecidos" numFmtId="0">
      <sharedItems containsSemiMixedTypes="0" containsString="0" containsNumber="1" containsInteger="1" minValue="0" maxValue="5"/>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35.480262037039" createdVersion="6" refreshedVersion="6" minRefreshableVersion="3" recordCount="65" xr:uid="{C5D281B0-DCD3-4207-945F-DA81E98B0DDD}">
  <cacheSource type="worksheet">
    <worksheetSource name="AS_Ourense"/>
  </cacheSource>
  <cacheFields count="23">
    <cacheField name="Dia" numFmtId="14">
      <sharedItems containsSemiMixedTypes="0" containsNonDate="0" containsDate="1" containsString="0" minDate="2020-10-11T00:00:00" maxDate="2021-02-08T00:00:00" count="120">
        <d v="2020-12-05T00:00:00"/>
        <d v="2020-12-06T00:00:00"/>
        <d v="2020-12-07T00:00:00"/>
        <d v="2020-12-08T00:00:00"/>
        <d v="2020-12-09T00:00:00"/>
        <d v="2020-12-10T00:00:00"/>
        <d v="2020-12-11T00:00:00"/>
        <d v="2020-12-12T00:00:00"/>
        <d v="2020-12-13T00:00:00"/>
        <d v="2020-12-14T00:00:00"/>
        <d v="2020-12-15T00:00:00"/>
        <d v="2020-12-16T00:00:00"/>
        <d v="2020-12-17T00:00:00"/>
        <d v="2020-12-18T00:00:00"/>
        <d v="2020-12-19T00:00:00"/>
        <d v="2020-12-20T00:00:00"/>
        <d v="2020-12-21T00:00:00"/>
        <d v="2020-12-22T00:00:00"/>
        <d v="2020-12-23T00:00:00"/>
        <d v="2020-12-24T00:00:00"/>
        <d v="2020-12-25T00:00:00"/>
        <d v="2020-12-26T00:00:00"/>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0-11-11T00:00:00" u="1"/>
        <d v="2020-10-25T00:00:00" u="1"/>
        <d v="2020-11-30T00:00:00" u="1"/>
        <d v="2020-11-04T00:00:00" u="1"/>
        <d v="2020-10-18T00:00:00" u="1"/>
        <d v="2020-11-23T00:00:00" u="1"/>
        <d v="2020-10-11T00:00:00" u="1"/>
        <d v="2020-12-02T00:00:00" u="1"/>
        <d v="2020-11-16T00:00:00" u="1"/>
        <d v="2020-10-30T00:00:00" u="1"/>
        <d v="2020-11-09T00:00:00" u="1"/>
        <d v="2020-10-23T00:00:00" u="1"/>
        <d v="2020-11-28T00:00:00" u="1"/>
        <d v="2020-11-02T00:00:00" u="1"/>
        <d v="2020-10-16T00:00:00" u="1"/>
        <d v="2020-11-21T00:00:00" u="1"/>
        <d v="2020-11-14T00:00:00" u="1"/>
        <d v="2020-10-28T00:00:00" u="1"/>
        <d v="2020-11-07T00:00:00" u="1"/>
        <d v="2020-10-21T00:00:00" u="1"/>
        <d v="2020-11-26T00:00:00" u="1"/>
        <d v="2020-10-14T00:00:00" u="1"/>
        <d v="2020-11-19T00:00:00" u="1"/>
        <d v="2020-11-12T00:00:00" u="1"/>
        <d v="2020-10-26T00:00:00" u="1"/>
        <d v="2020-11-05T00:00:00" u="1"/>
        <d v="2020-10-19T00:00:00" u="1"/>
        <d v="2020-11-24T00:00:00" u="1"/>
        <d v="2020-10-12T00:00:00" u="1"/>
        <d v="2020-12-03T00:00:00" u="1"/>
        <d v="2020-11-17T00:00:00" u="1"/>
        <d v="2020-10-31T00:00:00" u="1"/>
        <d v="2020-11-10T00:00:00" u="1"/>
        <d v="2020-10-24T00:00:00" u="1"/>
        <d v="2020-11-29T00:00:00" u="1"/>
        <d v="2020-11-03T00:00:00" u="1"/>
        <d v="2020-10-17T00:00:00" u="1"/>
        <d v="2020-11-22T00:00:00" u="1"/>
        <d v="2020-12-01T00:00:00" u="1"/>
        <d v="2020-11-15T00:00:00" u="1"/>
        <d v="2020-10-29T00:00:00" u="1"/>
        <d v="2020-11-08T00:00:00" u="1"/>
        <d v="2020-10-22T00:00:00" u="1"/>
        <d v="2020-11-27T00:00:00" u="1"/>
        <d v="2020-11-01T00:00:00" u="1"/>
        <d v="2020-10-15T00:00:00" u="1"/>
        <d v="2020-11-20T00:00:00" u="1"/>
        <d v="2020-11-13T00:00:00" u="1"/>
        <d v="2020-10-27T00:00:00" u="1"/>
        <d v="2020-11-06T00:00:00" u="1"/>
        <d v="2020-10-20T00:00:00" u="1"/>
        <d v="2020-11-25T00:00:00" u="1"/>
        <d v="2020-10-13T00:00:00" u="1"/>
        <d v="2020-12-04T00:00:00" u="1"/>
        <d v="2020-11-18T00:00:00" u="1"/>
      </sharedItems>
    </cacheField>
    <cacheField name="Area_Sanitaria" numFmtId="0">
      <sharedItems/>
    </cacheField>
    <cacheField name="TotalNuevosCasos" numFmtId="0">
      <sharedItems containsSemiMixedTypes="0" containsString="0" containsNumber="1" containsInteger="1" minValue="12" maxValue="264"/>
    </cacheField>
    <cacheField name="FallecidosAcum" numFmtId="0">
      <sharedItems containsSemiMixedTypes="0" containsString="0" containsNumber="1" containsInteger="1" minValue="295" maxValue="380"/>
    </cacheField>
    <cacheField name="historico_CifrasTotales.Casos_Confirmados_PCR_Ultimas24h" numFmtId="0">
      <sharedItems containsSemiMixedTypes="0" containsString="0" containsNumber="1" containsInteger="1" minValue="9" maxValue="193"/>
    </cacheField>
    <cacheField name="historico_CifrasTotales.Pacientes_Sin_Alta" numFmtId="0">
      <sharedItems containsSemiMixedTypes="0" containsString="0" containsNumber="1" containsInteger="1" minValue="364" maxValue="2989"/>
    </cacheField>
    <cacheField name="historico_CifrasTotales.Pacientes_Con_Alta" numFmtId="0">
      <sharedItems containsSemiMixedTypes="0" containsString="0" containsNumber="1" containsInteger="1" minValue="6937" maxValue="11309"/>
    </cacheField>
    <cacheField name="historico_CifrasTotales.Camas_Ocupadas_HOS" numFmtId="0">
      <sharedItems containsSemiMixedTypes="0" containsString="0" containsNumber="1" containsInteger="1" minValue="18" maxValue="185"/>
    </cacheField>
    <cacheField name="historico_CifrasTotales.Camas_Ocupadas_UCI" numFmtId="0">
      <sharedItems containsSemiMixedTypes="0" containsString="0" containsNumber="1" containsInteger="1" minValue="1" maxValue="18"/>
    </cacheField>
    <cacheField name="historico_CifrasTotales.Probas_Realizadas_PCR" numFmtId="0">
      <sharedItems containsSemiMixedTypes="0" containsString="0" containsNumber="1" containsInteger="1" minValue="117423" maxValue="185429"/>
    </cacheField>
    <cacheField name="historico_CifrasTotales.Probas_Realizadas_Non_PCR" numFmtId="0">
      <sharedItems containsSemiMixedTypes="0" containsString="0" containsNumber="1" containsInteger="1" minValue="65171" maxValue="90682"/>
    </cacheField>
    <cacheField name="FallecidosAcumOld" numFmtId="0">
      <sharedItems containsSemiMixedTypes="0" containsString="0" containsNumber="1" containsInteger="1" minValue="294" maxValue="378"/>
    </cacheField>
    <cacheField name="IncrementoActivos" numFmtId="0">
      <sharedItems containsSemiMixedTypes="0" containsString="0" containsNumber="1" containsInteger="1" minValue="-169" maxValue="162"/>
    </cacheField>
    <cacheField name="Camas_Ocupadas_HOS" numFmtId="0">
      <sharedItems containsSemiMixedTypes="0" containsString="0" containsNumber="1" containsInteger="1" minValue="18" maxValue="185"/>
    </cacheField>
    <cacheField name="Camas_Ocupadas_UCI" numFmtId="0">
      <sharedItems containsSemiMixedTypes="0" containsString="0" containsNumber="1" containsInteger="1" minValue="1" maxValue="20"/>
    </cacheField>
    <cacheField name="PCR_Dia" numFmtId="0">
      <sharedItems containsSemiMixedTypes="0" containsString="0" containsNumber="1" containsInteger="1" minValue="251" maxValue="2193"/>
    </cacheField>
    <cacheField name="Serologicas_Dia" numFmtId="0">
      <sharedItems containsSemiMixedTypes="0" containsString="0" containsNumber="1" containsInteger="1" minValue="40" maxValue="3020"/>
    </cacheField>
    <cacheField name="ActivosRatioIncremento" numFmtId="0">
      <sharedItems containsSemiMixedTypes="0" containsString="0" containsNumber="1" minValue="0.92984640929846407" maxValue="1.1074380165289257"/>
    </cacheField>
    <cacheField name="NuevasAltas" numFmtId="0">
      <sharedItems containsSemiMixedTypes="0" containsString="0" containsNumber="1" containsInteger="1" minValue="9" maxValue="261"/>
    </cacheField>
    <cacheField name="FechaOrd" numFmtId="0">
      <sharedItems/>
    </cacheField>
    <cacheField name="Pruebas_Dia" numFmtId="0">
      <sharedItems containsSemiMixedTypes="0" containsString="0" containsNumber="1" containsInteger="1" minValue="317" maxValue="4427"/>
    </cacheField>
    <cacheField name="Positividad" numFmtId="0">
      <sharedItems containsSemiMixedTypes="0" containsString="0" containsNumber="1" minValue="9.8441345365053307E-3" maxValue="0.16043119847812301"/>
    </cacheField>
    <cacheField name="IncFallecidos" numFmtId="0">
      <sharedItems containsSemiMixedTypes="0" containsString="0" containsNumber="1" containsInteger="1" minValue="0" maxValue="7"/>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35.480262152778" createdVersion="6" refreshedVersion="6" minRefreshableVersion="3" recordCount="65" xr:uid="{28526362-EE56-4EBD-9D43-38ED737D86EC}">
  <cacheSource type="worksheet">
    <worksheetSource name="AS_Ferrol"/>
  </cacheSource>
  <cacheFields count="23">
    <cacheField name="Dia" numFmtId="14">
      <sharedItems containsSemiMixedTypes="0" containsNonDate="0" containsDate="1" containsString="0" minDate="2020-10-11T00:00:00" maxDate="2021-02-08T00:00:00" count="120">
        <d v="2020-12-05T00:00:00"/>
        <d v="2020-12-06T00:00:00"/>
        <d v="2020-12-07T00:00:00"/>
        <d v="2020-12-08T00:00:00"/>
        <d v="2020-12-09T00:00:00"/>
        <d v="2020-12-10T00:00:00"/>
        <d v="2020-12-11T00:00:00"/>
        <d v="2020-12-12T00:00:00"/>
        <d v="2020-12-13T00:00:00"/>
        <d v="2020-12-14T00:00:00"/>
        <d v="2020-12-15T00:00:00"/>
        <d v="2020-12-16T00:00:00"/>
        <d v="2020-12-17T00:00:00"/>
        <d v="2020-12-18T00:00:00"/>
        <d v="2020-12-19T00:00:00"/>
        <d v="2020-12-20T00:00:00"/>
        <d v="2020-12-21T00:00:00"/>
        <d v="2020-12-22T00:00:00"/>
        <d v="2020-12-23T00:00:00"/>
        <d v="2020-12-24T00:00:00"/>
        <d v="2020-12-25T00:00:00"/>
        <d v="2020-12-26T00:00:00"/>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0-11-11T00:00:00" u="1"/>
        <d v="2020-10-25T00:00:00" u="1"/>
        <d v="2020-11-30T00:00:00" u="1"/>
        <d v="2020-11-04T00:00:00" u="1"/>
        <d v="2020-10-18T00:00:00" u="1"/>
        <d v="2020-11-23T00:00:00" u="1"/>
        <d v="2020-10-11T00:00:00" u="1"/>
        <d v="2020-12-02T00:00:00" u="1"/>
        <d v="2020-11-16T00:00:00" u="1"/>
        <d v="2020-10-30T00:00:00" u="1"/>
        <d v="2020-11-09T00:00:00" u="1"/>
        <d v="2020-10-23T00:00:00" u="1"/>
        <d v="2020-11-28T00:00:00" u="1"/>
        <d v="2020-11-02T00:00:00" u="1"/>
        <d v="2020-10-16T00:00:00" u="1"/>
        <d v="2020-11-21T00:00:00" u="1"/>
        <d v="2020-11-14T00:00:00" u="1"/>
        <d v="2020-10-28T00:00:00" u="1"/>
        <d v="2020-11-07T00:00:00" u="1"/>
        <d v="2020-10-21T00:00:00" u="1"/>
        <d v="2020-11-26T00:00:00" u="1"/>
        <d v="2020-10-14T00:00:00" u="1"/>
        <d v="2020-11-19T00:00:00" u="1"/>
        <d v="2020-11-12T00:00:00" u="1"/>
        <d v="2020-10-26T00:00:00" u="1"/>
        <d v="2020-11-05T00:00:00" u="1"/>
        <d v="2020-10-19T00:00:00" u="1"/>
        <d v="2020-11-24T00:00:00" u="1"/>
        <d v="2020-10-12T00:00:00" u="1"/>
        <d v="2020-12-03T00:00:00" u="1"/>
        <d v="2020-11-17T00:00:00" u="1"/>
        <d v="2020-10-31T00:00:00" u="1"/>
        <d v="2020-11-10T00:00:00" u="1"/>
        <d v="2020-10-24T00:00:00" u="1"/>
        <d v="2020-11-29T00:00:00" u="1"/>
        <d v="2020-11-03T00:00:00" u="1"/>
        <d v="2020-10-17T00:00:00" u="1"/>
        <d v="2020-11-22T00:00:00" u="1"/>
        <d v="2020-12-01T00:00:00" u="1"/>
        <d v="2020-11-15T00:00:00" u="1"/>
        <d v="2020-10-29T00:00:00" u="1"/>
        <d v="2020-11-08T00:00:00" u="1"/>
        <d v="2020-10-22T00:00:00" u="1"/>
        <d v="2020-11-27T00:00:00" u="1"/>
        <d v="2020-11-01T00:00:00" u="1"/>
        <d v="2020-10-15T00:00:00" u="1"/>
        <d v="2020-11-20T00:00:00" u="1"/>
        <d v="2020-11-13T00:00:00" u="1"/>
        <d v="2020-10-27T00:00:00" u="1"/>
        <d v="2020-11-06T00:00:00" u="1"/>
        <d v="2020-10-20T00:00:00" u="1"/>
        <d v="2020-11-25T00:00:00" u="1"/>
        <d v="2020-10-13T00:00:00" u="1"/>
        <d v="2020-12-04T00:00:00" u="1"/>
        <d v="2020-11-18T00:00:00" u="1"/>
      </sharedItems>
    </cacheField>
    <cacheField name="Area_Sanitaria" numFmtId="0">
      <sharedItems/>
    </cacheField>
    <cacheField name="TotalNuevosCasos" numFmtId="0">
      <sharedItems containsSemiMixedTypes="0" containsString="0" containsNumber="1" containsInteger="1" minValue="9" maxValue="149"/>
    </cacheField>
    <cacheField name="FallecidosAcum" numFmtId="0">
      <sharedItems containsSemiMixedTypes="0" containsString="0" containsNumber="1" containsInteger="1" minValue="78" maxValue="154"/>
    </cacheField>
    <cacheField name="historico_CifrasTotales.Casos_Confirmados_PCR_Ultimas24h" numFmtId="0">
      <sharedItems containsSemiMixedTypes="0" containsString="0" containsNumber="1" containsInteger="1" minValue="8" maxValue="140"/>
    </cacheField>
    <cacheField name="historico_CifrasTotales.Pacientes_Sin_Alta" numFmtId="0">
      <sharedItems containsSemiMixedTypes="0" containsString="0" containsNumber="1" containsInteger="1" minValue="295" maxValue="1858"/>
    </cacheField>
    <cacheField name="historico_CifrasTotales.Pacientes_Con_Alta" numFmtId="0">
      <sharedItems containsSemiMixedTypes="0" containsString="0" containsNumber="1" containsInteger="1" minValue="2731" maxValue="5410"/>
    </cacheField>
    <cacheField name="historico_CifrasTotales.Camas_Ocupadas_HOS" numFmtId="0">
      <sharedItems containsSemiMixedTypes="0" containsString="0" containsNumber="1" containsInteger="1" minValue="24" maxValue="173"/>
    </cacheField>
    <cacheField name="historico_CifrasTotales.Camas_Ocupadas_UCI" numFmtId="0">
      <sharedItems containsSemiMixedTypes="0" containsString="0" containsNumber="1" containsInteger="1" minValue="1" maxValue="30"/>
    </cacheField>
    <cacheField name="historico_CifrasTotales.Probas_Realizadas_PCR" numFmtId="0">
      <sharedItems containsSemiMixedTypes="0" containsString="0" containsNumber="1" containsInteger="1" minValue="64424" maxValue="102577"/>
    </cacheField>
    <cacheField name="historico_CifrasTotales.Probas_Realizadas_Non_PCR" numFmtId="0">
      <sharedItems containsSemiMixedTypes="0" containsString="0" containsNumber="1" containsInteger="1" minValue="29119" maxValue="35702"/>
    </cacheField>
    <cacheField name="FallecidosAcumOld" numFmtId="0">
      <sharedItems containsSemiMixedTypes="0" containsString="0" containsNumber="1" containsInteger="1" minValue="78" maxValue="153"/>
    </cacheField>
    <cacheField name="IncrementoActivos" numFmtId="0">
      <sharedItems containsSemiMixedTypes="0" containsString="0" containsNumber="1" containsInteger="1" minValue="-71" maxValue="113"/>
    </cacheField>
    <cacheField name="Camas_Ocupadas_HOS" numFmtId="0">
      <sharedItems containsSemiMixedTypes="0" containsString="0" containsNumber="1" containsInteger="1" minValue="24" maxValue="173"/>
    </cacheField>
    <cacheField name="Camas_Ocupadas_UCI" numFmtId="0">
      <sharedItems containsSemiMixedTypes="0" containsString="0" containsNumber="1" containsInteger="1" minValue="1" maxValue="30"/>
    </cacheField>
    <cacheField name="PCR_Dia" numFmtId="0">
      <sharedItems containsSemiMixedTypes="0" containsString="0" containsNumber="1" containsInteger="1" minValue="186" maxValue="1156"/>
    </cacheField>
    <cacheField name="Serologicas_Dia" numFmtId="0">
      <sharedItems containsSemiMixedTypes="0" containsString="0" containsNumber="1" containsInteger="1" minValue="15" maxValue="756"/>
    </cacheField>
    <cacheField name="ActivosRatioIncremento" numFmtId="0">
      <sharedItems containsSemiMixedTypes="0" containsString="0" containsNumber="1" minValue="0.9101123595505618" maxValue="1.1627118644067798"/>
    </cacheField>
    <cacheField name="NuevasAltas" numFmtId="0">
      <sharedItems containsSemiMixedTypes="0" containsString="0" containsNumber="1" containsInteger="1" minValue="6" maxValue="143"/>
    </cacheField>
    <cacheField name="FechaOrd" numFmtId="0">
      <sharedItems/>
    </cacheField>
    <cacheField name="Pruebas_Dia" numFmtId="0">
      <sharedItems containsSemiMixedTypes="0" containsString="0" containsNumber="1" containsInteger="1" minValue="201" maxValue="1721"/>
    </cacheField>
    <cacheField name="Positividad" numFmtId="0">
      <sharedItems containsSemiMixedTypes="0" containsString="0" containsNumber="1" minValue="1.89309576837416E-2" maxValue="0.19858156028368801"/>
    </cacheField>
    <cacheField name="IncFallecidos" numFmtId="0">
      <sharedItems containsSemiMixedTypes="0" containsString="0" containsNumber="1" containsInteger="1" minValue="0" maxValue="7"/>
    </cacheField>
  </cacheFields>
  <extLst>
    <ext xmlns:x14="http://schemas.microsoft.com/office/spreadsheetml/2009/9/main" uri="{725AE2AE-9491-48be-B2B4-4EB974FC3084}">
      <x14:pivotCacheDefinition pivotCacheId="217393357"/>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35.480262268517" createdVersion="6" refreshedVersion="6" minRefreshableVersion="3" recordCount="65" xr:uid="{6ED51557-E78A-46E7-B6AA-AC428F808B06}">
  <cacheSource type="worksheet">
    <worksheetSource name="AS_Coruna"/>
  </cacheSource>
  <cacheFields count="23">
    <cacheField name="Dia" numFmtId="0">
      <sharedItems count="120">
        <s v="2020/12/05"/>
        <s v="2020/12/06"/>
        <s v="2020/12/07"/>
        <s v="2020/12/08"/>
        <s v="2020/12/09"/>
        <s v="2020/12/10"/>
        <s v="2020/12/11"/>
        <s v="2020/12/12"/>
        <s v="2020/12/13"/>
        <s v="2020/12/14"/>
        <s v="2020/12/15"/>
        <s v="2020/12/16"/>
        <s v="2020/12/17"/>
        <s v="2020/12/18"/>
        <s v="2020/12/19"/>
        <s v="2020/12/20"/>
        <s v="2020/12/21"/>
        <s v="2020/12/22"/>
        <s v="2020/12/23"/>
        <s v="2020/12/24"/>
        <s v="2020/12/25"/>
        <s v="2020/12/26"/>
        <s v="2020/12/27"/>
        <s v="2020/12/28"/>
        <s v="2020/12/29"/>
        <s v="2020/12/30"/>
        <s v="2020/12/31"/>
        <s v="2021/01/01"/>
        <s v="2021/01/02"/>
        <s v="2021/01/03"/>
        <s v="2021/01/04"/>
        <s v="2021/01/05"/>
        <s v="2021/01/06"/>
        <s v="2021/01/07"/>
        <s v="2021/01/08"/>
        <s v="2021/01/09"/>
        <s v="2021/01/10"/>
        <s v="2021/01/11"/>
        <s v="2021/01/12"/>
        <s v="2021/01/13"/>
        <s v="2021/01/14"/>
        <s v="2021/01/15"/>
        <s v="2021/01/16"/>
        <s v="2021/01/17"/>
        <s v="2021/01/18"/>
        <s v="2021/01/19"/>
        <s v="2021/01/20"/>
        <s v="2021/01/21"/>
        <s v="2021/01/22"/>
        <s v="2021/01/23"/>
        <s v="2021/01/24"/>
        <s v="2021/01/25"/>
        <s v="2021/01/26"/>
        <s v="2021/01/27"/>
        <s v="2021/01/28"/>
        <s v="2021/01/29"/>
        <s v="2021/01/30"/>
        <s v="2021/01/31"/>
        <s v="2021/02/01"/>
        <s v="2021/02/02"/>
        <s v="2021/02/03"/>
        <s v="2021/02/04"/>
        <s v="2021/02/05"/>
        <s v="2021/02/06"/>
        <s v="2021/02/07"/>
        <s v="2020/10/23" u="1"/>
        <s v="2020/11/07" u="1"/>
        <s v="2020/11/23" u="1"/>
        <s v="2020/10/24" u="1"/>
        <s v="2020/11/08" u="1"/>
        <s v="2020/11/10" u="1"/>
        <s v="2020/10/11" u="1"/>
        <s v="2020/11/24" u="1"/>
        <s v="2020/10/25" u="1"/>
        <s v="2020/11/09" u="1"/>
        <s v="2020/11/11" u="1"/>
        <s v="2020/10/12" u="1"/>
        <s v="2020/11/25" u="1"/>
        <s v="2020/10/26" u="1"/>
        <s v="2020/11/12" u="1"/>
        <s v="2020/10/13" u="1"/>
        <s v="2020/11/26" u="1"/>
        <s v="2020/10/27" u="1"/>
        <s v="2020/11/13" u="1"/>
        <s v="2020/10/14" u="1"/>
        <s v="2020/11/27" u="1"/>
        <s v="2020/10/28" u="1"/>
        <s v="2020/10/30" u="1"/>
        <s v="2020/11/14" u="1"/>
        <s v="2020/10/15" u="1"/>
        <s v="2020/11/28" u="1"/>
        <s v="2020/11/30" u="1"/>
        <s v="2020/10/29" u="1"/>
        <s v="2020/11/01" u="1"/>
        <s v="2020/10/31" u="1"/>
        <s v="2020/11/15" u="1"/>
        <s v="2020/10/16" u="1"/>
        <s v="2020/11/29" u="1"/>
        <s v="2020/12/01" u="1"/>
        <s v="2020/11/02" u="1"/>
        <s v="2020/11/16" u="1"/>
        <s v="2020/10/17" u="1"/>
        <s v="2020/12/02" u="1"/>
        <s v="2020/11/03" u="1"/>
        <s v="2020/11/17" u="1"/>
        <s v="2020/10/18" u="1"/>
        <s v="2020/12/03" u="1"/>
        <s v="2020/10/20" u="1"/>
        <s v="2020/11/04" u="1"/>
        <s v="2020/11/18" u="1"/>
        <s v="2020/11/20" u="1"/>
        <s v="2020/10/19" u="1"/>
        <s v="2020/12/04" u="1"/>
        <s v="2020/10/21" u="1"/>
        <s v="2020/11/05" u="1"/>
        <s v="2020/11/19" u="1"/>
        <s v="2020/11/21" u="1"/>
        <s v="2020/10/22" u="1"/>
        <s v="2020/11/06" u="1"/>
        <s v="2020/11/22" u="1"/>
      </sharedItems>
    </cacheField>
    <cacheField name="Area_Sanitaria" numFmtId="0">
      <sharedItems/>
    </cacheField>
    <cacheField name="TotalNuevosCasos" numFmtId="0">
      <sharedItems containsSemiMixedTypes="0" containsString="0" containsNumber="1" containsInteger="1" minValue="21" maxValue="549"/>
    </cacheField>
    <cacheField name="FallecidosAcum" numFmtId="0">
      <sharedItems containsSemiMixedTypes="0" containsString="0" containsNumber="1" containsInteger="1" minValue="291" maxValue="482"/>
    </cacheField>
    <cacheField name="historico_CifrasTotales.Casos_Confirmados_PCR_Ultimas24h" numFmtId="0">
      <sharedItems containsSemiMixedTypes="0" containsString="0" containsNumber="1" containsInteger="1" minValue="10" maxValue="433"/>
    </cacheField>
    <cacheField name="historico_CifrasTotales.Pacientes_Sin_Alta" numFmtId="0">
      <sharedItems containsSemiMixedTypes="0" containsString="0" containsNumber="1" containsInteger="1" minValue="860" maxValue="6020"/>
    </cacheField>
    <cacheField name="historico_CifrasTotales.Pacientes_Con_Alta" numFmtId="0">
      <sharedItems containsSemiMixedTypes="0" containsString="0" containsNumber="1" containsInteger="1" minValue="10497" maxValue="18360"/>
    </cacheField>
    <cacheField name="historico_CifrasTotales.Camas_Ocupadas_HOS" numFmtId="0">
      <sharedItems containsSemiMixedTypes="0" containsString="0" containsNumber="1" containsInteger="1" minValue="55" maxValue="341"/>
    </cacheField>
    <cacheField name="historico_CifrasTotales.Camas_Ocupadas_UCI" numFmtId="0">
      <sharedItems containsSemiMixedTypes="0" containsString="0" containsNumber="1" containsInteger="1" minValue="12" maxValue="93"/>
    </cacheField>
    <cacheField name="historico_CifrasTotales.Probas_Realizadas_PCR" numFmtId="0">
      <sharedItems containsSemiMixedTypes="0" containsString="0" containsNumber="1" containsInteger="1" minValue="204705" maxValue="308186"/>
    </cacheField>
    <cacheField name="historico_CifrasTotales.Probas_Realizadas_Non_PCR" numFmtId="0">
      <sharedItems containsSemiMixedTypes="0" containsString="0" containsNumber="1" containsInteger="1" minValue="73260" maxValue="127954"/>
    </cacheField>
    <cacheField name="FallecidosAcumOld" numFmtId="0">
      <sharedItems containsSemiMixedTypes="0" containsString="0" containsNumber="1" containsInteger="1" minValue="291" maxValue="477"/>
    </cacheField>
    <cacheField name="IncrementoActivos" numFmtId="0">
      <sharedItems containsSemiMixedTypes="0" containsString="0" containsNumber="1" containsInteger="1" minValue="-223" maxValue="412"/>
    </cacheField>
    <cacheField name="Camas_Ocupadas_HOS" numFmtId="0">
      <sharedItems containsSemiMixedTypes="0" containsString="0" containsNumber="1" containsInteger="1" minValue="55" maxValue="341"/>
    </cacheField>
    <cacheField name="Camas_Ocupadas_UCI" numFmtId="0">
      <sharedItems containsSemiMixedTypes="0" containsString="0" containsNumber="1" containsInteger="1" minValue="12" maxValue="93"/>
    </cacheField>
    <cacheField name="PCR_Dia" numFmtId="0">
      <sharedItems containsSemiMixedTypes="0" containsString="0" containsNumber="1" containsInteger="1" minValue="341" maxValue="3711"/>
    </cacheField>
    <cacheField name="Serologicas_Dia" numFmtId="0">
      <sharedItems containsSemiMixedTypes="0" containsString="0" containsNumber="1" containsInteger="1" minValue="58" maxValue="6224"/>
    </cacheField>
    <cacheField name="ActivosRatioIncremento" numFmtId="0">
      <sharedItems containsSemiMixedTypes="0" containsString="0" containsNumber="1" minValue="0.92216456634544108" maxValue="1.125"/>
    </cacheField>
    <cacheField name="NuevasAltas" numFmtId="0">
      <sharedItems containsSemiMixedTypes="0" containsString="0" containsNumber="1" containsInteger="1" minValue="26" maxValue="500"/>
    </cacheField>
    <cacheField name="FechaOrd" numFmtId="0">
      <sharedItems/>
    </cacheField>
    <cacheField name="Pruebas_Dia" numFmtId="0">
      <sharedItems containsSemiMixedTypes="0" containsString="0" containsNumber="1" containsInteger="1" minValue="404" maxValue="9935"/>
    </cacheField>
    <cacheField name="Positividad" numFmtId="0">
      <sharedItems containsSemiMixedTypes="0" containsString="0" containsNumber="1" minValue="2.0833333333333301E-2" maxValue="0.16132789749563201"/>
    </cacheField>
    <cacheField name="IncFallecidos" numFmtId="0">
      <sharedItems containsSemiMixedTypes="0" containsString="0" containsNumber="1" containsInteger="1" minValue="0" maxValue="15"/>
    </cacheField>
  </cacheFields>
  <extLst>
    <ext xmlns:x14="http://schemas.microsoft.com/office/spreadsheetml/2009/9/main" uri="{725AE2AE-9491-48be-B2B4-4EB974FC3084}">
      <x14:pivotCacheDefinition/>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35.480262384262" createdVersion="6" refreshedVersion="6" minRefreshableVersion="3" recordCount="520" xr:uid="{992A4748-170D-456C-84D2-7CC24C2A5C5B}">
  <cacheSource type="worksheet">
    <worksheetSource name="Fallecidos_Hospital"/>
  </cacheSource>
  <cacheFields count="15">
    <cacheField name="Fecha" numFmtId="14">
      <sharedItems containsSemiMixedTypes="0" containsNonDate="0" containsDate="1" containsString="0" minDate="2020-12-05T00:00:00" maxDate="2021-02-08T00:00:00"/>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Confirmados_PCR_Ultimas24h" numFmtId="0">
      <sharedItems containsSemiMixedTypes="0" containsString="0" containsNumber="1" containsInteger="1" minValue="7" maxValue="1515"/>
    </cacheField>
    <cacheField name="Pacientes_Sin_Alta" numFmtId="0">
      <sharedItems containsSemiMixedTypes="0" containsString="0" containsNumber="1" containsInteger="1" minValue="295" maxValue="22608"/>
    </cacheField>
    <cacheField name="Camas_Ocupadas_HOS" numFmtId="0">
      <sharedItems containsSemiMixedTypes="0" containsString="0" containsNumber="1" containsInteger="1" minValue="9" maxValue="1210"/>
    </cacheField>
    <cacheField name="Camas_Ocupadas_UCI" numFmtId="0">
      <sharedItems containsSemiMixedTypes="0" containsString="0" containsNumber="1" containsInteger="1" minValue="0" maxValue="254"/>
    </cacheField>
    <cacheField name="FallecidosAcum" numFmtId="0">
      <sharedItems containsSemiMixedTypes="0" containsString="0" containsNumber="1" containsInteger="1" minValue="60" maxValue="1967"/>
    </cacheField>
    <cacheField name="NuevosCasos" numFmtId="0">
      <sharedItems containsSemiMixedTypes="0" containsString="0" containsNumber="1" containsInteger="1" minValue="9" maxValue="1888"/>
    </cacheField>
    <cacheField name="IncrementoPacientesPlanta" numFmtId="0">
      <sharedItems containsSemiMixedTypes="0" containsString="0" containsNumber="1" containsInteger="1" minValue="-61" maxValue="91"/>
    </cacheField>
    <cacheField name="IncrementoPacientesUCI" numFmtId="0">
      <sharedItems containsSemiMixedTypes="0" containsString="0" containsNumber="1" containsInteger="1" minValue="-10" maxValue="18"/>
    </cacheField>
    <cacheField name="NuevasAltas" numFmtId="0">
      <sharedItems containsSemiMixedTypes="0" containsString="0" containsNumber="1" containsInteger="1" minValue="6" maxValue="1738"/>
    </cacheField>
    <cacheField name="FechaOrd" numFmtId="0">
      <sharedItems count="65">
        <s v="2020/12/05"/>
        <s v="2020/12/06"/>
        <s v="2020/12/07"/>
        <s v="2020/12/08"/>
        <s v="2020/12/09"/>
        <s v="2020/12/10"/>
        <s v="2020/12/11"/>
        <s v="2020/12/12"/>
        <s v="2020/12/13"/>
        <s v="2020/12/14"/>
        <s v="2020/12/15"/>
        <s v="2020/12/16"/>
        <s v="2020/12/17"/>
        <s v="2020/12/18"/>
        <s v="2020/12/19"/>
        <s v="2020/12/20"/>
        <s v="2020/12/21"/>
        <s v="2020/12/22"/>
        <s v="2020/12/23"/>
        <s v="2020/12/24"/>
        <s v="2020/12/25"/>
        <s v="2020/12/26"/>
        <s v="2020/12/27"/>
        <s v="2020/12/28"/>
        <s v="2020/12/29"/>
        <s v="2020/12/30"/>
        <s v="2020/12/31"/>
        <s v="2021/01/01"/>
        <s v="2021/01/02"/>
        <s v="2021/01/03"/>
        <s v="2021/01/04"/>
        <s v="2021/01/05"/>
        <s v="2021/01/06"/>
        <s v="2021/01/07"/>
        <s v="2021/01/08"/>
        <s v="2021/01/09"/>
        <s v="2021/01/10"/>
        <s v="2021/01/11"/>
        <s v="2021/01/12"/>
        <s v="2021/01/13"/>
        <s v="2021/01/14"/>
        <s v="2021/01/15"/>
        <s v="2021/01/16"/>
        <s v="2021/01/17"/>
        <s v="2021/01/18"/>
        <s v="2021/01/19"/>
        <s v="2021/01/20"/>
        <s v="2021/01/21"/>
        <s v="2021/01/22"/>
        <s v="2021/01/23"/>
        <s v="2021/01/24"/>
        <s v="2021/01/25"/>
        <s v="2021/01/26"/>
        <s v="2021/01/27"/>
        <s v="2021/01/28"/>
        <s v="2021/01/29"/>
        <s v="2021/01/30"/>
        <s v="2021/01/31"/>
        <s v="2021/02/01"/>
        <s v="2021/02/02"/>
        <s v="2021/02/03"/>
        <s v="2021/02/04"/>
        <s v="2021/02/05"/>
        <s v="2021/02/06"/>
        <s v="2021/02/07"/>
      </sharedItems>
    </cacheField>
    <cacheField name="CamasRatioIncremento" numFmtId="0">
      <sharedItems containsSemiMixedTypes="0" containsString="0" containsNumber="1" minValue="0.6428571428571429" maxValue="1.3333333333333333"/>
    </cacheField>
    <cacheField name="UciRatioIncremento" numFmtId="0">
      <sharedItems containsMixedTypes="1" containsNumber="1" minValue="0" maxValue="3"/>
    </cacheField>
    <cacheField name="IncFallecidos" numFmtId="0">
      <sharedItems containsSemiMixedTypes="0" containsString="0" containsNumber="1" containsInteger="1" minValue="0" maxValue="40"/>
    </cacheField>
  </cacheFields>
  <extLst>
    <ext xmlns:x14="http://schemas.microsoft.com/office/spreadsheetml/2009/9/main" uri="{725AE2AE-9491-48be-B2B4-4EB974FC3084}">
      <x14:pivotCacheDefinition pivotCacheId="493833359"/>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35.480262731478" createdVersion="6" refreshedVersion="6" minRefreshableVersion="3" recordCount="520" xr:uid="{EDFDE1F1-9750-46E0-AB7F-40ABFD82011F}">
  <cacheSource type="worksheet">
    <worksheetSource name="EvolucionIncidencia"/>
  </cacheSource>
  <cacheFields count="28">
    <cacheField name="Fecha" numFmtId="14">
      <sharedItems containsSemiMixedTypes="0" containsNonDate="0" containsDate="1" containsString="0" minDate="2020-12-05T00:00:00" maxDate="2021-02-08T00:00:00" count="65">
        <d v="2020-12-05T00:00:00"/>
        <d v="2020-12-06T00:00:00"/>
        <d v="2020-12-07T00:00:00"/>
        <d v="2020-12-08T00:00:00"/>
        <d v="2020-12-09T00:00:00"/>
        <d v="2020-12-10T00:00:00"/>
        <d v="2020-12-11T00:00:00"/>
        <d v="2020-12-12T00:00:00"/>
        <d v="2020-12-13T00:00:00"/>
        <d v="2020-12-14T00:00:00"/>
        <d v="2020-12-15T00:00:00"/>
        <d v="2020-12-16T00:00:00"/>
        <d v="2020-12-17T00:00:00"/>
        <d v="2020-12-18T00:00:00"/>
        <d v="2020-12-19T00:00:00"/>
        <d v="2020-12-20T00:00:00"/>
        <d v="2020-12-21T00:00:00"/>
        <d v="2020-12-22T00:00:00"/>
        <d v="2020-12-23T00:00:00"/>
        <d v="2020-12-24T00:00:00"/>
        <d v="2020-12-25T00:00:00"/>
        <d v="2020-12-26T00:00:00"/>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sharedItems>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Totais" numFmtId="3">
      <sharedItems containsSemiMixedTypes="0" containsString="0" containsNumber="1" containsInteger="1" minValue="3430" maxValue="104701"/>
    </cacheField>
    <cacheField name="Pacientes_Sin_Alta" numFmtId="3">
      <sharedItems containsSemiMixedTypes="0" containsString="0" containsNumber="1" containsInteger="1" minValue="295" maxValue="22608"/>
    </cacheField>
    <cacheField name="Pacientes_Con_Alta" numFmtId="3">
      <sharedItems containsSemiMixedTypes="0" containsString="0" containsNumber="1" containsInteger="1" minValue="2764" maxValue="83504"/>
    </cacheField>
    <cacheField name="Camas_Ocupadas_HOS" numFmtId="0">
      <sharedItems containsSemiMixedTypes="0" containsString="0" containsNumber="1" containsInteger="1" minValue="9" maxValue="1210"/>
    </cacheField>
    <cacheField name="Camas_Ocupadas_UCI" numFmtId="0">
      <sharedItems containsSemiMixedTypes="0" containsString="0" containsNumber="1" containsInteger="1" minValue="0" maxValue="254"/>
    </cacheField>
    <cacheField name="Probas_Realizadas_PCR" numFmtId="3">
      <sharedItems containsSemiMixedTypes="0" containsString="0" containsNumber="1" containsInteger="1" minValue="64784" maxValue="1509268"/>
    </cacheField>
    <cacheField name="FallecidosAcum" numFmtId="3">
      <sharedItems containsSemiMixedTypes="0" containsString="0" containsNumber="1" containsInteger="1" minValue="60" maxValue="1967"/>
    </cacheField>
    <cacheField name="Probas_Realizadas_Non_PCR" numFmtId="3">
      <sharedItems containsSemiMixedTypes="0" containsString="0" containsNumber="1" containsInteger="1" minValue="29150" maxValue="621309"/>
    </cacheField>
    <cacheField name="NuevosCasos" numFmtId="3">
      <sharedItems containsSemiMixedTypes="0" containsString="0" containsNumber="1" containsInteger="1" minValue="9" maxValue="1888"/>
    </cacheField>
    <cacheField name="IncrementoActivos" numFmtId="0">
      <sharedItems containsSemiMixedTypes="0" containsString="0" containsNumber="1" containsInteger="1" minValue="-921" maxValue="1161"/>
    </cacheField>
    <cacheField name="IncrementoPacientesPlanta" numFmtId="0">
      <sharedItems containsSemiMixedTypes="0" containsString="0" containsNumber="1" containsInteger="1" minValue="-61" maxValue="91"/>
    </cacheField>
    <cacheField name="IncrementoPacientesUCI" numFmtId="0">
      <sharedItems containsSemiMixedTypes="0" containsString="0" containsNumber="1" containsInteger="1" minValue="-10" maxValue="18"/>
    </cacheField>
    <cacheField name="PCR_Dia" numFmtId="3">
      <sharedItems containsSemiMixedTypes="0" containsString="0" containsNumber="1" containsInteger="1" minValue="186" maxValue="13890"/>
    </cacheField>
    <cacheField name="Serologicas_Dia" numFmtId="3">
      <sharedItems containsSemiMixedTypes="0" containsString="0" containsNumber="1" containsInteger="1" minValue="15" maxValue="15266"/>
    </cacheField>
    <cacheField name="Pruebas_Dia" numFmtId="3">
      <sharedItems containsSemiMixedTypes="0" containsString="0" containsNumber="1" containsInteger="1" minValue="201" maxValue="26938"/>
    </cacheField>
    <cacheField name="ActivosRatioIncremento" numFmtId="0">
      <sharedItems containsSemiMixedTypes="0" containsString="0" containsNumber="1" minValue="0.80933852140077822" maxValue="1.1627118644067798"/>
    </cacheField>
    <cacheField name="NuevasAltas" numFmtId="3">
      <sharedItems containsSemiMixedTypes="0" containsString="0" containsNumber="1" containsInteger="1" minValue="6" maxValue="1738"/>
    </cacheField>
    <cacheField name="FechaOrd" numFmtId="0">
      <sharedItems count="65">
        <s v="2020/12/05"/>
        <s v="2020/12/06"/>
        <s v="2020/12/07"/>
        <s v="2020/12/08"/>
        <s v="2020/12/09"/>
        <s v="2020/12/10"/>
        <s v="2020/12/11"/>
        <s v="2020/12/12"/>
        <s v="2020/12/13"/>
        <s v="2020/12/14"/>
        <s v="2020/12/15"/>
        <s v="2020/12/16"/>
        <s v="2020/12/17"/>
        <s v="2020/12/18"/>
        <s v="2020/12/19"/>
        <s v="2020/12/20"/>
        <s v="2020/12/21"/>
        <s v="2020/12/22"/>
        <s v="2020/12/23"/>
        <s v="2020/12/24"/>
        <s v="2020/12/25"/>
        <s v="2020/12/26"/>
        <s v="2020/12/27"/>
        <s v="2020/12/28"/>
        <s v="2020/12/29"/>
        <s v="2020/12/30"/>
        <s v="2020/12/31"/>
        <s v="2021/01/01"/>
        <s v="2021/01/02"/>
        <s v="2021/01/03"/>
        <s v="2021/01/04"/>
        <s v="2021/01/05"/>
        <s v="2021/01/06"/>
        <s v="2021/01/07"/>
        <s v="2021/01/08"/>
        <s v="2021/01/09"/>
        <s v="2021/01/10"/>
        <s v="2021/01/11"/>
        <s v="2021/01/12"/>
        <s v="2021/01/13"/>
        <s v="2021/01/14"/>
        <s v="2021/01/15"/>
        <s v="2021/01/16"/>
        <s v="2021/01/17"/>
        <s v="2021/01/18"/>
        <s v="2021/01/19"/>
        <s v="2021/01/20"/>
        <s v="2021/01/21"/>
        <s v="2021/01/22"/>
        <s v="2021/01/23"/>
        <s v="2021/01/24"/>
        <s v="2021/01/25"/>
        <s v="2021/01/26"/>
        <s v="2021/01/27"/>
        <s v="2021/01/28"/>
        <s v="2021/01/29"/>
        <s v="2021/01/30"/>
        <s v="2021/01/31"/>
        <s v="2021/02/01"/>
        <s v="2021/02/02"/>
        <s v="2021/02/03"/>
        <s v="2021/02/04"/>
        <s v="2021/02/05"/>
        <s v="2021/02/06"/>
        <s v="2021/02/07"/>
      </sharedItems>
    </cacheField>
    <cacheField name="DiaSemana" numFmtId="3">
      <sharedItems/>
    </cacheField>
    <cacheField name="Altas/Nuevos (-14)" numFmtId="4">
      <sharedItems containsMixedTypes="1" containsNumber="1" minValue="0.33898305084745761" maxValue="2.5652173913043477"/>
    </cacheField>
    <cacheField name="Previsión Altas" numFmtId="4">
      <sharedItems containsMixedTypes="1" containsNumber="1" minValue="11.280280865418332" maxValue="1661.7896078236679"/>
    </cacheField>
    <cacheField name="Error Prev" numFmtId="0">
      <sharedItems containsMixedTypes="1" containsNumber="1" minValue="-379.02015269648859" maxValue="380.29007014012382"/>
    </cacheField>
    <cacheField name="Nuevos 7 dias" numFmtId="0">
      <sharedItems containsMixedTypes="1" containsNumber="1" containsInteger="1" minValue="105" maxValue="11344"/>
    </cacheField>
    <cacheField name="Nuevos 14 dias" numFmtId="0">
      <sharedItems containsMixedTypes="1" containsNumber="1" containsInteger="1" minValue="231" maxValue="20858"/>
    </cacheField>
    <cacheField name="IA7 Norm" numFmtId="0">
      <sharedItems containsMixedTypes="1" containsNumber="1" minValue="0.10406176569318563" maxValue="1"/>
    </cacheField>
    <cacheField name="IA14 Norm" numFmtId="0">
      <sharedItems containsMixedTypes="1" containsNumber="1" minValue="0.1230457973146956" maxValue="1"/>
    </cacheField>
  </cacheFields>
  <extLst>
    <ext xmlns:x14="http://schemas.microsoft.com/office/spreadsheetml/2009/9/main" uri="{725AE2AE-9491-48be-B2B4-4EB974FC3084}">
      <x14:pivotCacheDefinition pivotCacheId="579417468"/>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35.480329861108" backgroundQuery="1" createdVersion="6" refreshedVersion="6" minRefreshableVersion="3" recordCount="520" xr:uid="{185FA125-CFA6-4A25-BD41-610A11AFFA8A}">
  <cacheSource type="external" connectionId="16"/>
  <cacheFields count="31">
    <cacheField name="Fecha" numFmtId="0">
      <sharedItems containsSemiMixedTypes="0" containsNonDate="0" containsDate="1" containsString="0" minDate="2020-12-05T00:00:00" maxDate="2021-02-08T00:00:00" count="65">
        <d v="2020-12-05T00:00:00"/>
        <d v="2020-12-06T00:00:00"/>
        <d v="2020-12-07T00:00:00"/>
        <d v="2020-12-08T00:00:00"/>
        <d v="2020-12-09T00:00:00"/>
        <d v="2020-12-10T00:00:00"/>
        <d v="2020-12-11T00:00:00"/>
        <d v="2020-12-12T00:00:00"/>
        <d v="2020-12-13T00:00:00"/>
        <d v="2020-12-14T00:00:00"/>
        <d v="2020-12-15T00:00:00"/>
        <d v="2020-12-16T00:00:00"/>
        <d v="2020-12-17T00:00:00"/>
        <d v="2020-12-18T00:00:00"/>
        <d v="2020-12-19T00:00:00"/>
        <d v="2020-12-20T00:00:00"/>
        <d v="2020-12-21T00:00:00"/>
        <d v="2020-12-22T00:00:00"/>
        <d v="2020-12-23T00:00:00"/>
        <d v="2020-12-24T00:00:00"/>
        <d v="2020-12-25T00:00:00"/>
        <d v="2020-12-26T00:00:00"/>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sharedItems>
      <fieldGroup par="30" base="0">
        <rangePr groupBy="months" startDate="2020-12-05T00:00:00" endDate="2021-02-08T00:00:00"/>
        <groupItems count="14">
          <s v="&lt;05/12/2020"/>
          <s v="ene"/>
          <s v="feb"/>
          <s v="mar"/>
          <s v="abr"/>
          <s v="may"/>
          <s v="jun"/>
          <s v="jul"/>
          <s v="ago"/>
          <s v="sep"/>
          <s v="oct"/>
          <s v="nov"/>
          <s v="dic"/>
          <s v="&gt;08/02/2021"/>
        </groupItems>
      </fieldGroup>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Totais" numFmtId="0">
      <sharedItems containsSemiMixedTypes="0" containsString="0" containsNumber="1" containsInteger="1" minValue="3430" maxValue="104701"/>
    </cacheField>
    <cacheField name="Casos_Confirmados_PCR_Ultimas24h" numFmtId="0">
      <sharedItems containsSemiMixedTypes="0" containsString="0" containsNumber="1" containsInteger="1" minValue="7" maxValue="1515"/>
    </cacheField>
    <cacheField name="Pacientes_Sin_Alta" numFmtId="0">
      <sharedItems containsSemiMixedTypes="0" containsString="0" containsNumber="1" containsInteger="1" minValue="295" maxValue="22608"/>
    </cacheField>
    <cacheField name="Pacientes_Con_Alta" numFmtId="0">
      <sharedItems containsSemiMixedTypes="0" containsString="0" containsNumber="1" containsInteger="1" minValue="2764" maxValue="83504"/>
    </cacheField>
    <cacheField name="Camas_Ocupadas_HOS" numFmtId="0">
      <sharedItems containsSemiMixedTypes="0" containsString="0" containsNumber="1" containsInteger="1" minValue="9" maxValue="1210"/>
    </cacheField>
    <cacheField name="Camas_Ocupadas_UCI" numFmtId="0">
      <sharedItems containsSemiMixedTypes="0" containsString="0" containsNumber="1" containsInteger="1" minValue="0" maxValue="254"/>
    </cacheField>
    <cacheField name="Probas_Realizadas_PCR" numFmtId="0">
      <sharedItems containsSemiMixedTypes="0" containsString="0" containsNumber="1" containsInteger="1" minValue="64784" maxValue="1509268"/>
    </cacheField>
    <cacheField name="FallecidosAcum" numFmtId="0">
      <sharedItems containsSemiMixedTypes="0" containsString="0" containsNumber="1" containsInteger="1" minValue="60" maxValue="1967"/>
    </cacheField>
    <cacheField name="Probas_Realizadas_Non_PCR" numFmtId="0">
      <sharedItems containsSemiMixedTypes="0" containsString="0" containsNumber="1" containsInteger="1" minValue="29150" maxValue="621309"/>
    </cacheField>
    <cacheField name="historico_CifrasTotales.Casos_Confirmados_PCR_Ultimas24h" numFmtId="0">
      <sharedItems containsSemiMixedTypes="0" containsString="0" containsNumber="1" containsInteger="1" minValue="7" maxValue="1515"/>
    </cacheField>
    <cacheField name="historico_CifrasTotales.Pacientes_Sin_Alta" numFmtId="0">
      <sharedItems containsSemiMixedTypes="0" containsString="0" containsNumber="1" containsInteger="1" minValue="295" maxValue="22608"/>
    </cacheField>
    <cacheField name="historico_CifrasTotales.Pacientes_Con_Alta" numFmtId="0">
      <sharedItems containsSemiMixedTypes="0" containsString="0" containsNumber="1" containsInteger="1" minValue="2731" maxValue="82275"/>
    </cacheField>
    <cacheField name="historico_CifrasTotales.Camas_Ocupadas_HOS" numFmtId="0">
      <sharedItems containsSemiMixedTypes="0" containsString="0" containsNumber="1" containsInteger="1" minValue="9" maxValue="1210"/>
    </cacheField>
    <cacheField name="historico_CifrasTotales.Camas_Ocupadas_UCI" numFmtId="0">
      <sharedItems containsSemiMixedTypes="0" containsString="0" containsNumber="1" containsInteger="1" minValue="0" maxValue="253"/>
    </cacheField>
    <cacheField name="historico_CifrasTotales.Probas_Realizadas_PCR" numFmtId="0">
      <sharedItems containsSemiMixedTypes="0" containsString="0" containsNumber="1" containsInteger="1" minValue="64424" maxValue="1497496"/>
    </cacheField>
    <cacheField name="historico_CifrasTotales.Probas_Realizadas_Non_PCR" numFmtId="0">
      <sharedItems containsSemiMixedTypes="0" containsString="0" containsNumber="1" containsInteger="1" minValue="29119" maxValue="610290"/>
    </cacheField>
    <cacheField name="FallecidosAcumOld" numFmtId="0">
      <sharedItems containsSemiMixedTypes="0" containsString="0" containsNumber="1" containsInteger="1" minValue="59" maxValue="1950"/>
    </cacheField>
    <cacheField name="NuevosCasos" numFmtId="0">
      <sharedItems containsSemiMixedTypes="0" containsString="0" containsNumber="1" containsInteger="1" minValue="9" maxValue="1888"/>
    </cacheField>
    <cacheField name="IncrementoActivos" numFmtId="0">
      <sharedItems containsSemiMixedTypes="0" containsString="0" containsNumber="1" containsInteger="1" minValue="-921" maxValue="1161"/>
    </cacheField>
    <cacheField name="IncrementoPacientesPlanta" numFmtId="0">
      <sharedItems containsSemiMixedTypes="0" containsString="0" containsNumber="1" containsInteger="1" minValue="-61" maxValue="91"/>
    </cacheField>
    <cacheField name="IncrementoPacientesUCI" numFmtId="0">
      <sharedItems containsSemiMixedTypes="0" containsString="0" containsNumber="1" containsInteger="1" minValue="-10" maxValue="18" count="23">
        <n v="1"/>
        <n v="2"/>
        <n v="0"/>
        <n v="3"/>
        <n v="-1"/>
        <n v="-2"/>
        <n v="-4"/>
        <n v="-5"/>
        <n v="-10"/>
        <n v="4"/>
        <n v="-3"/>
        <n v="5"/>
        <n v="6"/>
        <n v="10"/>
        <n v="9"/>
        <n v="8"/>
        <n v="7"/>
        <n v="18"/>
        <n v="11"/>
        <n v="15"/>
        <n v="17"/>
        <n v="-8"/>
        <n v="-6"/>
      </sharedItems>
    </cacheField>
    <cacheField name="PCR_Dia" numFmtId="0">
      <sharedItems containsSemiMixedTypes="0" containsString="0" containsNumber="1" containsInteger="1" minValue="186" maxValue="13890"/>
    </cacheField>
    <cacheField name="Serologicas_Dia" numFmtId="0">
      <sharedItems containsSemiMixedTypes="0" containsString="0" containsNumber="1" containsInteger="1" minValue="15" maxValue="15266"/>
    </cacheField>
    <cacheField name="Pruebas_Dia" numFmtId="0">
      <sharedItems containsSemiMixedTypes="0" containsString="0" containsNumber="1" containsInteger="1" minValue="201" maxValue="26938"/>
    </cacheField>
    <cacheField name="ActivosRatioIncremento" numFmtId="0">
      <sharedItems containsSemiMixedTypes="0" containsString="0" containsNumber="1" minValue="0.80933852140077822" maxValue="1.1627118644067798"/>
    </cacheField>
    <cacheField name="NuevasAltas" numFmtId="0">
      <sharedItems containsSemiMixedTypes="0" containsString="0" containsNumber="1" containsInteger="1" minValue="6" maxValue="1738"/>
    </cacheField>
    <cacheField name="FechaOrd" numFmtId="0">
      <sharedItems count="196">
        <s v="2020/12/05"/>
        <s v="2020/12/06"/>
        <s v="2020/12/07"/>
        <s v="2020/12/08"/>
        <s v="2020/12/09"/>
        <s v="2020/12/10"/>
        <s v="2020/12/11"/>
        <s v="2020/12/12"/>
        <s v="2020/12/13"/>
        <s v="2020/12/14"/>
        <s v="2020/12/15"/>
        <s v="2020/12/16"/>
        <s v="2020/12/17"/>
        <s v="2020/12/18"/>
        <s v="2020/12/19"/>
        <s v="2020/12/20"/>
        <s v="2020/12/21"/>
        <s v="2020/12/22"/>
        <s v="2020/12/23"/>
        <s v="2020/12/24"/>
        <s v="2020/12/25"/>
        <s v="2020/12/26"/>
        <s v="2020/12/27"/>
        <s v="2020/12/28"/>
        <s v="2020/12/29"/>
        <s v="2020/12/30"/>
        <s v="2020/12/31"/>
        <s v="2021/01/01"/>
        <s v="2021/01/02"/>
        <s v="2021/01/03"/>
        <s v="2021/01/04"/>
        <s v="2021/01/05"/>
        <s v="2021/01/06"/>
        <s v="2021/01/07"/>
        <s v="2021/01/08"/>
        <s v="2021/01/09"/>
        <s v="2021/01/10"/>
        <s v="2021/01/11"/>
        <s v="2021/01/12"/>
        <s v="2021/01/13"/>
        <s v="2021/01/14"/>
        <s v="2021/01/15"/>
        <s v="2021/01/16"/>
        <s v="2021/01/17"/>
        <s v="2021/01/18"/>
        <s v="2021/01/19"/>
        <s v="2021/01/20"/>
        <s v="2021/01/21"/>
        <s v="2021/01/22"/>
        <s v="2021/01/23"/>
        <s v="2021/01/24"/>
        <s v="2021/01/25"/>
        <s v="2021/01/26"/>
        <s v="2021/01/27"/>
        <s v="2021/01/28"/>
        <s v="2021/01/29"/>
        <s v="2021/01/30"/>
        <s v="2021/01/31"/>
        <s v="2021/02/01"/>
        <s v="2021/02/02"/>
        <s v="2021/02/03"/>
        <s v="2021/02/04"/>
        <s v="2021/02/05"/>
        <s v="2021/02/06"/>
        <s v="2021/02/07"/>
        <s v="18/01/2021" u="1"/>
        <s v="2020/11/07" u="1"/>
        <s v="24/12/2020" u="1"/>
        <s v="05/01/2021" u="1"/>
        <s v="11/12/2020" u="1"/>
        <s v="2020/11/23" u="1"/>
        <s v="26/12/2020" u="1"/>
        <s v="07/01/2021" u="1"/>
        <s v="13/12/2020" u="1"/>
        <s v="20/11/2020" u="1"/>
        <s v="2020/10/24" u="1"/>
        <s v="2020/11/08" u="1"/>
        <s v="28/12/2020" u="1"/>
        <s v="09/01/2021" u="1"/>
        <s v="15/12/2020" u="1"/>
        <s v="2020/11/10" u="1"/>
        <s v="02/12/2020" u="1"/>
        <s v="22/11/2020" u="1"/>
        <s v="2020/11/24" u="1"/>
        <s v="17/12/2020" u="1"/>
        <s v="04/12/2020" u="1"/>
        <s v="2020/10/25" u="1"/>
        <s v="24/11/2020" u="1"/>
        <s v="11/11/2020" u="1"/>
        <s v="2020/11/09" u="1"/>
        <s v="31/10/2020" u="1"/>
        <s v="19/12/2020" u="1"/>
        <s v="2020/11/11" u="1"/>
        <s v="06/12/2020" u="1"/>
        <s v="26/11/2020" u="1"/>
        <s v="13/11/2020" u="1"/>
        <s v="2020/11/25" u="1"/>
        <s v="08/12/2020" u="1"/>
        <s v="2020/10/26" u="1"/>
        <s v="28/11/2020" u="1"/>
        <s v="15/11/2020" u="1"/>
        <s v="20/01/2021" u="1"/>
        <s v="02/11/2020" u="1"/>
        <s v="2020/11/12" u="1"/>
        <s v="17/11/2020" u="1"/>
        <s v="2020/11/26" u="1"/>
        <s v="04/11/2020" u="1"/>
        <s v="24/10/2020" u="1"/>
        <s v="2020/10/27" u="1"/>
        <s v="19/11/2020" u="1"/>
        <s v="30/12/2020" u="1"/>
        <s v="06/11/2020" u="1"/>
        <s v="11/01/2021" u="1"/>
        <s v="2020/11/13" u="1"/>
        <s v="26/10/2020" u="1"/>
        <s v="2020/11/27" u="1"/>
        <s v="08/11/2020" u="1"/>
        <s v="13/01/2021" u="1"/>
        <s v="28/10/2020" u="1"/>
        <s v="2020/10/28" u="1"/>
        <s v="2020/10/30" u="1"/>
        <s v="15/01/2021" u="1"/>
        <s v="2020/11/14" u="1"/>
        <s v="21/12/2020" u="1"/>
        <s v="02/01/2021" u="1"/>
        <s v="2020/11/28" u="1"/>
        <s v="17/01/2021" u="1"/>
        <s v="2020/11/30" u="1"/>
        <s v="23/12/2020" u="1"/>
        <s v="04/01/2021" u="1"/>
        <s v="10/12/2020" u="1"/>
        <s v="2020/10/29" u="1"/>
        <s v="2020/11/01" u="1"/>
        <s v="30/11/2020" u="1"/>
        <s v="2020/10/31" u="1"/>
        <s v="19/01/2021" u="1"/>
        <s v="2020/11/15" u="1"/>
        <s v="25/12/2020" u="1"/>
        <s v="06/01/2021" u="1"/>
        <s v="12/12/2020" u="1"/>
        <s v="2020/11/29" u="1"/>
        <s v="2020/12/01" u="1"/>
        <s v="27/12/2020" u="1"/>
        <s v="08/01/2021" u="1"/>
        <s v="14/12/2020" u="1"/>
        <s v="2020/11/02" u="1"/>
        <s v="01/12/2020" u="1"/>
        <s v="21/11/2020" u="1"/>
        <s v="2020/11/16" u="1"/>
        <s v="29/12/2020" u="1"/>
        <s v="16/12/2020" u="1"/>
        <s v="03/12/2020" u="1"/>
        <s v="2020/12/02" u="1"/>
        <s v="23/11/2020" u="1"/>
        <s v="10/11/2020" u="1"/>
        <s v="30/10/2020" u="1"/>
        <s v="18/12/2020" u="1"/>
        <s v="2020/11/03" u="1"/>
        <s v="05/12/2020" u="1"/>
        <s v="25/11/2020" u="1"/>
        <s v="12/11/2020" u="1"/>
        <s v="2020/11/17" u="1"/>
        <s v="07/12/2020" u="1"/>
        <s v="2020/12/03" u="1"/>
        <s v="27/11/2020" u="1"/>
        <s v="14/11/2020" u="1"/>
        <s v="01/11/2020" u="1"/>
        <s v="2020/11/04" u="1"/>
        <s v="09/12/2020" u="1"/>
        <s v="29/11/2020" u="1"/>
        <s v="16/11/2020" u="1"/>
        <s v="2020/11/18" u="1"/>
        <s v="03/11/2020" u="1"/>
        <s v="2020/11/20" u="1"/>
        <s v="2020/12/04" u="1"/>
        <s v="18/11/2020" u="1"/>
        <s v="05/11/2020" u="1"/>
        <s v="10/01/2021" u="1"/>
        <s v="2020/11/05" u="1"/>
        <s v="25/10/2020" u="1"/>
        <s v="2020/11/19" u="1"/>
        <s v="31/12/2020" u="1"/>
        <s v="07/11/2020" u="1"/>
        <s v="12/01/2021" u="1"/>
        <s v="2020/11/21" u="1"/>
        <s v="27/10/2020" u="1"/>
        <s v="09/11/2020" u="1"/>
        <s v="14/01/2021" u="1"/>
        <s v="20/12/2020" u="1"/>
        <s v="2020/11/06" u="1"/>
        <s v="29/10/2020" u="1"/>
        <s v="01/01/2021" u="1"/>
        <s v="16/01/2021" u="1"/>
        <s v="2020/11/22" u="1"/>
        <s v="22/12/2020" u="1"/>
        <s v="03/01/2021" u="1"/>
      </sharedItems>
    </cacheField>
    <cacheField name="Quarters" numFmtId="0" databaseField="0">
      <fieldGroup base="0">
        <rangePr groupBy="quarters" startDate="2020-12-05T00:00:00" endDate="2021-02-08T00:00:00"/>
        <groupItems count="6">
          <s v="&lt;05/12/2020"/>
          <s v="Qtr1"/>
          <s v="Qtr2"/>
          <s v="Qtr3"/>
          <s v="Qtr4"/>
          <s v="&gt;08/02/2021"/>
        </groupItems>
      </fieldGroup>
    </cacheField>
    <cacheField name="Years" numFmtId="0" databaseField="0">
      <fieldGroup base="0">
        <rangePr groupBy="years" startDate="2020-12-05T00:00:00" endDate="2021-02-08T00:00:00"/>
        <groupItems count="4">
          <s v="&lt;05/12/2020"/>
          <s v="2020"/>
          <s v="2021"/>
          <s v="&gt;08/02/2021"/>
        </groupItems>
      </fieldGroup>
    </cacheField>
  </cacheFields>
  <extLst>
    <ext xmlns:x14="http://schemas.microsoft.com/office/spreadsheetml/2009/9/main" uri="{725AE2AE-9491-48be-B2B4-4EB974FC3084}">
      <x14:pivotCacheDefinition pivotCacheId="138390382"/>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5">
  <r>
    <x v="0"/>
    <s v="A.S. VIGO"/>
    <n v="91"/>
    <n v="224"/>
    <n v="101"/>
    <n v="1842"/>
    <n v="8422"/>
    <n v="65"/>
    <n v="12"/>
    <n v="191386"/>
    <n v="56291"/>
    <n v="224"/>
    <n v="-42"/>
    <n v="65"/>
    <n v="12"/>
    <n v="1818"/>
    <n v="21"/>
    <n v="0.9771986970684039"/>
    <n v="133"/>
    <s v="2020/12/05"/>
    <n v="1839"/>
    <n v="4.9483414899401799E-2"/>
    <n v="0"/>
  </r>
  <r>
    <x v="1"/>
    <s v="A.S. VIGO"/>
    <n v="53"/>
    <n v="229"/>
    <n v="92"/>
    <n v="1800"/>
    <n v="8555"/>
    <n v="65"/>
    <n v="12"/>
    <n v="193204"/>
    <n v="56312"/>
    <n v="224"/>
    <n v="-18"/>
    <n v="66"/>
    <n v="11"/>
    <n v="1383"/>
    <n v="25"/>
    <n v="0.99"/>
    <n v="66"/>
    <s v="2020/12/06"/>
    <n v="1408"/>
    <n v="3.7642045454545497E-2"/>
    <n v="5"/>
  </r>
  <r>
    <x v="2"/>
    <s v="A.S. VIGO"/>
    <n v="60"/>
    <n v="237"/>
    <n v="53"/>
    <n v="1782"/>
    <n v="8621"/>
    <n v="66"/>
    <n v="11"/>
    <n v="194587"/>
    <n v="56337"/>
    <n v="229"/>
    <n v="-265"/>
    <n v="59"/>
    <n v="9"/>
    <n v="1326"/>
    <n v="57"/>
    <n v="0.85129068462401791"/>
    <n v="317"/>
    <s v="2020/12/07"/>
    <n v="1383"/>
    <n v="4.33839479392625E-2"/>
    <n v="8"/>
  </r>
  <r>
    <x v="3"/>
    <s v="A.S. VIGO"/>
    <n v="79"/>
    <n v="237"/>
    <n v="59"/>
    <n v="1517"/>
    <n v="8938"/>
    <n v="59"/>
    <n v="9"/>
    <n v="195913"/>
    <n v="56394"/>
    <n v="237"/>
    <n v="-18"/>
    <n v="59"/>
    <n v="10"/>
    <n v="1574"/>
    <n v="35"/>
    <n v="0.988134475939354"/>
    <n v="97"/>
    <s v="2020/12/08"/>
    <n v="1609"/>
    <n v="4.9098819142324397E-2"/>
    <n v="0"/>
  </r>
  <r>
    <x v="4"/>
    <s v="A.S. VIGO"/>
    <n v="52"/>
    <n v="237"/>
    <n v="75"/>
    <n v="1499"/>
    <n v="9035"/>
    <n v="59"/>
    <n v="10"/>
    <n v="197487"/>
    <n v="56429"/>
    <n v="237"/>
    <n v="-74"/>
    <n v="62"/>
    <n v="11"/>
    <n v="2650"/>
    <n v="75"/>
    <n v="0.95063375583722487"/>
    <n v="126"/>
    <s v="2020/12/09"/>
    <n v="2725"/>
    <n v="1.9082568807339401E-2"/>
    <n v="0"/>
  </r>
  <r>
    <x v="5"/>
    <s v="A.S. VIGO"/>
    <n v="127"/>
    <n v="239"/>
    <n v="50"/>
    <n v="1425"/>
    <n v="9161"/>
    <n v="62"/>
    <n v="11"/>
    <n v="200137"/>
    <n v="56504"/>
    <n v="237"/>
    <n v="-24"/>
    <n v="60"/>
    <n v="12"/>
    <n v="1981"/>
    <n v="83"/>
    <n v="0.98315789473684212"/>
    <n v="149"/>
    <s v="2020/12/10"/>
    <n v="2064"/>
    <n v="6.1531007751937997E-2"/>
    <n v="2"/>
  </r>
  <r>
    <x v="6"/>
    <s v="A.S. VIGO"/>
    <n v="53"/>
    <n v="243"/>
    <n v="126"/>
    <n v="1401"/>
    <n v="9310"/>
    <n v="60"/>
    <n v="12"/>
    <n v="202118"/>
    <n v="56587"/>
    <n v="239"/>
    <n v="-86"/>
    <n v="51"/>
    <n v="11"/>
    <n v="1804"/>
    <n v="72"/>
    <n v="0.93861527480371165"/>
    <n v="135"/>
    <s v="2020/12/11"/>
    <n v="1876"/>
    <n v="2.8251599147121501E-2"/>
    <n v="4"/>
  </r>
  <r>
    <x v="7"/>
    <s v="A.S. VIGO"/>
    <n v="93"/>
    <n v="244"/>
    <n v="52"/>
    <n v="1315"/>
    <n v="9445"/>
    <n v="51"/>
    <n v="11"/>
    <n v="203922"/>
    <n v="56659"/>
    <n v="243"/>
    <n v="2"/>
    <n v="47"/>
    <n v="11"/>
    <n v="2417"/>
    <n v="31"/>
    <n v="1.0015209125475286"/>
    <n v="90"/>
    <s v="2020/12/12"/>
    <n v="2448"/>
    <n v="3.7990196078431397E-2"/>
    <n v="1"/>
  </r>
  <r>
    <x v="8"/>
    <s v="A.S. VIGO"/>
    <n v="56"/>
    <n v="245"/>
    <n v="98"/>
    <n v="1317"/>
    <n v="9535"/>
    <n v="47"/>
    <n v="11"/>
    <n v="206339"/>
    <n v="56690"/>
    <n v="244"/>
    <n v="-13"/>
    <n v="44"/>
    <n v="12"/>
    <n v="2097"/>
    <n v="38"/>
    <n v="0.99012908124525434"/>
    <n v="68"/>
    <s v="2020/12/13"/>
    <n v="2135"/>
    <n v="2.6229508196721301E-2"/>
    <n v="1"/>
  </r>
  <r>
    <x v="9"/>
    <s v="A.S. VIGO"/>
    <n v="50"/>
    <n v="246"/>
    <n v="47"/>
    <n v="1304"/>
    <n v="9603"/>
    <n v="44"/>
    <n v="12"/>
    <n v="208436"/>
    <n v="56728"/>
    <n v="245"/>
    <n v="25"/>
    <n v="48"/>
    <n v="14"/>
    <n v="2262"/>
    <n v="90"/>
    <n v="1.0191717791411044"/>
    <n v="24"/>
    <s v="2020/12/14"/>
    <n v="2352"/>
    <n v="2.1258503401360498E-2"/>
    <n v="1"/>
  </r>
  <r>
    <x v="10"/>
    <s v="A.S. VIGO"/>
    <n v="121"/>
    <n v="248"/>
    <n v="47"/>
    <n v="1329"/>
    <n v="9627"/>
    <n v="48"/>
    <n v="14"/>
    <n v="210698"/>
    <n v="56818"/>
    <n v="246"/>
    <n v="14"/>
    <n v="47"/>
    <n v="13"/>
    <n v="2353"/>
    <n v="115"/>
    <n v="1.0105342362678706"/>
    <n v="105"/>
    <s v="2020/12/15"/>
    <n v="2468"/>
    <n v="4.9027552674230097E-2"/>
    <n v="2"/>
  </r>
  <r>
    <x v="11"/>
    <s v="A.S. VIGO"/>
    <n v="95"/>
    <n v="249"/>
    <n v="116"/>
    <n v="1343"/>
    <n v="9732"/>
    <n v="47"/>
    <n v="13"/>
    <n v="213051"/>
    <n v="56933"/>
    <n v="248"/>
    <n v="-35"/>
    <n v="45"/>
    <n v="13"/>
    <n v="2668"/>
    <n v="93"/>
    <n v="0.97393894266567382"/>
    <n v="129"/>
    <s v="2020/12/16"/>
    <n v="2761"/>
    <n v="3.4407823252444798E-2"/>
    <n v="1"/>
  </r>
  <r>
    <x v="12"/>
    <s v="A.S. VIGO"/>
    <n v="95"/>
    <n v="250"/>
    <n v="92"/>
    <n v="1308"/>
    <n v="9861"/>
    <n v="45"/>
    <n v="13"/>
    <n v="215719"/>
    <n v="57026"/>
    <n v="249"/>
    <n v="-6"/>
    <n v="53"/>
    <n v="13"/>
    <n v="1639"/>
    <n v="94"/>
    <n v="0.99541284403669728"/>
    <n v="100"/>
    <s v="2020/12/17"/>
    <n v="1733"/>
    <n v="5.4818234275822303E-2"/>
    <n v="1"/>
  </r>
  <r>
    <x v="13"/>
    <s v="A.S. VIGO"/>
    <n v="83"/>
    <n v="251"/>
    <n v="90"/>
    <n v="1302"/>
    <n v="9961"/>
    <n v="53"/>
    <n v="13"/>
    <n v="217358"/>
    <n v="57120"/>
    <n v="250"/>
    <n v="-55"/>
    <n v="45"/>
    <n v="12"/>
    <n v="1786"/>
    <n v="110"/>
    <n v="0.95775729646697394"/>
    <n v="137"/>
    <s v="2020/12/18"/>
    <n v="1896"/>
    <n v="4.3776371308016898E-2"/>
    <n v="1"/>
  </r>
  <r>
    <x v="14"/>
    <s v="A.S. VIGO"/>
    <n v="76"/>
    <n v="251"/>
    <n v="75"/>
    <n v="1247"/>
    <n v="10098"/>
    <n v="45"/>
    <n v="12"/>
    <n v="219144"/>
    <n v="57230"/>
    <n v="251"/>
    <n v="-4"/>
    <n v="47"/>
    <n v="12"/>
    <n v="2601"/>
    <n v="58"/>
    <n v="0.99679230152365672"/>
    <n v="80"/>
    <s v="2020/12/19"/>
    <n v="2659"/>
    <n v="2.8582173749529899E-2"/>
    <n v="0"/>
  </r>
  <r>
    <x v="15"/>
    <s v="A.S. VIGO"/>
    <n v="69"/>
    <n v="251"/>
    <n v="79"/>
    <n v="1243"/>
    <n v="10178"/>
    <n v="47"/>
    <n v="12"/>
    <n v="221745"/>
    <n v="57288"/>
    <n v="251"/>
    <n v="3"/>
    <n v="49"/>
    <n v="12"/>
    <n v="1753"/>
    <n v="47"/>
    <n v="1.002413515687852"/>
    <n v="66"/>
    <s v="2020/12/20"/>
    <n v="1800"/>
    <n v="3.8333333333333303E-2"/>
    <n v="0"/>
  </r>
  <r>
    <x v="16"/>
    <s v="A.S. VIGO"/>
    <n v="46"/>
    <n v="253"/>
    <n v="68"/>
    <n v="1246"/>
    <n v="10244"/>
    <n v="49"/>
    <n v="12"/>
    <n v="223498"/>
    <n v="57335"/>
    <n v="251"/>
    <n v="-4"/>
    <n v="51"/>
    <n v="9"/>
    <n v="2499"/>
    <n v="127"/>
    <n v="0.9967897271268058"/>
    <n v="48"/>
    <s v="2020/12/21"/>
    <n v="2626"/>
    <n v="1.75171363290175E-2"/>
    <n v="2"/>
  </r>
  <r>
    <x v="17"/>
    <s v="A.S. VIGO"/>
    <n v="92"/>
    <n v="254"/>
    <n v="41"/>
    <n v="1242"/>
    <n v="10292"/>
    <n v="51"/>
    <n v="9"/>
    <n v="225997"/>
    <n v="57462"/>
    <n v="253"/>
    <n v="-26"/>
    <n v="56"/>
    <n v="11"/>
    <n v="2947"/>
    <n v="112"/>
    <n v="0.97906602254428343"/>
    <n v="117"/>
    <s v="2020/12/22"/>
    <n v="3059"/>
    <n v="3.00751879699248E-2"/>
    <n v="1"/>
  </r>
  <r>
    <x v="18"/>
    <s v="A.S. VIGO"/>
    <n v="117"/>
    <n v="257"/>
    <n v="82"/>
    <n v="1216"/>
    <n v="10409"/>
    <n v="56"/>
    <n v="11"/>
    <n v="228944"/>
    <n v="57574"/>
    <n v="254"/>
    <n v="49"/>
    <n v="54"/>
    <n v="11"/>
    <n v="2784"/>
    <n v="114"/>
    <n v="1.040296052631579"/>
    <n v="65"/>
    <s v="2020/12/23"/>
    <n v="2898"/>
    <n v="4.0372670807453402E-2"/>
    <n v="3"/>
  </r>
  <r>
    <x v="19"/>
    <s v="A.S. VIGO"/>
    <n v="65"/>
    <n v="257"/>
    <n v="111"/>
    <n v="1265"/>
    <n v="10474"/>
    <n v="54"/>
    <n v="11"/>
    <n v="231728"/>
    <n v="57688"/>
    <n v="257"/>
    <n v="14"/>
    <n v="50"/>
    <n v="12"/>
    <n v="1969"/>
    <n v="120"/>
    <n v="1.0110671936758893"/>
    <n v="51"/>
    <s v="2020/12/24"/>
    <n v="2089"/>
    <n v="3.1115366203925299E-2"/>
    <n v="0"/>
  </r>
  <r>
    <x v="20"/>
    <s v="A.S. VIGO"/>
    <n v="88"/>
    <n v="258"/>
    <n v="52"/>
    <n v="1279"/>
    <n v="10525"/>
    <n v="50"/>
    <n v="12"/>
    <n v="233697"/>
    <n v="57808"/>
    <n v="257"/>
    <n v="-47"/>
    <n v="51"/>
    <n v="13"/>
    <n v="1184"/>
    <n v="44"/>
    <n v="0.96325254104769353"/>
    <n v="134"/>
    <s v="2020/12/25"/>
    <n v="1228"/>
    <n v="7.1661237785016305E-2"/>
    <n v="1"/>
  </r>
  <r>
    <x v="21"/>
    <s v="A.S. VIGO"/>
    <n v="39"/>
    <n v="261"/>
    <n v="94"/>
    <n v="1232"/>
    <n v="10659"/>
    <n v="51"/>
    <n v="13"/>
    <n v="234881"/>
    <n v="57852"/>
    <n v="258"/>
    <n v="-6"/>
    <n v="50"/>
    <n v="11"/>
    <n v="525"/>
    <n v="67"/>
    <n v="0.99512987012987009"/>
    <n v="42"/>
    <s v="2020/12/26"/>
    <n v="592"/>
    <n v="6.5878378378378399E-2"/>
    <n v="3"/>
  </r>
  <r>
    <x v="22"/>
    <s v="A.S. VIGO"/>
    <n v="52"/>
    <n v="262"/>
    <n v="38"/>
    <n v="1226"/>
    <n v="10701"/>
    <n v="50"/>
    <n v="11"/>
    <n v="235406"/>
    <n v="57919"/>
    <n v="261"/>
    <n v="-49"/>
    <n v="51"/>
    <n v="12"/>
    <n v="855"/>
    <n v="64"/>
    <n v="0.96003262642740617"/>
    <n v="100"/>
    <s v="2020/12/27"/>
    <n v="919"/>
    <n v="5.6583242655059797E-2"/>
    <n v="1"/>
  </r>
  <r>
    <x v="23"/>
    <s v="A.S. VIGO"/>
    <n v="77"/>
    <n v="263"/>
    <n v="51"/>
    <n v="1177"/>
    <n v="10801"/>
    <n v="51"/>
    <n v="12"/>
    <n v="236261"/>
    <n v="57983"/>
    <n v="262"/>
    <n v="15"/>
    <n v="44"/>
    <n v="12"/>
    <n v="712"/>
    <n v="107"/>
    <n v="1.0127442650807137"/>
    <n v="61"/>
    <s v="2020/12/28"/>
    <n v="819"/>
    <n v="9.4017094017094002E-2"/>
    <n v="1"/>
  </r>
  <r>
    <x v="24"/>
    <s v="A.S. VIGO"/>
    <n v="75"/>
    <n v="267"/>
    <n v="70"/>
    <n v="1192"/>
    <n v="10862"/>
    <n v="44"/>
    <n v="12"/>
    <n v="236973"/>
    <n v="58090"/>
    <n v="263"/>
    <n v="-19"/>
    <n v="40"/>
    <n v="11"/>
    <n v="1361"/>
    <n v="107"/>
    <n v="0.98406040268456374"/>
    <n v="90"/>
    <s v="2020/12/29"/>
    <n v="1468"/>
    <n v="5.1089918256130802E-2"/>
    <n v="4"/>
  </r>
  <r>
    <x v="25"/>
    <s v="A.S. VIGO"/>
    <n v="91"/>
    <n v="270"/>
    <n v="73"/>
    <n v="1173"/>
    <n v="10952"/>
    <n v="40"/>
    <n v="11"/>
    <n v="238334"/>
    <n v="58197"/>
    <n v="267"/>
    <n v="-36"/>
    <n v="42"/>
    <n v="11"/>
    <n v="1488"/>
    <n v="121"/>
    <n v="0.96930946291560105"/>
    <n v="124"/>
    <s v="2020/12/30"/>
    <n v="1609"/>
    <n v="5.6556867619639503E-2"/>
    <n v="3"/>
  </r>
  <r>
    <x v="26"/>
    <s v="A.S. VIGO"/>
    <n v="131"/>
    <n v="271"/>
    <n v="78"/>
    <n v="1137"/>
    <n v="11076"/>
    <n v="42"/>
    <n v="11"/>
    <n v="239822"/>
    <n v="58318"/>
    <n v="270"/>
    <n v="44"/>
    <n v="40"/>
    <n v="9"/>
    <n v="1688"/>
    <n v="121"/>
    <n v="1.0386983289357961"/>
    <n v="86"/>
    <s v="2020/12/31"/>
    <n v="1809"/>
    <n v="7.2415699281370899E-2"/>
    <n v="1"/>
  </r>
  <r>
    <x v="27"/>
    <s v="A.S. VIGO"/>
    <n v="71"/>
    <n v="271"/>
    <n v="110"/>
    <n v="1181"/>
    <n v="11162"/>
    <n v="40"/>
    <n v="9"/>
    <n v="241510"/>
    <n v="58439"/>
    <n v="271"/>
    <n v="-6"/>
    <n v="41"/>
    <n v="11"/>
    <n v="837"/>
    <n v="53"/>
    <n v="0.99491955969517354"/>
    <n v="77"/>
    <s v="2021/01/01"/>
    <n v="890"/>
    <n v="7.9775280898876394E-2"/>
    <n v="0"/>
  </r>
  <r>
    <x v="28"/>
    <s v="A.S. VIGO"/>
    <n v="85"/>
    <n v="271"/>
    <n v="65"/>
    <n v="1175"/>
    <n v="11239"/>
    <n v="41"/>
    <n v="11"/>
    <n v="242347"/>
    <n v="58492"/>
    <n v="271"/>
    <n v="-2"/>
    <n v="43"/>
    <n v="12"/>
    <n v="1047"/>
    <n v="67"/>
    <n v="0.99829787234042555"/>
    <n v="87"/>
    <s v="2021/01/02"/>
    <n v="1114"/>
    <n v="7.6301615798922806E-2"/>
    <n v="0"/>
  </r>
  <r>
    <x v="29"/>
    <s v="A.S. VIGO"/>
    <n v="33"/>
    <n v="272"/>
    <n v="87"/>
    <n v="1173"/>
    <n v="11326"/>
    <n v="43"/>
    <n v="12"/>
    <n v="243394"/>
    <n v="58559"/>
    <n v="271"/>
    <n v="-39"/>
    <n v="51"/>
    <n v="11"/>
    <n v="1156"/>
    <n v="56"/>
    <n v="0.96675191815856776"/>
    <n v="71"/>
    <s v="2021/01/03"/>
    <n v="1212"/>
    <n v="2.72277227722772E-2"/>
    <n v="1"/>
  </r>
  <r>
    <x v="30"/>
    <s v="A.S. VIGO"/>
    <n v="32"/>
    <n v="272"/>
    <n v="28"/>
    <n v="1134"/>
    <n v="11397"/>
    <n v="51"/>
    <n v="11"/>
    <n v="244550"/>
    <n v="58615"/>
    <n v="272"/>
    <n v="-21"/>
    <n v="49"/>
    <n v="12"/>
    <n v="725"/>
    <n v="109"/>
    <n v="0.98148148148148151"/>
    <n v="53"/>
    <s v="2021/01/04"/>
    <n v="834"/>
    <n v="3.83693045563549E-2"/>
    <n v="0"/>
  </r>
  <r>
    <x v="31"/>
    <s v="A.S. VIGO"/>
    <n v="95"/>
    <n v="273"/>
    <n v="29"/>
    <n v="1113"/>
    <n v="11450"/>
    <n v="49"/>
    <n v="12"/>
    <n v="245275"/>
    <n v="58724"/>
    <n v="272"/>
    <n v="33"/>
    <n v="41"/>
    <n v="13"/>
    <n v="1307"/>
    <n v="138"/>
    <n v="1.0296495956873315"/>
    <n v="61"/>
    <s v="2021/01/05"/>
    <n v="1445"/>
    <n v="6.5743944636678195E-2"/>
    <n v="1"/>
  </r>
  <r>
    <x v="32"/>
    <s v="A.S. VIGO"/>
    <n v="184"/>
    <n v="273"/>
    <n v="90"/>
    <n v="1146"/>
    <n v="11511"/>
    <n v="41"/>
    <n v="13"/>
    <n v="246582"/>
    <n v="58862"/>
    <n v="273"/>
    <n v="114"/>
    <n v="45"/>
    <n v="14"/>
    <n v="1489"/>
    <n v="77"/>
    <n v="1.0994764397905759"/>
    <n v="70"/>
    <s v="2021/01/06"/>
    <n v="1566"/>
    <n v="0.11749680715198001"/>
    <n v="0"/>
  </r>
  <r>
    <x v="33"/>
    <s v="A.S. VIGO"/>
    <n v="78"/>
    <n v="276"/>
    <n v="181"/>
    <n v="1260"/>
    <n v="11581"/>
    <n v="45"/>
    <n v="14"/>
    <n v="248071"/>
    <n v="58939"/>
    <n v="273"/>
    <n v="-38"/>
    <n v="39"/>
    <n v="16"/>
    <n v="661"/>
    <n v="98"/>
    <n v="0.96984126984126984"/>
    <n v="113"/>
    <s v="2021/01/07"/>
    <n v="759"/>
    <n v="0.102766798418972"/>
    <n v="3"/>
  </r>
  <r>
    <x v="34"/>
    <s v="A.S. VIGO"/>
    <n v="220"/>
    <n v="277"/>
    <n v="66"/>
    <n v="1222"/>
    <n v="11694"/>
    <n v="39"/>
    <n v="16"/>
    <n v="248732"/>
    <n v="59037"/>
    <n v="276"/>
    <n v="108"/>
    <n v="41"/>
    <n v="18"/>
    <n v="1867"/>
    <n v="189"/>
    <n v="1.0883797054009821"/>
    <n v="111"/>
    <s v="2021/01/08"/>
    <n v="2056"/>
    <n v="0.107003891050584"/>
    <n v="1"/>
  </r>
  <r>
    <x v="35"/>
    <s v="A.S. VIGO"/>
    <n v="136"/>
    <n v="277"/>
    <n v="209"/>
    <n v="1330"/>
    <n v="11805"/>
    <n v="41"/>
    <n v="18"/>
    <n v="250599"/>
    <n v="59226"/>
    <n v="277"/>
    <n v="67"/>
    <n v="41"/>
    <n v="16"/>
    <n v="1747"/>
    <n v="79"/>
    <n v="1.050375939849624"/>
    <n v="69"/>
    <s v="2021/01/09"/>
    <n v="1826"/>
    <n v="7.4479737130339493E-2"/>
    <n v="0"/>
  </r>
  <r>
    <x v="36"/>
    <s v="A.S. VIGO"/>
    <n v="120"/>
    <n v="277"/>
    <n v="133"/>
    <n v="1397"/>
    <n v="11874"/>
    <n v="41"/>
    <n v="16"/>
    <n v="252346"/>
    <n v="59305"/>
    <n v="277"/>
    <n v="87"/>
    <n v="42"/>
    <n v="19"/>
    <n v="1702"/>
    <n v="39"/>
    <n v="1.0622763063707945"/>
    <n v="32"/>
    <s v="2021/01/10"/>
    <n v="1741"/>
    <n v="6.8925904652498607E-2"/>
    <n v="0"/>
  </r>
  <r>
    <x v="37"/>
    <s v="A.S. VIGO"/>
    <n v="148"/>
    <n v="279"/>
    <n v="111"/>
    <n v="1484"/>
    <n v="11906"/>
    <n v="42"/>
    <n v="19"/>
    <n v="254048"/>
    <n v="59344"/>
    <n v="277"/>
    <n v="95"/>
    <n v="45"/>
    <n v="20"/>
    <n v="1316"/>
    <n v="106"/>
    <n v="1.0640161725067385"/>
    <n v="51"/>
    <s v="2021/01/11"/>
    <n v="1422"/>
    <n v="0.10407876230661001"/>
    <n v="2"/>
  </r>
  <r>
    <x v="38"/>
    <s v="A.S. VIGO"/>
    <n v="221"/>
    <n v="280"/>
    <n v="140"/>
    <n v="1579"/>
    <n v="11957"/>
    <n v="45"/>
    <n v="20"/>
    <n v="255364"/>
    <n v="59450"/>
    <n v="279"/>
    <n v="141"/>
    <n v="44"/>
    <n v="22"/>
    <n v="1975"/>
    <n v="218"/>
    <n v="1.0892970234325523"/>
    <n v="79"/>
    <s v="2021/01/12"/>
    <n v="2193"/>
    <n v="0.10077519379845"/>
    <n v="1"/>
  </r>
  <r>
    <x v="39"/>
    <s v="A.S. VIGO"/>
    <n v="244"/>
    <n v="281"/>
    <n v="210"/>
    <n v="1720"/>
    <n v="12036"/>
    <n v="44"/>
    <n v="22"/>
    <n v="257339"/>
    <n v="59668"/>
    <n v="280"/>
    <n v="173"/>
    <n v="47"/>
    <n v="22"/>
    <n v="2275"/>
    <n v="276"/>
    <n v="1.1005813953488373"/>
    <n v="70"/>
    <s v="2021/01/13"/>
    <n v="2551"/>
    <n v="9.5648765190121499E-2"/>
    <n v="1"/>
  </r>
  <r>
    <x v="40"/>
    <s v="A.S. VIGO"/>
    <n v="191"/>
    <n v="281"/>
    <n v="214"/>
    <n v="1893"/>
    <n v="12106"/>
    <n v="47"/>
    <n v="22"/>
    <n v="259614"/>
    <n v="59944"/>
    <n v="281"/>
    <n v="101"/>
    <n v="56"/>
    <n v="22"/>
    <n v="2082"/>
    <n v="371"/>
    <n v="1.0533544638140517"/>
    <n v="90"/>
    <s v="2021/01/14"/>
    <n v="2453"/>
    <n v="7.7863840195678796E-2"/>
    <n v="0"/>
  </r>
  <r>
    <x v="41"/>
    <s v="A.S. VIGO"/>
    <n v="278"/>
    <n v="284"/>
    <n v="181"/>
    <n v="1994"/>
    <n v="12196"/>
    <n v="56"/>
    <n v="22"/>
    <n v="261696"/>
    <n v="60315"/>
    <n v="281"/>
    <n v="173"/>
    <n v="50"/>
    <n v="19"/>
    <n v="2243"/>
    <n v="311"/>
    <n v="1.0867602808425276"/>
    <n v="102"/>
    <s v="2021/01/15"/>
    <n v="2554"/>
    <n v="0.10884886452623301"/>
    <n v="3"/>
  </r>
  <r>
    <x v="42"/>
    <s v="A.S. VIGO"/>
    <n v="256"/>
    <n v="284"/>
    <n v="255"/>
    <n v="2167"/>
    <n v="12298"/>
    <n v="50"/>
    <n v="19"/>
    <n v="263939"/>
    <n v="60626"/>
    <n v="284"/>
    <n v="166"/>
    <n v="66"/>
    <n v="18"/>
    <n v="2483"/>
    <n v="135"/>
    <n v="1.0766035994462391"/>
    <n v="90"/>
    <s v="2021/01/16"/>
    <n v="2618"/>
    <n v="9.7784568372803707E-2"/>
    <n v="0"/>
  </r>
  <r>
    <x v="43"/>
    <s v="A.S. VIGO"/>
    <n v="154"/>
    <n v="285"/>
    <n v="252"/>
    <n v="2333"/>
    <n v="12388"/>
    <n v="66"/>
    <n v="18"/>
    <n v="266422"/>
    <n v="60761"/>
    <n v="284"/>
    <n v="119"/>
    <n v="85"/>
    <n v="20"/>
    <n v="1467"/>
    <n v="126"/>
    <n v="1.0510072867552507"/>
    <n v="34"/>
    <s v="2021/01/17"/>
    <n v="1593"/>
    <n v="9.6672944130571203E-2"/>
    <n v="1"/>
  </r>
  <r>
    <x v="44"/>
    <s v="A.S. VIGO"/>
    <n v="187"/>
    <n v="289"/>
    <n v="133"/>
    <n v="2452"/>
    <n v="12422"/>
    <n v="85"/>
    <n v="20"/>
    <n v="267889"/>
    <n v="60887"/>
    <n v="285"/>
    <n v="144"/>
    <n v="90"/>
    <n v="21"/>
    <n v="2573"/>
    <n v="292"/>
    <n v="1.0587275693311582"/>
    <n v="39"/>
    <s v="2021/01/18"/>
    <n v="2865"/>
    <n v="6.5270506108202397E-2"/>
    <n v="4"/>
  </r>
  <r>
    <x v="45"/>
    <s v="A.S. VIGO"/>
    <n v="239"/>
    <n v="291"/>
    <n v="169"/>
    <n v="2596"/>
    <n v="12461"/>
    <n v="90"/>
    <n v="21"/>
    <n v="270462"/>
    <n v="61179"/>
    <n v="289"/>
    <n v="180"/>
    <n v="112"/>
    <n v="22"/>
    <n v="2579"/>
    <n v="260"/>
    <n v="1.0693374422187982"/>
    <n v="57"/>
    <s v="2021/01/19"/>
    <n v="2839"/>
    <n v="8.4184572032405799E-2"/>
    <n v="2"/>
  </r>
  <r>
    <x v="46"/>
    <s v="A.S. VIGO"/>
    <n v="323"/>
    <n v="296"/>
    <n v="203"/>
    <n v="2776"/>
    <n v="12518"/>
    <n v="112"/>
    <n v="22"/>
    <n v="273041"/>
    <n v="61439"/>
    <n v="291"/>
    <n v="166"/>
    <n v="117"/>
    <n v="22"/>
    <n v="3301"/>
    <n v="364"/>
    <n v="1.0597982708933718"/>
    <n v="152"/>
    <s v="2021/01/20"/>
    <n v="3665"/>
    <n v="8.8130968622101E-2"/>
    <n v="5"/>
  </r>
  <r>
    <x v="47"/>
    <s v="A.S. VIGO"/>
    <n v="354"/>
    <n v="301"/>
    <n v="289"/>
    <n v="2942"/>
    <n v="12670"/>
    <n v="117"/>
    <n v="22"/>
    <n v="276342"/>
    <n v="61803"/>
    <n v="296"/>
    <n v="211"/>
    <n v="116"/>
    <n v="21"/>
    <n v="2614"/>
    <n v="579"/>
    <n v="1.0717199184228416"/>
    <n v="139"/>
    <s v="2021/01/21"/>
    <n v="3193"/>
    <n v="0.110867522705919"/>
    <n v="5"/>
  </r>
  <r>
    <x v="48"/>
    <s v="A.S. VIGO"/>
    <n v="331"/>
    <n v="304"/>
    <n v="332"/>
    <n v="3153"/>
    <n v="12809"/>
    <n v="116"/>
    <n v="21"/>
    <n v="278956"/>
    <n v="62382"/>
    <n v="301"/>
    <n v="196"/>
    <n v="126"/>
    <n v="22"/>
    <n v="1994"/>
    <n v="351"/>
    <n v="1.062163019346654"/>
    <n v="132"/>
    <s v="2021/01/22"/>
    <n v="2345"/>
    <n v="0.14115138592750501"/>
    <n v="3"/>
  </r>
  <r>
    <x v="49"/>
    <s v="A.S. VIGO"/>
    <n v="275"/>
    <n v="307"/>
    <n v="299"/>
    <n v="3349"/>
    <n v="12941"/>
    <n v="126"/>
    <n v="22"/>
    <n v="280950"/>
    <n v="62733"/>
    <n v="304"/>
    <n v="111"/>
    <n v="139"/>
    <n v="23"/>
    <n v="2936"/>
    <n v="177"/>
    <n v="1.0331442221558673"/>
    <n v="161"/>
    <s v="2021/01/23"/>
    <n v="3113"/>
    <n v="8.8339222614841006E-2"/>
    <n v="3"/>
  </r>
  <r>
    <x v="50"/>
    <s v="A.S. VIGO"/>
    <n v="230"/>
    <n v="308"/>
    <n v="268"/>
    <n v="3460"/>
    <n v="13102"/>
    <n v="139"/>
    <n v="23"/>
    <n v="283886"/>
    <n v="62910"/>
    <n v="307"/>
    <n v="82"/>
    <n v="154"/>
    <n v="21"/>
    <n v="2791"/>
    <n v="134"/>
    <n v="1.0236994219653179"/>
    <n v="148"/>
    <s v="2021/01/24"/>
    <n v="2925"/>
    <n v="7.8632478632478603E-2"/>
    <n v="1"/>
  </r>
  <r>
    <x v="51"/>
    <s v="A.S. VIGO"/>
    <n v="177"/>
    <n v="311"/>
    <n v="221"/>
    <n v="3542"/>
    <n v="13250"/>
    <n v="154"/>
    <n v="21"/>
    <n v="286677"/>
    <n v="63044"/>
    <n v="308"/>
    <n v="88"/>
    <n v="159"/>
    <n v="23"/>
    <n v="1729"/>
    <n v="363"/>
    <n v="1.0248447204968945"/>
    <n v="86"/>
    <s v="2021/01/25"/>
    <n v="2092"/>
    <n v="8.4608030592734196E-2"/>
    <n v="3"/>
  </r>
  <r>
    <x v="52"/>
    <s v="A.S. VIGO"/>
    <n v="225"/>
    <n v="312"/>
    <n v="151"/>
    <n v="3630"/>
    <n v="13336"/>
    <n v="159"/>
    <n v="23"/>
    <n v="288406"/>
    <n v="63407"/>
    <n v="311"/>
    <n v="50"/>
    <n v="178"/>
    <n v="23"/>
    <n v="2582"/>
    <n v="442"/>
    <n v="1.0137741046831956"/>
    <n v="175"/>
    <s v="2021/01/26"/>
    <n v="3024"/>
    <n v="7.4404761904761904E-2"/>
    <n v="1"/>
  </r>
  <r>
    <x v="53"/>
    <s v="A.S. VIGO"/>
    <n v="255"/>
    <n v="316"/>
    <n v="210"/>
    <n v="3680"/>
    <n v="13511"/>
    <n v="178"/>
    <n v="23"/>
    <n v="290988"/>
    <n v="63849"/>
    <n v="312"/>
    <n v="1"/>
    <n v="172"/>
    <n v="23"/>
    <n v="2423"/>
    <n v="280"/>
    <n v="1.0002717391304348"/>
    <n v="250"/>
    <s v="2021/01/27"/>
    <n v="2703"/>
    <n v="9.4339622641509399E-2"/>
    <n v="4"/>
  </r>
  <r>
    <x v="54"/>
    <s v="A.S. VIGO"/>
    <n v="349"/>
    <n v="318"/>
    <n v="201"/>
    <n v="3681"/>
    <n v="13761"/>
    <n v="172"/>
    <n v="23"/>
    <n v="293411"/>
    <n v="64129"/>
    <n v="316"/>
    <n v="118"/>
    <n v="164"/>
    <n v="23"/>
    <n v="2928"/>
    <n v="383"/>
    <n v="1.0320565063841347"/>
    <n v="229"/>
    <s v="2021/01/28"/>
    <n v="3311"/>
    <n v="0.105406221685291"/>
    <n v="2"/>
  </r>
  <r>
    <x v="55"/>
    <s v="A.S. VIGO"/>
    <n v="251"/>
    <n v="326"/>
    <n v="333"/>
    <n v="3799"/>
    <n v="13990"/>
    <n v="164"/>
    <n v="23"/>
    <n v="296339"/>
    <n v="64512"/>
    <n v="318"/>
    <n v="47"/>
    <n v="153"/>
    <n v="21"/>
    <n v="2458"/>
    <n v="416"/>
    <n v="1.0123716767570414"/>
    <n v="196"/>
    <s v="2021/01/29"/>
    <n v="2874"/>
    <n v="8.7334725121781503E-2"/>
    <n v="8"/>
  </r>
  <r>
    <x v="56"/>
    <s v="A.S. VIGO"/>
    <n v="277"/>
    <n v="326"/>
    <n v="236"/>
    <n v="3846"/>
    <n v="14186"/>
    <n v="153"/>
    <n v="21"/>
    <n v="298797"/>
    <n v="64928"/>
    <n v="326"/>
    <n v="5"/>
    <n v="154"/>
    <n v="21"/>
    <n v="2553"/>
    <n v="714"/>
    <n v="1.0013000520020801"/>
    <n v="271"/>
    <s v="2021/01/30"/>
    <n v="3267"/>
    <n v="8.47872666054484E-2"/>
    <n v="0"/>
  </r>
  <r>
    <x v="57"/>
    <s v="A.S. VIGO"/>
    <n v="153"/>
    <n v="327"/>
    <n v="261"/>
    <n v="3851"/>
    <n v="14457"/>
    <n v="154"/>
    <n v="21"/>
    <n v="301350"/>
    <n v="65642"/>
    <n v="326"/>
    <n v="-53"/>
    <n v="166"/>
    <n v="24"/>
    <n v="2643"/>
    <n v="3975"/>
    <n v="0.9862373409504025"/>
    <n v="205"/>
    <s v="2021/01/31"/>
    <n v="6618"/>
    <n v="2.3118766999093401E-2"/>
    <n v="1"/>
  </r>
  <r>
    <x v="58"/>
    <s v="A.S. VIGO"/>
    <n v="135"/>
    <n v="333"/>
    <n v="151"/>
    <n v="3798"/>
    <n v="14662"/>
    <n v="166"/>
    <n v="24"/>
    <n v="303993"/>
    <n v="69617"/>
    <n v="327"/>
    <n v="63"/>
    <n v="172"/>
    <n v="25"/>
    <n v="1585"/>
    <n v="4474"/>
    <n v="1.0165876777251184"/>
    <n v="66"/>
    <s v="2021/02/01"/>
    <n v="6059"/>
    <n v="2.2280904439676501E-2"/>
    <n v="6"/>
  </r>
  <r>
    <x v="59"/>
    <s v="A.S. VIGO"/>
    <n v="239"/>
    <n v="336"/>
    <n v="112"/>
    <n v="3861"/>
    <n v="14728"/>
    <n v="172"/>
    <n v="25"/>
    <n v="305578"/>
    <n v="74091"/>
    <n v="333"/>
    <n v="6"/>
    <n v="165"/>
    <n v="24"/>
    <n v="2524"/>
    <n v="4573"/>
    <n v="1.0015540015540016"/>
    <n v="230"/>
    <s v="2021/02/02"/>
    <n v="7097"/>
    <n v="3.3676201211779597E-2"/>
    <n v="3"/>
  </r>
  <r>
    <x v="60"/>
    <s v="A.S. VIGO"/>
    <n v="204"/>
    <n v="340"/>
    <n v="232"/>
    <n v="3867"/>
    <n v="14958"/>
    <n v="165"/>
    <n v="24"/>
    <n v="308102"/>
    <n v="78664"/>
    <n v="336"/>
    <n v="-37"/>
    <n v="153"/>
    <n v="25"/>
    <n v="2821"/>
    <n v="4309"/>
    <n v="0.99043185932247224"/>
    <n v="237"/>
    <s v="2021/02/03"/>
    <n v="7130"/>
    <n v="2.86115007012623E-2"/>
    <n v="4"/>
  </r>
  <r>
    <x v="61"/>
    <s v="A.S. VIGO"/>
    <n v="135"/>
    <n v="347"/>
    <n v="208"/>
    <n v="3830"/>
    <n v="15195"/>
    <n v="153"/>
    <n v="25"/>
    <n v="310923"/>
    <n v="82973"/>
    <n v="340"/>
    <n v="-183"/>
    <n v="136"/>
    <n v="26"/>
    <n v="1771"/>
    <n v="4686"/>
    <n v="0.95221932114882502"/>
    <n v="311"/>
    <s v="2021/02/04"/>
    <n v="6457"/>
    <n v="2.0907542202261101E-2"/>
    <n v="7"/>
  </r>
  <r>
    <x v="62"/>
    <s v="A.S. VIGO"/>
    <n v="156"/>
    <n v="348"/>
    <n v="127"/>
    <n v="3647"/>
    <n v="15506"/>
    <n v="136"/>
    <n v="26"/>
    <n v="312694"/>
    <n v="87659"/>
    <n v="347"/>
    <n v="-178"/>
    <n v="135"/>
    <n v="26"/>
    <n v="2332"/>
    <n v="396"/>
    <n v="0.95119276117356732"/>
    <n v="333"/>
    <s v="2021/02/05"/>
    <n v="2728"/>
    <n v="5.71847507331378E-2"/>
    <n v="1"/>
  </r>
  <r>
    <x v="63"/>
    <s v="A.S. VIGO"/>
    <n v="103"/>
    <n v="348"/>
    <n v="141"/>
    <n v="3469"/>
    <n v="15839"/>
    <n v="135"/>
    <n v="26"/>
    <n v="315026"/>
    <n v="88055"/>
    <n v="348"/>
    <n v="-168"/>
    <n v="136"/>
    <n v="30"/>
    <n v="3270"/>
    <n v="332"/>
    <n v="0.95157105794176999"/>
    <n v="271"/>
    <s v="2021/02/06"/>
    <n v="3602"/>
    <n v="2.8595224875069401E-2"/>
    <n v="0"/>
  </r>
  <r>
    <x v="64"/>
    <s v="A.S. VIGO"/>
    <n v="71"/>
    <n v="351"/>
    <n v="94"/>
    <n v="3301"/>
    <n v="16110"/>
    <n v="136"/>
    <n v="30"/>
    <n v="318296"/>
    <n v="88387"/>
    <n v="348"/>
    <n v="-155"/>
    <n v="145"/>
    <n v="29"/>
    <n v="2034"/>
    <n v="160"/>
    <n v="0.95304453196001215"/>
    <n v="223"/>
    <s v="2021/02/07"/>
    <n v="2194"/>
    <n v="3.2360984503190499E-2"/>
    <n v="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5">
  <r>
    <x v="0"/>
    <s v="A.S. SANTIAGO E BARBANZA"/>
    <n v="52"/>
    <n v="170"/>
    <n v="45"/>
    <n v="807"/>
    <n v="7076"/>
    <n v="36"/>
    <n v="6"/>
    <n v="149227"/>
    <n v="87756"/>
    <n v="170"/>
    <n v="-23"/>
    <n v="43"/>
    <n v="6"/>
    <n v="1418"/>
    <n v="93"/>
    <n v="0.97149938042131345"/>
    <n v="75"/>
    <s v="2020/12/05"/>
    <n v="1511"/>
    <n v="3.4414295168762397E-2"/>
    <n v="0"/>
  </r>
  <r>
    <x v="1"/>
    <s v="A.S. SANTIAGO E BARBANZA"/>
    <n v="47"/>
    <n v="170"/>
    <n v="45"/>
    <n v="784"/>
    <n v="7151"/>
    <n v="43"/>
    <n v="6"/>
    <n v="150645"/>
    <n v="87849"/>
    <n v="170"/>
    <n v="11"/>
    <n v="45"/>
    <n v="6"/>
    <n v="1178"/>
    <n v="57"/>
    <n v="1.0140306122448979"/>
    <n v="36"/>
    <s v="2020/12/06"/>
    <n v="1235"/>
    <n v="3.8056680161943301E-2"/>
    <n v="0"/>
  </r>
  <r>
    <x v="2"/>
    <s v="A.S. SANTIAGO E BARBANZA"/>
    <n v="65"/>
    <n v="170"/>
    <n v="43"/>
    <n v="795"/>
    <n v="7187"/>
    <n v="45"/>
    <n v="6"/>
    <n v="151823"/>
    <n v="87906"/>
    <n v="170"/>
    <n v="-12"/>
    <n v="51"/>
    <n v="6"/>
    <n v="1784"/>
    <n v="181"/>
    <n v="0.98490566037735849"/>
    <n v="77"/>
    <s v="2020/12/07"/>
    <n v="1965"/>
    <n v="3.30788804071247E-2"/>
    <n v="0"/>
  </r>
  <r>
    <x v="3"/>
    <s v="A.S. SANTIAGO E BARBANZA"/>
    <n v="53"/>
    <n v="172"/>
    <n v="54"/>
    <n v="783"/>
    <n v="7264"/>
    <n v="51"/>
    <n v="6"/>
    <n v="153607"/>
    <n v="88087"/>
    <n v="170"/>
    <n v="2"/>
    <n v="52"/>
    <n v="6"/>
    <n v="879"/>
    <n v="98"/>
    <n v="1.0025542784163475"/>
    <n v="49"/>
    <s v="2020/12/08"/>
    <n v="977"/>
    <n v="5.4247697031729797E-2"/>
    <n v="2"/>
  </r>
  <r>
    <x v="4"/>
    <s v="A.S. SANTIAGO E BARBANZA"/>
    <n v="77"/>
    <n v="172"/>
    <n v="50"/>
    <n v="785"/>
    <n v="7313"/>
    <n v="52"/>
    <n v="6"/>
    <n v="154486"/>
    <n v="88185"/>
    <n v="172"/>
    <n v="32"/>
    <n v="53"/>
    <n v="6"/>
    <n v="1962"/>
    <n v="169"/>
    <n v="1.0407643312101911"/>
    <n v="45"/>
    <s v="2020/12/09"/>
    <n v="2131"/>
    <n v="3.6133270764899098E-2"/>
    <n v="0"/>
  </r>
  <r>
    <x v="5"/>
    <s v="A.S. SANTIAGO E BARBANZA"/>
    <n v="66"/>
    <n v="173"/>
    <n v="65"/>
    <n v="817"/>
    <n v="7358"/>
    <n v="53"/>
    <n v="6"/>
    <n v="156448"/>
    <n v="88354"/>
    <n v="172"/>
    <n v="7"/>
    <n v="52"/>
    <n v="7"/>
    <n v="840"/>
    <n v="192"/>
    <n v="1.0085679314565483"/>
    <n v="58"/>
    <s v="2020/12/10"/>
    <n v="1032"/>
    <n v="6.3953488372092998E-2"/>
    <n v="1"/>
  </r>
  <r>
    <x v="6"/>
    <s v="A.S. SANTIAGO E BARBANZA"/>
    <n v="91"/>
    <n v="174"/>
    <n v="47"/>
    <n v="824"/>
    <n v="7416"/>
    <n v="52"/>
    <n v="7"/>
    <n v="157288"/>
    <n v="88546"/>
    <n v="173"/>
    <n v="28"/>
    <n v="50"/>
    <n v="11"/>
    <n v="1146"/>
    <n v="257"/>
    <n v="1.0339805825242718"/>
    <n v="63"/>
    <s v="2020/12/11"/>
    <n v="1403"/>
    <n v="6.4861012116892394E-2"/>
    <n v="1"/>
  </r>
  <r>
    <x v="7"/>
    <s v="A.S. SANTIAGO E BARBANZA"/>
    <n v="96"/>
    <n v="174"/>
    <n v="72"/>
    <n v="852"/>
    <n v="7479"/>
    <n v="50"/>
    <n v="11"/>
    <n v="158434"/>
    <n v="88803"/>
    <n v="174"/>
    <n v="53"/>
    <n v="56"/>
    <n v="10"/>
    <n v="1379"/>
    <n v="145"/>
    <n v="1.062206572769953"/>
    <n v="43"/>
    <s v="2020/12/12"/>
    <n v="1524"/>
    <n v="6.2992125984251995E-2"/>
    <n v="0"/>
  </r>
  <r>
    <x v="8"/>
    <s v="A.S. SANTIAGO E BARBANZA"/>
    <n v="88"/>
    <n v="174"/>
    <n v="73"/>
    <n v="905"/>
    <n v="7522"/>
    <n v="56"/>
    <n v="10"/>
    <n v="159813"/>
    <n v="88948"/>
    <n v="174"/>
    <n v="47"/>
    <n v="62"/>
    <n v="11"/>
    <n v="2132"/>
    <n v="115"/>
    <n v="1.0519337016574586"/>
    <n v="41"/>
    <s v="2020/12/13"/>
    <n v="2247"/>
    <n v="3.9163328882955102E-2"/>
    <n v="0"/>
  </r>
  <r>
    <x v="9"/>
    <s v="A.S. SANTIAGO E BARBANZA"/>
    <n v="78"/>
    <n v="175"/>
    <n v="70"/>
    <n v="952"/>
    <n v="7563"/>
    <n v="62"/>
    <n v="11"/>
    <n v="161945"/>
    <n v="89063"/>
    <n v="174"/>
    <n v="53"/>
    <n v="67"/>
    <n v="8"/>
    <n v="1837"/>
    <n v="242"/>
    <n v="1.055672268907563"/>
    <n v="24"/>
    <s v="2020/12/14"/>
    <n v="2079"/>
    <n v="3.7518037518037499E-2"/>
    <n v="1"/>
  </r>
  <r>
    <x v="10"/>
    <s v="A.S. SANTIAGO E BARBANZA"/>
    <n v="118"/>
    <n v="175"/>
    <n v="56"/>
    <n v="1005"/>
    <n v="7587"/>
    <n v="67"/>
    <n v="8"/>
    <n v="163782"/>
    <n v="89305"/>
    <n v="175"/>
    <n v="49"/>
    <n v="64"/>
    <n v="7"/>
    <n v="2553"/>
    <n v="233"/>
    <n v="1.0487562189054727"/>
    <n v="69"/>
    <s v="2020/12/15"/>
    <n v="2786"/>
    <n v="4.2354630294328802E-2"/>
    <n v="0"/>
  </r>
  <r>
    <x v="11"/>
    <s v="A.S. SANTIAGO E BARBANZA"/>
    <n v="110"/>
    <n v="175"/>
    <n v="101"/>
    <n v="1054"/>
    <n v="7656"/>
    <n v="64"/>
    <n v="7"/>
    <n v="166335"/>
    <n v="89538"/>
    <n v="175"/>
    <n v="46"/>
    <n v="62"/>
    <n v="6"/>
    <n v="2001"/>
    <n v="236"/>
    <n v="1.0436432637571158"/>
    <n v="63"/>
    <s v="2020/12/16"/>
    <n v="2237"/>
    <n v="4.9172999552972697E-2"/>
    <n v="0"/>
  </r>
  <r>
    <x v="12"/>
    <s v="A.S. SANTIAGO E BARBANZA"/>
    <n v="104"/>
    <n v="176"/>
    <n v="91"/>
    <n v="1100"/>
    <n v="7719"/>
    <n v="62"/>
    <n v="6"/>
    <n v="168336"/>
    <n v="89774"/>
    <n v="175"/>
    <n v="44"/>
    <n v="63"/>
    <n v="6"/>
    <n v="1453"/>
    <n v="226"/>
    <n v="1.04"/>
    <n v="60"/>
    <s v="2020/12/17"/>
    <n v="1679"/>
    <n v="6.1941631923764201E-2"/>
    <n v="1"/>
  </r>
  <r>
    <x v="13"/>
    <s v="A.S. SANTIAGO E BARBANZA"/>
    <n v="101"/>
    <n v="176"/>
    <n v="84"/>
    <n v="1144"/>
    <n v="7779"/>
    <n v="63"/>
    <n v="6"/>
    <n v="169789"/>
    <n v="90000"/>
    <n v="176"/>
    <n v="51"/>
    <n v="66"/>
    <n v="6"/>
    <n v="2020"/>
    <n v="232"/>
    <n v="1.0445804195804196"/>
    <n v="50"/>
    <s v="2020/12/18"/>
    <n v="2252"/>
    <n v="4.4849023090586103E-2"/>
    <n v="0"/>
  </r>
  <r>
    <x v="14"/>
    <s v="A.S. SANTIAGO E BARBANZA"/>
    <n v="81"/>
    <n v="176"/>
    <n v="74"/>
    <n v="1195"/>
    <n v="7829"/>
    <n v="66"/>
    <n v="6"/>
    <n v="171809"/>
    <n v="90232"/>
    <n v="176"/>
    <n v="21"/>
    <n v="73"/>
    <n v="5"/>
    <n v="1623"/>
    <n v="119"/>
    <n v="1.0175732217573221"/>
    <n v="60"/>
    <s v="2020/12/19"/>
    <n v="1742"/>
    <n v="4.6498277841561401E-2"/>
    <n v="0"/>
  </r>
  <r>
    <x v="15"/>
    <s v="A.S. SANTIAGO E BARBANZA"/>
    <n v="64"/>
    <n v="177"/>
    <n v="77"/>
    <n v="1216"/>
    <n v="7889"/>
    <n v="73"/>
    <n v="5"/>
    <n v="173432"/>
    <n v="90351"/>
    <n v="176"/>
    <n v="19"/>
    <n v="76"/>
    <n v="6"/>
    <n v="1697"/>
    <n v="100"/>
    <n v="1.015625"/>
    <n v="44"/>
    <s v="2020/12/20"/>
    <n v="1797"/>
    <n v="3.5614913745130802E-2"/>
    <n v="1"/>
  </r>
  <r>
    <x v="16"/>
    <s v="A.S. SANTIAGO E BARBANZA"/>
    <n v="55"/>
    <n v="177"/>
    <n v="61"/>
    <n v="1235"/>
    <n v="7933"/>
    <n v="76"/>
    <n v="6"/>
    <n v="175129"/>
    <n v="90451"/>
    <n v="177"/>
    <n v="13"/>
    <n v="73"/>
    <n v="7"/>
    <n v="1734"/>
    <n v="197"/>
    <n v="1.0105263157894737"/>
    <n v="42"/>
    <s v="2020/12/21"/>
    <n v="1931"/>
    <n v="2.8482651475919201E-2"/>
    <n v="0"/>
  </r>
  <r>
    <x v="17"/>
    <s v="A.S. SANTIAGO E BARBANZA"/>
    <n v="80"/>
    <n v="179"/>
    <n v="42"/>
    <n v="1248"/>
    <n v="7975"/>
    <n v="73"/>
    <n v="7"/>
    <n v="176863"/>
    <n v="90648"/>
    <n v="177"/>
    <n v="22"/>
    <n v="76"/>
    <n v="5"/>
    <n v="1501"/>
    <n v="250"/>
    <n v="1.0176282051282051"/>
    <n v="56"/>
    <s v="2020/12/22"/>
    <n v="1751"/>
    <n v="4.5688178183894902E-2"/>
    <n v="2"/>
  </r>
  <r>
    <x v="18"/>
    <s v="A.S. SANTIAGO E BARBANZA"/>
    <n v="114"/>
    <n v="179"/>
    <n v="61"/>
    <n v="1270"/>
    <n v="8031"/>
    <n v="76"/>
    <n v="5"/>
    <n v="178364"/>
    <n v="90898"/>
    <n v="179"/>
    <n v="51"/>
    <n v="70"/>
    <n v="6"/>
    <n v="1584"/>
    <n v="246"/>
    <n v="1.0401574803149607"/>
    <n v="63"/>
    <s v="2020/12/23"/>
    <n v="1830"/>
    <n v="6.2295081967213103E-2"/>
    <n v="0"/>
  </r>
  <r>
    <x v="19"/>
    <s v="A.S. SANTIAGO E BARBANZA"/>
    <n v="78"/>
    <n v="179"/>
    <n v="103"/>
    <n v="1321"/>
    <n v="8094"/>
    <n v="70"/>
    <n v="6"/>
    <n v="179948"/>
    <n v="91144"/>
    <n v="179"/>
    <n v="2"/>
    <n v="63"/>
    <n v="7"/>
    <n v="2383"/>
    <n v="222"/>
    <n v="1.0015140045420137"/>
    <n v="76"/>
    <s v="2020/12/24"/>
    <n v="2605"/>
    <n v="2.9942418426103599E-2"/>
    <n v="0"/>
  </r>
  <r>
    <x v="20"/>
    <s v="A.S. SANTIAGO E BARBANZA"/>
    <n v="99"/>
    <n v="182"/>
    <n v="63"/>
    <n v="1323"/>
    <n v="8170"/>
    <n v="63"/>
    <n v="7"/>
    <n v="182331"/>
    <n v="91366"/>
    <n v="179"/>
    <n v="32"/>
    <n v="65"/>
    <n v="7"/>
    <n v="1941"/>
    <n v="91"/>
    <n v="1.0241874527588812"/>
    <n v="64"/>
    <s v="2020/12/25"/>
    <n v="2032"/>
    <n v="4.8720472440944899E-2"/>
    <n v="3"/>
  </r>
  <r>
    <x v="21"/>
    <s v="A.S. SANTIAGO E BARBANZA"/>
    <n v="79"/>
    <n v="184"/>
    <n v="96"/>
    <n v="1355"/>
    <n v="8234"/>
    <n v="65"/>
    <n v="7"/>
    <n v="184272"/>
    <n v="91457"/>
    <n v="182"/>
    <n v="-3"/>
    <n v="69"/>
    <n v="7"/>
    <n v="648"/>
    <n v="92"/>
    <n v="0.99778597785977863"/>
    <n v="80"/>
    <s v="2020/12/26"/>
    <n v="740"/>
    <n v="0.106756756756757"/>
    <n v="2"/>
  </r>
  <r>
    <x v="22"/>
    <s v="A.S. SANTIAGO E BARBANZA"/>
    <n v="76"/>
    <n v="184"/>
    <n v="68"/>
    <n v="1352"/>
    <n v="8314"/>
    <n v="69"/>
    <n v="7"/>
    <n v="184920"/>
    <n v="91549"/>
    <n v="184"/>
    <n v="-5"/>
    <n v="71"/>
    <n v="7"/>
    <n v="880"/>
    <n v="106"/>
    <n v="0.99630177514792895"/>
    <n v="81"/>
    <s v="2020/12/27"/>
    <n v="986"/>
    <n v="7.7079107505071007E-2"/>
    <n v="0"/>
  </r>
  <r>
    <x v="23"/>
    <s v="A.S. SANTIAGO E BARBANZA"/>
    <n v="72"/>
    <n v="188"/>
    <n v="70"/>
    <n v="1347"/>
    <n v="8395"/>
    <n v="71"/>
    <n v="7"/>
    <n v="185800"/>
    <n v="91655"/>
    <n v="184"/>
    <n v="-11"/>
    <n v="74"/>
    <n v="5"/>
    <n v="735"/>
    <n v="194"/>
    <n v="0.99183370452858199"/>
    <n v="79"/>
    <s v="2020/12/28"/>
    <n v="929"/>
    <n v="7.7502691065662002E-2"/>
    <n v="4"/>
  </r>
  <r>
    <x v="24"/>
    <s v="A.S. SANTIAGO E BARBANZA"/>
    <n v="121"/>
    <n v="189"/>
    <n v="54"/>
    <n v="1336"/>
    <n v="8474"/>
    <n v="74"/>
    <n v="5"/>
    <n v="186535"/>
    <n v="91849"/>
    <n v="188"/>
    <n v="37"/>
    <n v="65"/>
    <n v="7"/>
    <n v="1159"/>
    <n v="273"/>
    <n v="1.027694610778443"/>
    <n v="83"/>
    <s v="2020/12/29"/>
    <n v="1432"/>
    <n v="8.4497206703910602E-2"/>
    <n v="1"/>
  </r>
  <r>
    <x v="25"/>
    <s v="A.S. SANTIAGO E BARBANZA"/>
    <n v="115"/>
    <n v="191"/>
    <n v="103"/>
    <n v="1373"/>
    <n v="8557"/>
    <n v="65"/>
    <n v="7"/>
    <n v="187694"/>
    <n v="92122"/>
    <n v="189"/>
    <n v="-4"/>
    <n v="69"/>
    <n v="7"/>
    <n v="1025"/>
    <n v="248"/>
    <n v="0.99708667152221409"/>
    <n v="117"/>
    <s v="2020/12/30"/>
    <n v="1273"/>
    <n v="9.0337784760408504E-2"/>
    <n v="2"/>
  </r>
  <r>
    <x v="26"/>
    <s v="A.S. SANTIAGO E BARBANZA"/>
    <n v="103"/>
    <n v="193"/>
    <n v="89"/>
    <n v="1369"/>
    <n v="8674"/>
    <n v="69"/>
    <n v="7"/>
    <n v="188719"/>
    <n v="92370"/>
    <n v="191"/>
    <n v="-23"/>
    <n v="75"/>
    <n v="8"/>
    <n v="1332"/>
    <n v="254"/>
    <n v="0.98319941563184809"/>
    <n v="124"/>
    <s v="2020/12/31"/>
    <n v="1586"/>
    <n v="6.4943253467843604E-2"/>
    <n v="2"/>
  </r>
  <r>
    <x v="27"/>
    <s v="A.S. SANTIAGO E BARBANZA"/>
    <n v="122"/>
    <n v="193"/>
    <n v="83"/>
    <n v="1346"/>
    <n v="8798"/>
    <n v="75"/>
    <n v="8"/>
    <n v="190051"/>
    <n v="92624"/>
    <n v="193"/>
    <n v="10"/>
    <n v="79"/>
    <n v="8"/>
    <n v="948"/>
    <n v="96"/>
    <n v="1.0074294205052006"/>
    <n v="112"/>
    <s v="2021/01/01"/>
    <n v="1044"/>
    <n v="0.116858237547893"/>
    <n v="0"/>
  </r>
  <r>
    <x v="28"/>
    <s v="A.S. SANTIAGO E BARBANZA"/>
    <n v="66"/>
    <n v="197"/>
    <n v="115"/>
    <n v="1356"/>
    <n v="8910"/>
    <n v="79"/>
    <n v="8"/>
    <n v="190999"/>
    <n v="92720"/>
    <n v="193"/>
    <n v="-24"/>
    <n v="76"/>
    <n v="11"/>
    <n v="596"/>
    <n v="139"/>
    <n v="0.98230088495575218"/>
    <n v="86"/>
    <s v="2021/01/02"/>
    <n v="735"/>
    <n v="8.9795918367346905E-2"/>
    <n v="4"/>
  </r>
  <r>
    <x v="29"/>
    <s v="A.S. SANTIAGO E BARBANZA"/>
    <n v="53"/>
    <n v="200"/>
    <n v="57"/>
    <n v="1332"/>
    <n v="8996"/>
    <n v="76"/>
    <n v="11"/>
    <n v="191595"/>
    <n v="92859"/>
    <n v="197"/>
    <n v="-5"/>
    <n v="74"/>
    <n v="12"/>
    <n v="828"/>
    <n v="151"/>
    <n v="0.99624624624624625"/>
    <n v="55"/>
    <s v="2021/01/03"/>
    <n v="979"/>
    <n v="5.41368743615935E-2"/>
    <n v="3"/>
  </r>
  <r>
    <x v="30"/>
    <s v="A.S. SANTIAGO E BARBANZA"/>
    <n v="60"/>
    <n v="200"/>
    <n v="43"/>
    <n v="1327"/>
    <n v="9051"/>
    <n v="74"/>
    <n v="12"/>
    <n v="192423"/>
    <n v="93010"/>
    <n v="200"/>
    <n v="9"/>
    <n v="80"/>
    <n v="13"/>
    <n v="583"/>
    <n v="231"/>
    <n v="1.0067822155237378"/>
    <n v="51"/>
    <s v="2021/01/04"/>
    <n v="814"/>
    <n v="7.3710073710073695E-2"/>
    <n v="0"/>
  </r>
  <r>
    <x v="31"/>
    <s v="A.S. SANTIAGO E BARBANZA"/>
    <n v="156"/>
    <n v="201"/>
    <n v="37"/>
    <n v="1336"/>
    <n v="9102"/>
    <n v="80"/>
    <n v="13"/>
    <n v="193006"/>
    <n v="93241"/>
    <n v="200"/>
    <n v="106"/>
    <n v="83"/>
    <n v="13"/>
    <n v="1979"/>
    <n v="294"/>
    <n v="1.0793413173652695"/>
    <n v="49"/>
    <s v="2021/01/05"/>
    <n v="2273"/>
    <n v="6.8631764188297403E-2"/>
    <n v="1"/>
  </r>
  <r>
    <x v="32"/>
    <s v="A.S. SANTIAGO E BARBANZA"/>
    <n v="106"/>
    <n v="202"/>
    <n v="133"/>
    <n v="1442"/>
    <n v="9151"/>
    <n v="83"/>
    <n v="13"/>
    <n v="194985"/>
    <n v="93535"/>
    <n v="201"/>
    <n v="11"/>
    <n v="91"/>
    <n v="9"/>
    <n v="2093"/>
    <n v="109"/>
    <n v="1.007628294036061"/>
    <n v="94"/>
    <s v="2021/01/06"/>
    <n v="2202"/>
    <n v="4.8138056312443202E-2"/>
    <n v="1"/>
  </r>
  <r>
    <x v="33"/>
    <s v="A.S. SANTIAGO E BARBANZA"/>
    <n v="179"/>
    <n v="202"/>
    <n v="93"/>
    <n v="1453"/>
    <n v="9245"/>
    <n v="91"/>
    <n v="9"/>
    <n v="197078"/>
    <n v="93644"/>
    <n v="202"/>
    <n v="64"/>
    <n v="92"/>
    <n v="9"/>
    <n v="2660"/>
    <n v="207"/>
    <n v="1.0440467997247076"/>
    <n v="115"/>
    <s v="2021/01/07"/>
    <n v="2867"/>
    <n v="6.2434600627834E-2"/>
    <n v="0"/>
  </r>
  <r>
    <x v="34"/>
    <s v="A.S. SANTIAGO E BARBANZA"/>
    <n v="203"/>
    <n v="202"/>
    <n v="139"/>
    <n v="1517"/>
    <n v="9360"/>
    <n v="92"/>
    <n v="9"/>
    <n v="199738"/>
    <n v="93851"/>
    <n v="202"/>
    <n v="133"/>
    <n v="94"/>
    <n v="8"/>
    <n v="2243"/>
    <n v="415"/>
    <n v="1.0876730388925511"/>
    <n v="70"/>
    <s v="2021/01/08"/>
    <n v="2658"/>
    <n v="7.6373212942061702E-2"/>
    <n v="0"/>
  </r>
  <r>
    <x v="35"/>
    <s v="A.S. SANTIAGO E BARBANZA"/>
    <n v="98"/>
    <n v="202"/>
    <n v="169"/>
    <n v="1650"/>
    <n v="9430"/>
    <n v="94"/>
    <n v="8"/>
    <n v="201981"/>
    <n v="94266"/>
    <n v="202"/>
    <n v="-8"/>
    <n v="98"/>
    <n v="7"/>
    <n v="2296"/>
    <n v="191"/>
    <n v="0.99515151515151512"/>
    <n v="106"/>
    <s v="2021/01/09"/>
    <n v="2487"/>
    <n v="3.9404905508644998E-2"/>
    <n v="0"/>
  </r>
  <r>
    <x v="36"/>
    <s v="A.S. SANTIAGO E BARBANZA"/>
    <n v="99"/>
    <n v="204"/>
    <n v="88"/>
    <n v="1642"/>
    <n v="9536"/>
    <n v="98"/>
    <n v="7"/>
    <n v="204277"/>
    <n v="94457"/>
    <n v="202"/>
    <n v="37"/>
    <n v="101"/>
    <n v="8"/>
    <n v="1979"/>
    <n v="111"/>
    <n v="1.0225334957369061"/>
    <n v="60"/>
    <s v="2021/01/10"/>
    <n v="2090"/>
    <n v="4.7368421052631601E-2"/>
    <n v="2"/>
  </r>
  <r>
    <x v="37"/>
    <s v="A.S. SANTIAGO E BARBANZA"/>
    <n v="200"/>
    <n v="206"/>
    <n v="74"/>
    <n v="1679"/>
    <n v="9596"/>
    <n v="101"/>
    <n v="8"/>
    <n v="206256"/>
    <n v="94568"/>
    <n v="204"/>
    <n v="131"/>
    <n v="105"/>
    <n v="7"/>
    <n v="1057"/>
    <n v="250"/>
    <n v="1.0780226325193567"/>
    <n v="68"/>
    <s v="2021/01/11"/>
    <n v="1307"/>
    <n v="0.15302218821729199"/>
    <n v="2"/>
  </r>
  <r>
    <x v="38"/>
    <s v="A.S. SANTIAGO E BARBANZA"/>
    <n v="195"/>
    <n v="215"/>
    <n v="171"/>
    <n v="1810"/>
    <n v="9664"/>
    <n v="105"/>
    <n v="7"/>
    <n v="207313"/>
    <n v="94818"/>
    <n v="206"/>
    <n v="76"/>
    <n v="93"/>
    <n v="6"/>
    <n v="2240"/>
    <n v="449"/>
    <n v="1.0419889502762432"/>
    <n v="111"/>
    <s v="2021/01/12"/>
    <n v="2689"/>
    <n v="7.25176645593157E-2"/>
    <n v="9"/>
  </r>
  <r>
    <x v="39"/>
    <s v="A.S. SANTIAGO E BARBANZA"/>
    <n v="231"/>
    <n v="215"/>
    <n v="149"/>
    <n v="1886"/>
    <n v="9775"/>
    <n v="93"/>
    <n v="6"/>
    <n v="209553"/>
    <n v="95267"/>
    <n v="215"/>
    <n v="97"/>
    <n v="92"/>
    <n v="8"/>
    <n v="2112"/>
    <n v="362"/>
    <n v="1.0514316012725344"/>
    <n v="134"/>
    <s v="2021/01/13"/>
    <n v="2474"/>
    <n v="9.3371059013742902E-2"/>
    <n v="0"/>
  </r>
  <r>
    <x v="40"/>
    <s v="A.S. SANTIAGO E BARBANZA"/>
    <n v="210"/>
    <n v="216"/>
    <n v="197"/>
    <n v="1983"/>
    <n v="9909"/>
    <n v="92"/>
    <n v="8"/>
    <n v="211665"/>
    <n v="95629"/>
    <n v="215"/>
    <n v="98"/>
    <n v="94"/>
    <n v="10"/>
    <n v="1793"/>
    <n v="381"/>
    <n v="1.0494200706001009"/>
    <n v="111"/>
    <s v="2021/01/14"/>
    <n v="2174"/>
    <n v="9.6596136154553799E-2"/>
    <n v="1"/>
  </r>
  <r>
    <x v="41"/>
    <s v="A.S. SANTIAGO E BARBANZA"/>
    <n v="211"/>
    <n v="220"/>
    <n v="163"/>
    <n v="2081"/>
    <n v="10020"/>
    <n v="94"/>
    <n v="10"/>
    <n v="213458"/>
    <n v="96010"/>
    <n v="216"/>
    <n v="76"/>
    <n v="97"/>
    <n v="12"/>
    <n v="1777"/>
    <n v="465"/>
    <n v="1.0365209034118212"/>
    <n v="132"/>
    <s v="2021/01/15"/>
    <n v="2242"/>
    <n v="9.4112399643175706E-2"/>
    <n v="4"/>
  </r>
  <r>
    <x v="42"/>
    <s v="A.S. SANTIAGO E BARBANZA"/>
    <n v="177"/>
    <n v="222"/>
    <n v="162"/>
    <n v="2157"/>
    <n v="10152"/>
    <n v="97"/>
    <n v="12"/>
    <n v="215235"/>
    <n v="96475"/>
    <n v="220"/>
    <n v="88"/>
    <n v="95"/>
    <n v="14"/>
    <n v="1581"/>
    <n v="231"/>
    <n v="1.0407974038015764"/>
    <n v="87"/>
    <s v="2021/01/16"/>
    <n v="1812"/>
    <n v="9.7682119205297999E-2"/>
    <n v="2"/>
  </r>
  <r>
    <x v="43"/>
    <s v="A.S. SANTIAGO E BARBANZA"/>
    <n v="140"/>
    <n v="224"/>
    <n v="145"/>
    <n v="2245"/>
    <n v="10239"/>
    <n v="95"/>
    <n v="14"/>
    <n v="216816"/>
    <n v="96706"/>
    <n v="222"/>
    <n v="96"/>
    <n v="99"/>
    <n v="16"/>
    <n v="1527"/>
    <n v="171"/>
    <n v="1.042761692650334"/>
    <n v="42"/>
    <s v="2021/01/17"/>
    <n v="1698"/>
    <n v="8.2449941107184899E-2"/>
    <n v="2"/>
  </r>
  <r>
    <x v="44"/>
    <s v="A.S. SANTIAGO E BARBANZA"/>
    <n v="206"/>
    <n v="230"/>
    <n v="117"/>
    <n v="2341"/>
    <n v="10281"/>
    <n v="99"/>
    <n v="16"/>
    <n v="218343"/>
    <n v="96877"/>
    <n v="224"/>
    <n v="166"/>
    <n v="100"/>
    <n v="20"/>
    <n v="1877"/>
    <n v="398"/>
    <n v="1.070909867577958"/>
    <n v="36"/>
    <s v="2021/01/18"/>
    <n v="2275"/>
    <n v="9.05494505494506E-2"/>
    <n v="6"/>
  </r>
  <r>
    <x v="45"/>
    <s v="A.S. SANTIAGO E BARBANZA"/>
    <n v="190"/>
    <n v="234"/>
    <n v="166"/>
    <n v="2507"/>
    <n v="10317"/>
    <n v="100"/>
    <n v="20"/>
    <n v="220220"/>
    <n v="97275"/>
    <n v="230"/>
    <n v="86"/>
    <n v="106"/>
    <n v="26"/>
    <n v="1958"/>
    <n v="577"/>
    <n v="1.0343039489429597"/>
    <n v="101"/>
    <s v="2021/01/19"/>
    <n v="2535"/>
    <n v="7.49506903353057E-2"/>
    <n v="4"/>
  </r>
  <r>
    <x v="46"/>
    <s v="A.S. SANTIAGO E BARBANZA"/>
    <n v="233"/>
    <n v="237"/>
    <n v="126"/>
    <n v="2593"/>
    <n v="10418"/>
    <n v="106"/>
    <n v="26"/>
    <n v="222178"/>
    <n v="97852"/>
    <n v="234"/>
    <n v="101"/>
    <n v="108"/>
    <n v="28"/>
    <n v="1994"/>
    <n v="515"/>
    <n v="1.03895102198226"/>
    <n v="129"/>
    <s v="2021/01/20"/>
    <n v="2509"/>
    <n v="9.2865683539258698E-2"/>
    <n v="3"/>
  </r>
  <r>
    <x v="47"/>
    <s v="A.S. SANTIAGO E BARBANZA"/>
    <n v="295"/>
    <n v="240"/>
    <n v="173"/>
    <n v="2694"/>
    <n v="10547"/>
    <n v="108"/>
    <n v="28"/>
    <n v="224172"/>
    <n v="98367"/>
    <n v="237"/>
    <n v="149"/>
    <n v="114"/>
    <n v="28"/>
    <n v="2149"/>
    <n v="549"/>
    <n v="1.0553080920564217"/>
    <n v="144"/>
    <s v="2021/01/21"/>
    <n v="2698"/>
    <n v="0.109340252038547"/>
    <n v="3"/>
  </r>
  <r>
    <x v="48"/>
    <s v="A.S. SANTIAGO E BARBANZA"/>
    <n v="253"/>
    <n v="243"/>
    <n v="225"/>
    <n v="2843"/>
    <n v="10691"/>
    <n v="114"/>
    <n v="28"/>
    <n v="226321"/>
    <n v="98916"/>
    <n v="240"/>
    <n v="104"/>
    <n v="106"/>
    <n v="27"/>
    <n v="1729"/>
    <n v="569"/>
    <n v="1.0365810763278227"/>
    <n v="147"/>
    <s v="2021/01/22"/>
    <n v="2298"/>
    <n v="0.110095735422106"/>
    <n v="3"/>
  </r>
  <r>
    <x v="49"/>
    <s v="A.S. SANTIAGO E BARBANZA"/>
    <n v="159"/>
    <n v="243"/>
    <n v="172"/>
    <n v="2947"/>
    <n v="10838"/>
    <n v="106"/>
    <n v="27"/>
    <n v="228050"/>
    <n v="99485"/>
    <n v="243"/>
    <n v="-23"/>
    <n v="112"/>
    <n v="29"/>
    <n v="1675"/>
    <n v="401"/>
    <n v="0.99219545300305401"/>
    <n v="182"/>
    <s v="2021/01/23"/>
    <n v="2076"/>
    <n v="7.6589595375722602E-2"/>
    <n v="0"/>
  </r>
  <r>
    <x v="50"/>
    <s v="A.S. SANTIAGO E BARBANZA"/>
    <n v="294"/>
    <n v="243"/>
    <n v="118"/>
    <n v="2924"/>
    <n v="11020"/>
    <n v="112"/>
    <n v="29"/>
    <n v="229725"/>
    <n v="99886"/>
    <n v="243"/>
    <n v="194"/>
    <n v="122"/>
    <n v="32"/>
    <n v="2561"/>
    <n v="236"/>
    <n v="1.0663474692202461"/>
    <n v="99"/>
    <s v="2021/01/24"/>
    <n v="2797"/>
    <n v="0.105112620664998"/>
    <n v="0"/>
  </r>
  <r>
    <x v="51"/>
    <s v="A.S. SANTIAGO E BARBANZA"/>
    <n v="239"/>
    <n v="248"/>
    <n v="251"/>
    <n v="3118"/>
    <n v="11119"/>
    <n v="122"/>
    <n v="32"/>
    <n v="232286"/>
    <n v="100122"/>
    <n v="243"/>
    <n v="124"/>
    <n v="124"/>
    <n v="34"/>
    <n v="2186"/>
    <n v="551"/>
    <n v="1.0397690827453496"/>
    <n v="110"/>
    <s v="2021/01/25"/>
    <n v="2737"/>
    <n v="8.7321885275849498E-2"/>
    <n v="5"/>
  </r>
  <r>
    <x v="52"/>
    <s v="A.S. SANTIAGO E BARBANZA"/>
    <n v="225"/>
    <n v="250"/>
    <n v="174"/>
    <n v="3242"/>
    <n v="11229"/>
    <n v="124"/>
    <n v="34"/>
    <n v="234472"/>
    <n v="100673"/>
    <n v="248"/>
    <n v="67"/>
    <n v="126"/>
    <n v="36"/>
    <n v="1987"/>
    <n v="635"/>
    <n v="1.0206662553979025"/>
    <n v="156"/>
    <s v="2021/01/26"/>
    <n v="2622"/>
    <n v="8.5812356979404994E-2"/>
    <n v="2"/>
  </r>
  <r>
    <x v="53"/>
    <s v="A.S. SANTIAGO E BARBANZA"/>
    <n v="197"/>
    <n v="253"/>
    <n v="159"/>
    <n v="3309"/>
    <n v="11385"/>
    <n v="126"/>
    <n v="36"/>
    <n v="236459"/>
    <n v="101308"/>
    <n v="250"/>
    <n v="-38"/>
    <n v="119"/>
    <n v="35"/>
    <n v="2183"/>
    <n v="804"/>
    <n v="0.98851616802659414"/>
    <n v="231"/>
    <s v="2021/01/27"/>
    <n v="2987"/>
    <n v="6.59524606628724E-2"/>
    <n v="3"/>
  </r>
  <r>
    <x v="54"/>
    <s v="A.S. SANTIAGO E BARBANZA"/>
    <n v="301"/>
    <n v="257"/>
    <n v="124"/>
    <n v="3271"/>
    <n v="11616"/>
    <n v="119"/>
    <n v="35"/>
    <n v="238642"/>
    <n v="102112"/>
    <n v="253"/>
    <n v="102"/>
    <n v="133"/>
    <n v="40"/>
    <n v="2022"/>
    <n v="1279"/>
    <n v="1.0311831244267808"/>
    <n v="195"/>
    <s v="2021/01/28"/>
    <n v="3301"/>
    <n v="9.11844895486216E-2"/>
    <n v="4"/>
  </r>
  <r>
    <x v="55"/>
    <s v="A.S. SANTIAGO E BARBANZA"/>
    <n v="266"/>
    <n v="260"/>
    <n v="253"/>
    <n v="3373"/>
    <n v="11811"/>
    <n v="133"/>
    <n v="40"/>
    <n v="240664"/>
    <n v="103391"/>
    <n v="257"/>
    <n v="72"/>
    <n v="131"/>
    <n v="40"/>
    <n v="2690"/>
    <n v="1436"/>
    <n v="1.021345982804625"/>
    <n v="191"/>
    <s v="2021/01/29"/>
    <n v="4126"/>
    <n v="6.4469219583131399E-2"/>
    <n v="3"/>
  </r>
  <r>
    <x v="56"/>
    <s v="A.S. SANTIAGO E BARBANZA"/>
    <n v="176"/>
    <n v="260"/>
    <n v="209"/>
    <n v="3445"/>
    <n v="12002"/>
    <n v="131"/>
    <n v="40"/>
    <n v="243354"/>
    <n v="104827"/>
    <n v="260"/>
    <n v="-20"/>
    <n v="141"/>
    <n v="42"/>
    <n v="2270"/>
    <n v="1582"/>
    <n v="0.99419448476052252"/>
    <n v="196"/>
    <s v="2021/01/30"/>
    <n v="3852"/>
    <n v="4.5690550363447602E-2"/>
    <n v="0"/>
  </r>
  <r>
    <x v="57"/>
    <s v="A.S. SANTIAGO E BARBANZA"/>
    <n v="148"/>
    <n v="262"/>
    <n v="137"/>
    <n v="3425"/>
    <n v="12198"/>
    <n v="141"/>
    <n v="42"/>
    <n v="245624"/>
    <n v="106409"/>
    <n v="260"/>
    <n v="-7"/>
    <n v="156"/>
    <n v="44"/>
    <n v="3731"/>
    <n v="293"/>
    <n v="0.99795620437956201"/>
    <n v="153"/>
    <s v="2021/01/31"/>
    <n v="4024"/>
    <n v="3.6779324055666002E-2"/>
    <n v="2"/>
  </r>
  <r>
    <x v="58"/>
    <s v="A.S. SANTIAGO E BARBANZA"/>
    <n v="169"/>
    <n v="269"/>
    <n v="130"/>
    <n v="3418"/>
    <n v="12351"/>
    <n v="156"/>
    <n v="44"/>
    <n v="249355"/>
    <n v="106702"/>
    <n v="262"/>
    <n v="24"/>
    <n v="141"/>
    <n v="47"/>
    <n v="3787"/>
    <n v="647"/>
    <n v="1.0070216500877707"/>
    <n v="138"/>
    <s v="2021/02/01"/>
    <n v="4434"/>
    <n v="3.8114569237708597E-2"/>
    <n v="7"/>
  </r>
  <r>
    <x v="59"/>
    <s v="A.S. SANTIAGO E BARBANZA"/>
    <n v="129"/>
    <n v="273"/>
    <n v="125"/>
    <n v="3442"/>
    <n v="12489"/>
    <n v="141"/>
    <n v="47"/>
    <n v="253142"/>
    <n v="107349"/>
    <n v="269"/>
    <n v="-76"/>
    <n v="125"/>
    <n v="43"/>
    <n v="3972"/>
    <n v="1201"/>
    <n v="0.97791981406159212"/>
    <n v="201"/>
    <s v="2021/02/02"/>
    <n v="5173"/>
    <n v="2.4937173786970801E-2"/>
    <n v="4"/>
  </r>
  <r>
    <x v="60"/>
    <s v="A.S. SANTIAGO E BARBANZA"/>
    <n v="242"/>
    <n v="278"/>
    <n v="102"/>
    <n v="3366"/>
    <n v="12690"/>
    <n v="125"/>
    <n v="43"/>
    <n v="257114"/>
    <n v="108550"/>
    <n v="273"/>
    <n v="52"/>
    <n v="128"/>
    <n v="42"/>
    <n v="2661"/>
    <n v="1605"/>
    <n v="1.0154486036838979"/>
    <n v="185"/>
    <s v="2021/02/03"/>
    <n v="4266"/>
    <n v="5.6727613689639002E-2"/>
    <n v="5"/>
  </r>
  <r>
    <x v="61"/>
    <s v="A.S. SANTIAGO E BARBANZA"/>
    <n v="172"/>
    <n v="281"/>
    <n v="224"/>
    <n v="3418"/>
    <n v="12875"/>
    <n v="128"/>
    <n v="42"/>
    <n v="259775"/>
    <n v="110155"/>
    <n v="278"/>
    <n v="-79"/>
    <n v="131"/>
    <n v="43"/>
    <n v="2342"/>
    <n v="2206"/>
    <n v="0.9768870684610883"/>
    <n v="249"/>
    <s v="2021/02/04"/>
    <n v="4548"/>
    <n v="3.7818821459982402E-2"/>
    <n v="3"/>
  </r>
  <r>
    <x v="62"/>
    <s v="A.S. SANTIAGO E BARBANZA"/>
    <n v="130"/>
    <n v="285"/>
    <n v="143"/>
    <n v="3339"/>
    <n v="13124"/>
    <n v="131"/>
    <n v="43"/>
    <n v="262117"/>
    <n v="112361"/>
    <n v="281"/>
    <n v="-156"/>
    <n v="136"/>
    <n v="44"/>
    <n v="2303"/>
    <n v="1663"/>
    <n v="0.95327942497753815"/>
    <n v="282"/>
    <s v="2021/02/05"/>
    <n v="3966"/>
    <n v="3.2778618255168902E-2"/>
    <n v="4"/>
  </r>
  <r>
    <x v="63"/>
    <s v="A.S. SANTIAGO E BARBANZA"/>
    <n v="108"/>
    <n v="286"/>
    <n v="116"/>
    <n v="3183"/>
    <n v="13406"/>
    <n v="136"/>
    <n v="44"/>
    <n v="264420"/>
    <n v="114024"/>
    <n v="285"/>
    <n v="-160"/>
    <n v="129"/>
    <n v="44"/>
    <n v="1878"/>
    <n v="4719"/>
    <n v="0.94973295633050581"/>
    <n v="267"/>
    <s v="2021/02/06"/>
    <n v="6597"/>
    <n v="1.6371077762619399E-2"/>
    <n v="1"/>
  </r>
  <r>
    <x v="64"/>
    <s v="A.S. SANTIAGO E BARBANZA"/>
    <n v="73"/>
    <n v="290"/>
    <n v="100"/>
    <n v="3023"/>
    <n v="13673"/>
    <n v="129"/>
    <n v="44"/>
    <n v="266298"/>
    <n v="118743"/>
    <n v="286"/>
    <n v="-91"/>
    <n v="133"/>
    <n v="47"/>
    <n v="2199"/>
    <n v="4580"/>
    <n v="0.96989745286139595"/>
    <n v="160"/>
    <s v="2021/02/07"/>
    <n v="6779"/>
    <n v="1.0768549933618501E-2"/>
    <n v="4"/>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5">
  <r>
    <x v="0"/>
    <s v="A.S. PONTEVEDRA E O SALNÉS"/>
    <n v="37"/>
    <n v="60"/>
    <n v="38"/>
    <n v="1025"/>
    <n v="4585"/>
    <n v="42"/>
    <n v="9"/>
    <n v="94462"/>
    <n v="43668"/>
    <n v="59"/>
    <n v="-35"/>
    <n v="42"/>
    <n v="9"/>
    <n v="852"/>
    <n v="51"/>
    <n v="0.96585365853658534"/>
    <n v="71"/>
    <s v="2020/12/05"/>
    <n v="903"/>
    <n v="4.09745293466224E-2"/>
    <n v="1"/>
  </r>
  <r>
    <x v="1"/>
    <s v="A.S. PONTEVEDRA E O SALNÉS"/>
    <n v="33"/>
    <n v="60"/>
    <n v="30"/>
    <n v="990"/>
    <n v="4656"/>
    <n v="42"/>
    <n v="9"/>
    <n v="95314"/>
    <n v="43719"/>
    <n v="60"/>
    <n v="-19"/>
    <n v="44"/>
    <n v="9"/>
    <n v="657"/>
    <n v="35"/>
    <n v="0.9808080808080808"/>
    <n v="52"/>
    <s v="2020/12/06"/>
    <n v="692"/>
    <n v="4.7687861271676298E-2"/>
    <n v="0"/>
  </r>
  <r>
    <x v="2"/>
    <s v="A.S. PONTEVEDRA E O SALNÉS"/>
    <n v="44"/>
    <n v="62"/>
    <n v="29"/>
    <n v="971"/>
    <n v="4708"/>
    <n v="44"/>
    <n v="9"/>
    <n v="95971"/>
    <n v="43754"/>
    <n v="60"/>
    <n v="-72"/>
    <n v="40"/>
    <n v="9"/>
    <n v="575"/>
    <n v="93"/>
    <n v="0.92584963954685895"/>
    <n v="114"/>
    <s v="2020/12/07"/>
    <n v="668"/>
    <n v="6.5868263473053898E-2"/>
    <n v="2"/>
  </r>
  <r>
    <x v="3"/>
    <s v="A.S. PONTEVEDRA E O SALNÉS"/>
    <n v="48"/>
    <n v="65"/>
    <n v="41"/>
    <n v="899"/>
    <n v="4822"/>
    <n v="40"/>
    <n v="9"/>
    <n v="96546"/>
    <n v="43847"/>
    <n v="62"/>
    <n v="-28"/>
    <n v="41"/>
    <n v="9"/>
    <n v="795"/>
    <n v="75"/>
    <n v="0.96885428253615125"/>
    <n v="73"/>
    <s v="2020/12/08"/>
    <n v="870"/>
    <n v="5.5172413793103399E-2"/>
    <n v="3"/>
  </r>
  <r>
    <x v="4"/>
    <s v="A.S. PONTEVEDRA E O SALNÉS"/>
    <n v="39"/>
    <n v="67"/>
    <n v="43"/>
    <n v="871"/>
    <n v="4895"/>
    <n v="41"/>
    <n v="9"/>
    <n v="97341"/>
    <n v="43922"/>
    <n v="65"/>
    <n v="-15"/>
    <n v="42"/>
    <n v="9"/>
    <n v="570"/>
    <n v="88"/>
    <n v="0.98277841561423651"/>
    <n v="53"/>
    <s v="2020/12/09"/>
    <n v="658"/>
    <n v="5.9270516717325201E-2"/>
    <n v="2"/>
  </r>
  <r>
    <x v="5"/>
    <s v="A.S. PONTEVEDRA E O SALNÉS"/>
    <n v="37"/>
    <n v="68"/>
    <n v="34"/>
    <n v="856"/>
    <n v="4948"/>
    <n v="42"/>
    <n v="9"/>
    <n v="97911"/>
    <n v="44010"/>
    <n v="67"/>
    <n v="-17"/>
    <n v="42"/>
    <n v="10"/>
    <n v="851"/>
    <n v="89"/>
    <n v="0.98014018691588789"/>
    <n v="53"/>
    <s v="2020/12/10"/>
    <n v="940"/>
    <n v="3.9361702127659597E-2"/>
    <n v="1"/>
  </r>
  <r>
    <x v="6"/>
    <s v="A.S. PONTEVEDRA E O SALNÉS"/>
    <n v="64"/>
    <n v="69"/>
    <n v="39"/>
    <n v="839"/>
    <n v="5001"/>
    <n v="42"/>
    <n v="10"/>
    <n v="98762"/>
    <n v="44099"/>
    <n v="68"/>
    <n v="12"/>
    <n v="39"/>
    <n v="9"/>
    <n v="1058"/>
    <n v="132"/>
    <n v="1.0143027413587604"/>
    <n v="51"/>
    <s v="2020/12/11"/>
    <n v="1190"/>
    <n v="5.3781512605041999E-2"/>
    <n v="1"/>
  </r>
  <r>
    <x v="7"/>
    <s v="A.S. PONTEVEDRA E O SALNÉS"/>
    <n v="68"/>
    <n v="70"/>
    <n v="58"/>
    <n v="851"/>
    <n v="5052"/>
    <n v="39"/>
    <n v="9"/>
    <n v="99820"/>
    <n v="44231"/>
    <n v="69"/>
    <n v="0"/>
    <n v="38"/>
    <n v="8"/>
    <n v="982"/>
    <n v="65"/>
    <n v="1"/>
    <n v="67"/>
    <s v="2020/12/12"/>
    <n v="1047"/>
    <n v="6.4947468958930304E-2"/>
    <n v="1"/>
  </r>
  <r>
    <x v="8"/>
    <s v="A.S. PONTEVEDRA E O SALNÉS"/>
    <n v="52"/>
    <n v="70"/>
    <n v="63"/>
    <n v="851"/>
    <n v="5119"/>
    <n v="38"/>
    <n v="8"/>
    <n v="100802"/>
    <n v="44296"/>
    <n v="70"/>
    <n v="-3"/>
    <n v="42"/>
    <n v="8"/>
    <n v="523"/>
    <n v="93"/>
    <n v="0.99647473560517041"/>
    <n v="55"/>
    <s v="2020/12/13"/>
    <n v="616"/>
    <n v="8.4415584415584402E-2"/>
    <n v="0"/>
  </r>
  <r>
    <x v="9"/>
    <s v="A.S. PONTEVEDRA E O SALNÉS"/>
    <n v="82"/>
    <n v="71"/>
    <n v="43"/>
    <n v="848"/>
    <n v="5174"/>
    <n v="42"/>
    <n v="8"/>
    <n v="101325"/>
    <n v="44389"/>
    <n v="70"/>
    <n v="19"/>
    <n v="44"/>
    <n v="8"/>
    <n v="811"/>
    <n v="121"/>
    <n v="1.0224056603773586"/>
    <n v="63"/>
    <s v="2020/12/14"/>
    <n v="932"/>
    <n v="8.7982832618025794E-2"/>
    <n v="1"/>
  </r>
  <r>
    <x v="10"/>
    <s v="A.S. PONTEVEDRA E O SALNÉS"/>
    <n v="45"/>
    <n v="72"/>
    <n v="70"/>
    <n v="867"/>
    <n v="5237"/>
    <n v="44"/>
    <n v="8"/>
    <n v="102136"/>
    <n v="44510"/>
    <n v="71"/>
    <n v="2"/>
    <n v="44"/>
    <n v="8"/>
    <n v="753"/>
    <n v="151"/>
    <n v="1.0023068050749713"/>
    <n v="42"/>
    <s v="2020/12/15"/>
    <n v="904"/>
    <n v="4.9778761061946897E-2"/>
    <n v="1"/>
  </r>
  <r>
    <x v="11"/>
    <s v="A.S. PONTEVEDRA E O SALNÉS"/>
    <n v="61"/>
    <n v="72"/>
    <n v="29"/>
    <n v="869"/>
    <n v="5279"/>
    <n v="44"/>
    <n v="8"/>
    <n v="102889"/>
    <n v="44661"/>
    <n v="72"/>
    <n v="-4"/>
    <n v="44"/>
    <n v="9"/>
    <n v="893"/>
    <n v="121"/>
    <n v="0.9953970080552359"/>
    <n v="65"/>
    <s v="2020/12/16"/>
    <n v="1014"/>
    <n v="6.0157790927021698E-2"/>
    <n v="0"/>
  </r>
  <r>
    <x v="12"/>
    <s v="A.S. PONTEVEDRA E O SALNÉS"/>
    <n v="72"/>
    <n v="72"/>
    <n v="49"/>
    <n v="865"/>
    <n v="5344"/>
    <n v="44"/>
    <n v="9"/>
    <n v="103782"/>
    <n v="44782"/>
    <n v="72"/>
    <n v="32"/>
    <n v="46"/>
    <n v="9"/>
    <n v="816"/>
    <n v="169"/>
    <n v="1.0369942196531792"/>
    <n v="40"/>
    <s v="2020/12/17"/>
    <n v="985"/>
    <n v="7.3096446700507606E-2"/>
    <n v="0"/>
  </r>
  <r>
    <x v="13"/>
    <s v="A.S. PONTEVEDRA E O SALNÉS"/>
    <n v="64"/>
    <n v="73"/>
    <n v="62"/>
    <n v="897"/>
    <n v="5384"/>
    <n v="46"/>
    <n v="9"/>
    <n v="104598"/>
    <n v="44951"/>
    <n v="72"/>
    <n v="28"/>
    <n v="37"/>
    <n v="8"/>
    <n v="936"/>
    <n v="129"/>
    <n v="1.0312151616499443"/>
    <n v="35"/>
    <s v="2020/12/18"/>
    <n v="1065"/>
    <n v="6.0093896713615001E-2"/>
    <n v="1"/>
  </r>
  <r>
    <x v="14"/>
    <s v="A.S. PONTEVEDRA E O SALNÉS"/>
    <n v="58"/>
    <n v="75"/>
    <n v="62"/>
    <n v="925"/>
    <n v="5419"/>
    <n v="37"/>
    <n v="8"/>
    <n v="105534"/>
    <n v="45080"/>
    <n v="73"/>
    <n v="11"/>
    <n v="40"/>
    <n v="8"/>
    <n v="719"/>
    <n v="77"/>
    <n v="1.011891891891892"/>
    <n v="45"/>
    <s v="2020/12/19"/>
    <n v="796"/>
    <n v="7.2864321608040197E-2"/>
    <n v="2"/>
  </r>
  <r>
    <x v="15"/>
    <s v="A.S. PONTEVEDRA E O SALNÉS"/>
    <n v="26"/>
    <n v="76"/>
    <n v="57"/>
    <n v="936"/>
    <n v="5464"/>
    <n v="40"/>
    <n v="8"/>
    <n v="106253"/>
    <n v="45157"/>
    <n v="75"/>
    <n v="-19"/>
    <n v="42"/>
    <n v="7"/>
    <n v="469"/>
    <n v="61"/>
    <n v="0.97970085470085466"/>
    <n v="44"/>
    <s v="2020/12/20"/>
    <n v="530"/>
    <n v="4.9056603773584902E-2"/>
    <n v="1"/>
  </r>
  <r>
    <x v="16"/>
    <s v="A.S. PONTEVEDRA E O SALNÉS"/>
    <n v="45"/>
    <n v="76"/>
    <n v="21"/>
    <n v="917"/>
    <n v="5508"/>
    <n v="42"/>
    <n v="7"/>
    <n v="106722"/>
    <n v="45218"/>
    <n v="76"/>
    <n v="5"/>
    <n v="42"/>
    <n v="8"/>
    <n v="609"/>
    <n v="139"/>
    <n v="1.005452562704471"/>
    <n v="40"/>
    <s v="2020/12/21"/>
    <n v="748"/>
    <n v="6.0160427807486601E-2"/>
    <n v="0"/>
  </r>
  <r>
    <x v="17"/>
    <s v="A.S. PONTEVEDRA E O SALNÉS"/>
    <n v="36"/>
    <n v="76"/>
    <n v="39"/>
    <n v="922"/>
    <n v="5548"/>
    <n v="42"/>
    <n v="8"/>
    <n v="107331"/>
    <n v="45357"/>
    <n v="76"/>
    <n v="-11"/>
    <n v="42"/>
    <n v="6"/>
    <n v="881"/>
    <n v="120"/>
    <n v="0.98806941431670281"/>
    <n v="47"/>
    <s v="2020/12/22"/>
    <n v="1001"/>
    <n v="3.5964035964036002E-2"/>
    <n v="0"/>
  </r>
  <r>
    <x v="18"/>
    <s v="A.S. PONTEVEDRA E O SALNÉS"/>
    <n v="60"/>
    <n v="76"/>
    <n v="25"/>
    <n v="911"/>
    <n v="5595"/>
    <n v="42"/>
    <n v="6"/>
    <n v="108212"/>
    <n v="45477"/>
    <n v="76"/>
    <n v="-7"/>
    <n v="40"/>
    <n v="8"/>
    <n v="972"/>
    <n v="130"/>
    <n v="0.99231613611416025"/>
    <n v="67"/>
    <s v="2020/12/23"/>
    <n v="1102"/>
    <n v="5.4446460980036297E-2"/>
    <n v="0"/>
  </r>
  <r>
    <x v="19"/>
    <s v="A.S. PONTEVEDRA E O SALNÉS"/>
    <n v="58"/>
    <n v="76"/>
    <n v="53"/>
    <n v="904"/>
    <n v="5662"/>
    <n v="40"/>
    <n v="8"/>
    <n v="109184"/>
    <n v="45607"/>
    <n v="76"/>
    <n v="18"/>
    <n v="39"/>
    <n v="9"/>
    <n v="1017"/>
    <n v="115"/>
    <n v="1.0199115044247788"/>
    <n v="40"/>
    <s v="2020/12/24"/>
    <n v="1132"/>
    <n v="5.1236749116607798E-2"/>
    <n v="0"/>
  </r>
  <r>
    <x v="20"/>
    <s v="A.S. PONTEVEDRA E O SALNÉS"/>
    <n v="39"/>
    <n v="77"/>
    <n v="49"/>
    <n v="922"/>
    <n v="5702"/>
    <n v="39"/>
    <n v="9"/>
    <n v="110201"/>
    <n v="45722"/>
    <n v="76"/>
    <n v="-15"/>
    <n v="45"/>
    <n v="9"/>
    <n v="488"/>
    <n v="64"/>
    <n v="0.98373101952277653"/>
    <n v="53"/>
    <s v="2020/12/25"/>
    <n v="552"/>
    <n v="7.0652173913043501E-2"/>
    <n v="1"/>
  </r>
  <r>
    <x v="21"/>
    <s v="A.S. PONTEVEDRA E O SALNÉS"/>
    <n v="46"/>
    <n v="77"/>
    <n v="38"/>
    <n v="907"/>
    <n v="5755"/>
    <n v="45"/>
    <n v="9"/>
    <n v="110689"/>
    <n v="45786"/>
    <n v="77"/>
    <n v="-11"/>
    <n v="45"/>
    <n v="11"/>
    <n v="506"/>
    <n v="53"/>
    <n v="0.98787210584343987"/>
    <n v="57"/>
    <s v="2020/12/26"/>
    <n v="559"/>
    <n v="8.2289803220035804E-2"/>
    <n v="0"/>
  </r>
  <r>
    <x v="22"/>
    <s v="A.S. PONTEVEDRA E O SALNÉS"/>
    <n v="37"/>
    <n v="77"/>
    <n v="47"/>
    <n v="896"/>
    <n v="5812"/>
    <n v="45"/>
    <n v="11"/>
    <n v="111195"/>
    <n v="45839"/>
    <n v="77"/>
    <n v="-30"/>
    <n v="50"/>
    <n v="11"/>
    <n v="742"/>
    <n v="66"/>
    <n v="0.9665178571428571"/>
    <n v="67"/>
    <s v="2020/12/27"/>
    <n v="808"/>
    <n v="4.5792079207920798E-2"/>
    <n v="0"/>
  </r>
  <r>
    <x v="23"/>
    <s v="A.S. PONTEVEDRA E O SALNÉS"/>
    <n v="39"/>
    <n v="77"/>
    <n v="33"/>
    <n v="866"/>
    <n v="5879"/>
    <n v="50"/>
    <n v="11"/>
    <n v="111937"/>
    <n v="45905"/>
    <n v="77"/>
    <n v="-14"/>
    <n v="44"/>
    <n v="10"/>
    <n v="500"/>
    <n v="106"/>
    <n v="0.9838337182448037"/>
    <n v="53"/>
    <s v="2020/12/28"/>
    <n v="606"/>
    <n v="6.43564356435644E-2"/>
    <n v="0"/>
  </r>
  <r>
    <x v="24"/>
    <s v="A.S. PONTEVEDRA E O SALNÉS"/>
    <n v="53"/>
    <n v="77"/>
    <n v="32"/>
    <n v="852"/>
    <n v="5932"/>
    <n v="44"/>
    <n v="10"/>
    <n v="112437"/>
    <n v="46011"/>
    <n v="77"/>
    <n v="-31"/>
    <n v="41"/>
    <n v="11"/>
    <n v="925"/>
    <n v="127"/>
    <n v="0.96361502347417838"/>
    <n v="84"/>
    <s v="2020/12/29"/>
    <n v="1052"/>
    <n v="5.0380228136882102E-2"/>
    <n v="0"/>
  </r>
  <r>
    <x v="25"/>
    <s v="A.S. PONTEVEDRA E O SALNÉS"/>
    <n v="30"/>
    <n v="78"/>
    <n v="48"/>
    <n v="821"/>
    <n v="6016"/>
    <n v="41"/>
    <n v="11"/>
    <n v="113362"/>
    <n v="46138"/>
    <n v="77"/>
    <n v="-5"/>
    <n v="42"/>
    <n v="10"/>
    <n v="1073"/>
    <n v="91"/>
    <n v="0.99390986601705233"/>
    <n v="34"/>
    <s v="2020/12/30"/>
    <n v="1164"/>
    <n v="2.57731958762887E-2"/>
    <n v="1"/>
  </r>
  <r>
    <x v="26"/>
    <s v="A.S. PONTEVEDRA E O SALNÉS"/>
    <n v="51"/>
    <n v="80"/>
    <n v="25"/>
    <n v="816"/>
    <n v="6050"/>
    <n v="42"/>
    <n v="10"/>
    <n v="114435"/>
    <n v="46229"/>
    <n v="78"/>
    <n v="-27"/>
    <n v="39"/>
    <n v="12"/>
    <n v="986"/>
    <n v="118"/>
    <n v="0.96691176470588236"/>
    <n v="76"/>
    <s v="2020/12/31"/>
    <n v="1104"/>
    <n v="4.6195652173912999E-2"/>
    <n v="2"/>
  </r>
  <r>
    <x v="27"/>
    <s v="A.S. PONTEVEDRA E O SALNÉS"/>
    <n v="46"/>
    <n v="81"/>
    <n v="48"/>
    <n v="789"/>
    <n v="6126"/>
    <n v="39"/>
    <n v="12"/>
    <n v="115421"/>
    <n v="46347"/>
    <n v="80"/>
    <n v="-16"/>
    <n v="32"/>
    <n v="12"/>
    <n v="330"/>
    <n v="73"/>
    <n v="0.97972116603295312"/>
    <n v="62"/>
    <s v="2021/01/01"/>
    <n v="403"/>
    <n v="0.11414392059553401"/>
    <n v="1"/>
  </r>
  <r>
    <x v="28"/>
    <s v="A.S. PONTEVEDRA E O SALNÉS"/>
    <n v="26"/>
    <n v="83"/>
    <n v="42"/>
    <n v="773"/>
    <n v="6188"/>
    <n v="32"/>
    <n v="12"/>
    <n v="115751"/>
    <n v="46420"/>
    <n v="81"/>
    <n v="-63"/>
    <n v="35"/>
    <n v="9"/>
    <n v="288"/>
    <n v="88"/>
    <n v="0.91849935316946962"/>
    <n v="86"/>
    <s v="2021/01/02"/>
    <n v="376"/>
    <n v="6.9148936170212796E-2"/>
    <n v="2"/>
  </r>
  <r>
    <x v="29"/>
    <s v="A.S. PONTEVEDRA E O SALNÉS"/>
    <n v="59"/>
    <n v="83"/>
    <n v="16"/>
    <n v="710"/>
    <n v="6274"/>
    <n v="35"/>
    <n v="9"/>
    <n v="116039"/>
    <n v="46508"/>
    <n v="83"/>
    <n v="21"/>
    <n v="39"/>
    <n v="8"/>
    <n v="348"/>
    <n v="64"/>
    <n v="1.0295774647887324"/>
    <n v="38"/>
    <s v="2021/01/03"/>
    <n v="412"/>
    <n v="0.14320388349514601"/>
    <n v="0"/>
  </r>
  <r>
    <x v="30"/>
    <s v="A.S. PONTEVEDRA E O SALNÉS"/>
    <n v="44"/>
    <n v="83"/>
    <n v="56"/>
    <n v="731"/>
    <n v="6312"/>
    <n v="39"/>
    <n v="8"/>
    <n v="116387"/>
    <n v="46572"/>
    <n v="83"/>
    <n v="20"/>
    <n v="37"/>
    <n v="11"/>
    <n v="600"/>
    <n v="110"/>
    <n v="1.027359781121751"/>
    <n v="24"/>
    <s v="2021/01/04"/>
    <n v="710"/>
    <n v="6.1971830985915501E-2"/>
    <n v="0"/>
  </r>
  <r>
    <x v="31"/>
    <s v="A.S. PONTEVEDRA E O SALNÉS"/>
    <n v="33"/>
    <n v="83"/>
    <n v="40"/>
    <n v="751"/>
    <n v="6336"/>
    <n v="37"/>
    <n v="11"/>
    <n v="116987"/>
    <n v="46682"/>
    <n v="83"/>
    <n v="-8"/>
    <n v="44"/>
    <n v="11"/>
    <n v="766"/>
    <n v="119"/>
    <n v="0.98934753661784292"/>
    <n v="41"/>
    <s v="2021/01/05"/>
    <n v="885"/>
    <n v="3.7288135593220299E-2"/>
    <n v="0"/>
  </r>
  <r>
    <x v="32"/>
    <s v="A.S. PONTEVEDRA E O SALNÉS"/>
    <n v="50"/>
    <n v="83"/>
    <n v="29"/>
    <n v="743"/>
    <n v="6377"/>
    <n v="44"/>
    <n v="11"/>
    <n v="117753"/>
    <n v="46801"/>
    <n v="83"/>
    <n v="-8"/>
    <n v="46"/>
    <n v="10"/>
    <n v="742"/>
    <n v="77"/>
    <n v="0.98923283983849264"/>
    <n v="58"/>
    <s v="2021/01/06"/>
    <n v="819"/>
    <n v="6.1050061050061E-2"/>
    <n v="0"/>
  </r>
  <r>
    <x v="33"/>
    <s v="A.S. PONTEVEDRA E O SALNÉS"/>
    <n v="55"/>
    <n v="84"/>
    <n v="45"/>
    <n v="735"/>
    <n v="6435"/>
    <n v="46"/>
    <n v="10"/>
    <n v="118495"/>
    <n v="46878"/>
    <n v="83"/>
    <n v="-18"/>
    <n v="39"/>
    <n v="12"/>
    <n v="478"/>
    <n v="98"/>
    <n v="0.97551020408163269"/>
    <n v="72"/>
    <s v="2021/01/07"/>
    <n v="576"/>
    <n v="9.5486111111111105E-2"/>
    <n v="1"/>
  </r>
  <r>
    <x v="34"/>
    <s v="A.S. PONTEVEDRA E O SALNÉS"/>
    <n v="63"/>
    <n v="84"/>
    <n v="51"/>
    <n v="717"/>
    <n v="6507"/>
    <n v="39"/>
    <n v="12"/>
    <n v="118973"/>
    <n v="46976"/>
    <n v="84"/>
    <n v="7"/>
    <n v="40"/>
    <n v="12"/>
    <n v="504"/>
    <n v="119"/>
    <n v="1.0097629009762901"/>
    <n v="56"/>
    <s v="2021/01/08"/>
    <n v="623"/>
    <n v="0.101123595505618"/>
    <n v="0"/>
  </r>
  <r>
    <x v="35"/>
    <s v="A.S. PONTEVEDRA E O SALNÉS"/>
    <n v="50"/>
    <n v="86"/>
    <n v="55"/>
    <n v="724"/>
    <n v="6563"/>
    <n v="40"/>
    <n v="12"/>
    <n v="119477"/>
    <n v="47095"/>
    <n v="84"/>
    <n v="12"/>
    <n v="38"/>
    <n v="12"/>
    <n v="674"/>
    <n v="97"/>
    <n v="1.0165745856353592"/>
    <n v="36"/>
    <s v="2021/01/09"/>
    <n v="771"/>
    <n v="6.4850843060959798E-2"/>
    <n v="2"/>
  </r>
  <r>
    <x v="36"/>
    <s v="A.S. PONTEVEDRA E O SALNÉS"/>
    <n v="67"/>
    <n v="87"/>
    <n v="43"/>
    <n v="736"/>
    <n v="6599"/>
    <n v="38"/>
    <n v="12"/>
    <n v="120151"/>
    <n v="47192"/>
    <n v="86"/>
    <n v="22"/>
    <n v="44"/>
    <n v="11"/>
    <n v="349"/>
    <n v="76"/>
    <n v="1.0298913043478262"/>
    <n v="45"/>
    <s v="2021/01/10"/>
    <n v="425"/>
    <n v="0.157647058823529"/>
    <n v="1"/>
  </r>
  <r>
    <x v="37"/>
    <s v="A.S. PONTEVEDRA E O SALNÉS"/>
    <n v="95"/>
    <n v="88"/>
    <n v="66"/>
    <n v="758"/>
    <n v="6644"/>
    <n v="44"/>
    <n v="11"/>
    <n v="120500"/>
    <n v="47268"/>
    <n v="87"/>
    <n v="51"/>
    <n v="45"/>
    <n v="10"/>
    <n v="414"/>
    <n v="167"/>
    <n v="1.067282321899736"/>
    <n v="43"/>
    <s v="2021/01/11"/>
    <n v="581"/>
    <n v="0.16351118760757299"/>
    <n v="1"/>
  </r>
  <r>
    <x v="38"/>
    <s v="A.S. PONTEVEDRA E O SALNÉS"/>
    <n v="62"/>
    <n v="88"/>
    <n v="79"/>
    <n v="809"/>
    <n v="6687"/>
    <n v="45"/>
    <n v="10"/>
    <n v="120914"/>
    <n v="47435"/>
    <n v="88"/>
    <n v="23"/>
    <n v="47"/>
    <n v="10"/>
    <n v="632"/>
    <n v="135"/>
    <n v="1.0284301606922126"/>
    <n v="39"/>
    <s v="2021/01/12"/>
    <n v="767"/>
    <n v="8.0834419817470707E-2"/>
    <n v="0"/>
  </r>
  <r>
    <x v="39"/>
    <s v="A.S. PONTEVEDRA E O SALNÉS"/>
    <n v="85"/>
    <n v="89"/>
    <n v="61"/>
    <n v="832"/>
    <n v="6726"/>
    <n v="47"/>
    <n v="10"/>
    <n v="121546"/>
    <n v="47570"/>
    <n v="88"/>
    <n v="35"/>
    <n v="51"/>
    <n v="9"/>
    <n v="776"/>
    <n v="135"/>
    <n v="1.0420673076923077"/>
    <n v="49"/>
    <s v="2021/01/13"/>
    <n v="911"/>
    <n v="9.3304061470911095E-2"/>
    <n v="1"/>
  </r>
  <r>
    <x v="40"/>
    <s v="A.S. PONTEVEDRA E O SALNÉS"/>
    <n v="81"/>
    <n v="89"/>
    <n v="75"/>
    <n v="867"/>
    <n v="6775"/>
    <n v="51"/>
    <n v="9"/>
    <n v="122322"/>
    <n v="47705"/>
    <n v="89"/>
    <n v="40"/>
    <n v="54"/>
    <n v="11"/>
    <n v="710"/>
    <n v="209"/>
    <n v="1.0461361014994233"/>
    <n v="41"/>
    <s v="2021/01/14"/>
    <n v="919"/>
    <n v="8.8139281828073998E-2"/>
    <n v="0"/>
  </r>
  <r>
    <x v="41"/>
    <s v="A.S. PONTEVEDRA E O SALNÉS"/>
    <n v="100"/>
    <n v="89"/>
    <n v="75"/>
    <n v="907"/>
    <n v="6816"/>
    <n v="54"/>
    <n v="11"/>
    <n v="123032"/>
    <n v="47914"/>
    <n v="89"/>
    <n v="47"/>
    <n v="54"/>
    <n v="12"/>
    <n v="632"/>
    <n v="172"/>
    <n v="1.0518191841234841"/>
    <n v="53"/>
    <s v="2021/01/15"/>
    <n v="804"/>
    <n v="0.124378109452736"/>
    <n v="0"/>
  </r>
  <r>
    <x v="42"/>
    <s v="A.S. PONTEVEDRA E O SALNÉS"/>
    <n v="92"/>
    <n v="90"/>
    <n v="82"/>
    <n v="954"/>
    <n v="6869"/>
    <n v="54"/>
    <n v="12"/>
    <n v="123664"/>
    <n v="48086"/>
    <n v="89"/>
    <n v="29"/>
    <n v="56"/>
    <n v="12"/>
    <n v="659"/>
    <n v="94"/>
    <n v="1.0303983228511531"/>
    <n v="62"/>
    <s v="2021/01/16"/>
    <n v="753"/>
    <n v="0.122177954847278"/>
    <n v="1"/>
  </r>
  <r>
    <x v="43"/>
    <s v="A.S. PONTEVEDRA E O SALNÉS"/>
    <n v="126"/>
    <n v="91"/>
    <n v="84"/>
    <n v="983"/>
    <n v="6931"/>
    <n v="56"/>
    <n v="12"/>
    <n v="124323"/>
    <n v="48180"/>
    <n v="90"/>
    <n v="105"/>
    <n v="64"/>
    <n v="13"/>
    <n v="856"/>
    <n v="114"/>
    <n v="1.1068158697863684"/>
    <n v="20"/>
    <s v="2021/01/17"/>
    <n v="970"/>
    <n v="0.12989690721649499"/>
    <n v="1"/>
  </r>
  <r>
    <x v="44"/>
    <s v="A.S. PONTEVEDRA E O SALNÉS"/>
    <n v="100"/>
    <n v="92"/>
    <n v="112"/>
    <n v="1088"/>
    <n v="6951"/>
    <n v="64"/>
    <n v="13"/>
    <n v="125179"/>
    <n v="48294"/>
    <n v="91"/>
    <n v="57"/>
    <n v="67"/>
    <n v="11"/>
    <n v="866"/>
    <n v="152"/>
    <n v="1.052389705882353"/>
    <n v="42"/>
    <s v="2021/01/18"/>
    <n v="1018"/>
    <n v="9.8231827111984305E-2"/>
    <n v="1"/>
  </r>
  <r>
    <x v="45"/>
    <s v="A.S. PONTEVEDRA E O SALNÉS"/>
    <n v="88"/>
    <n v="92"/>
    <n v="82"/>
    <n v="1145"/>
    <n v="6993"/>
    <n v="67"/>
    <n v="11"/>
    <n v="126045"/>
    <n v="48446"/>
    <n v="92"/>
    <n v="50"/>
    <n v="62"/>
    <n v="14"/>
    <n v="1122"/>
    <n v="269"/>
    <n v="1.0436681222707425"/>
    <n v="38"/>
    <s v="2021/01/19"/>
    <n v="1391"/>
    <n v="6.32638389647735E-2"/>
    <n v="0"/>
  </r>
  <r>
    <x v="46"/>
    <s v="A.S. PONTEVEDRA E O SALNÉS"/>
    <n v="214"/>
    <n v="94"/>
    <n v="76"/>
    <n v="1195"/>
    <n v="7031"/>
    <n v="62"/>
    <n v="14"/>
    <n v="127167"/>
    <n v="48715"/>
    <n v="92"/>
    <n v="179"/>
    <n v="74"/>
    <n v="14"/>
    <n v="1192"/>
    <n v="334"/>
    <n v="1.1497907949790795"/>
    <n v="33"/>
    <s v="2021/01/20"/>
    <n v="1526"/>
    <n v="0.14023591087811299"/>
    <n v="2"/>
  </r>
  <r>
    <x v="47"/>
    <s v="A.S. PONTEVEDRA E O SALNÉS"/>
    <n v="162"/>
    <n v="96"/>
    <n v="192"/>
    <n v="1374"/>
    <n v="7064"/>
    <n v="74"/>
    <n v="14"/>
    <n v="128359"/>
    <n v="49049"/>
    <n v="94"/>
    <n v="111"/>
    <n v="83"/>
    <n v="14"/>
    <n v="1368"/>
    <n v="385"/>
    <n v="1.0807860262008733"/>
    <n v="48"/>
    <s v="2021/01/21"/>
    <n v="1753"/>
    <n v="9.2413006274957202E-2"/>
    <n v="2"/>
  </r>
  <r>
    <x v="48"/>
    <s v="A.S. PONTEVEDRA E O SALNÉS"/>
    <n v="154"/>
    <n v="97"/>
    <n v="138"/>
    <n v="1485"/>
    <n v="7112"/>
    <n v="83"/>
    <n v="14"/>
    <n v="129727"/>
    <n v="49434"/>
    <n v="96"/>
    <n v="94"/>
    <n v="84"/>
    <n v="13"/>
    <n v="1401"/>
    <n v="453"/>
    <n v="1.0632996632996632"/>
    <n v="59"/>
    <s v="2021/01/22"/>
    <n v="1854"/>
    <n v="8.3063646170442304E-2"/>
    <n v="1"/>
  </r>
  <r>
    <x v="49"/>
    <s v="A.S. PONTEVEDRA E O SALNÉS"/>
    <n v="134"/>
    <n v="98"/>
    <n v="124"/>
    <n v="1579"/>
    <n v="7171"/>
    <n v="84"/>
    <n v="13"/>
    <n v="131128"/>
    <n v="49887"/>
    <n v="97"/>
    <n v="71"/>
    <n v="102"/>
    <n v="15"/>
    <n v="1055"/>
    <n v="338"/>
    <n v="1.0449651678277392"/>
    <n v="62"/>
    <s v="2021/01/23"/>
    <n v="1393"/>
    <n v="9.6195262024407799E-2"/>
    <n v="1"/>
  </r>
  <r>
    <x v="50"/>
    <s v="A.S. PONTEVEDRA E O SALNÉS"/>
    <n v="201"/>
    <n v="101"/>
    <n v="111"/>
    <n v="1650"/>
    <n v="7233"/>
    <n v="102"/>
    <n v="15"/>
    <n v="132183"/>
    <n v="50225"/>
    <n v="98"/>
    <n v="168"/>
    <n v="107"/>
    <n v="15"/>
    <n v="1297"/>
    <n v="256"/>
    <n v="1.1018181818181818"/>
    <n v="30"/>
    <s v="2021/01/24"/>
    <n v="1553"/>
    <n v="0.12942691564713499"/>
    <n v="3"/>
  </r>
  <r>
    <x v="51"/>
    <s v="A.S. PONTEVEDRA E O SALNÉS"/>
    <n v="216"/>
    <n v="101"/>
    <n v="186"/>
    <n v="1818"/>
    <n v="7263"/>
    <n v="107"/>
    <n v="15"/>
    <n v="133480"/>
    <n v="50481"/>
    <n v="101"/>
    <n v="122"/>
    <n v="113"/>
    <n v="15"/>
    <n v="1257"/>
    <n v="507"/>
    <n v="1.0671067106710672"/>
    <n v="94"/>
    <s v="2021/01/25"/>
    <n v="1764"/>
    <n v="0.122448979591837"/>
    <n v="0"/>
  </r>
  <r>
    <x v="52"/>
    <s v="A.S. PONTEVEDRA E O SALNÉS"/>
    <n v="165"/>
    <n v="101"/>
    <n v="187"/>
    <n v="1940"/>
    <n v="7357"/>
    <n v="113"/>
    <n v="15"/>
    <n v="134737"/>
    <n v="50988"/>
    <n v="101"/>
    <n v="82"/>
    <n v="118"/>
    <n v="16"/>
    <n v="1199"/>
    <n v="400"/>
    <n v="1.0422680412371135"/>
    <n v="83"/>
    <s v="2021/01/26"/>
    <n v="1599"/>
    <n v="0.10318949343339601"/>
    <n v="0"/>
  </r>
  <r>
    <x v="53"/>
    <s v="A.S. PONTEVEDRA E O SALNÉS"/>
    <n v="187"/>
    <n v="105"/>
    <n v="133"/>
    <n v="2022"/>
    <n v="7440"/>
    <n v="118"/>
    <n v="16"/>
    <n v="135936"/>
    <n v="51388"/>
    <n v="101"/>
    <n v="132"/>
    <n v="116"/>
    <n v="17"/>
    <n v="1354"/>
    <n v="528"/>
    <n v="1.0652818991097923"/>
    <n v="51"/>
    <s v="2021/01/27"/>
    <n v="1882"/>
    <n v="9.9362380446333706E-2"/>
    <n v="4"/>
  </r>
  <r>
    <x v="54"/>
    <s v="A.S. PONTEVEDRA E O SALNÉS"/>
    <n v="170"/>
    <n v="105"/>
    <n v="151"/>
    <n v="2154"/>
    <n v="7491"/>
    <n v="116"/>
    <n v="17"/>
    <n v="137290"/>
    <n v="51916"/>
    <n v="105"/>
    <n v="92"/>
    <n v="119"/>
    <n v="25"/>
    <n v="1227"/>
    <n v="555"/>
    <n v="1.042711234911792"/>
    <n v="78"/>
    <s v="2021/01/28"/>
    <n v="1782"/>
    <n v="9.5398428731762103E-2"/>
    <n v="0"/>
  </r>
  <r>
    <x v="55"/>
    <s v="A.S. PONTEVEDRA E O SALNÉS"/>
    <n v="208"/>
    <n v="109"/>
    <n v="156"/>
    <n v="2246"/>
    <n v="7569"/>
    <n v="119"/>
    <n v="25"/>
    <n v="138517"/>
    <n v="52471"/>
    <n v="105"/>
    <n v="119"/>
    <n v="112"/>
    <n v="29"/>
    <n v="1653"/>
    <n v="800"/>
    <n v="1.0529830810329475"/>
    <n v="85"/>
    <s v="2021/01/29"/>
    <n v="2453"/>
    <n v="8.4794129637179E-2"/>
    <n v="4"/>
  </r>
  <r>
    <x v="56"/>
    <s v="A.S. PONTEVEDRA E O SALNÉS"/>
    <n v="168"/>
    <n v="109"/>
    <n v="172"/>
    <n v="2365"/>
    <n v="7654"/>
    <n v="112"/>
    <n v="29"/>
    <n v="140170"/>
    <n v="53271"/>
    <n v="109"/>
    <n v="90"/>
    <n v="124"/>
    <n v="30"/>
    <n v="1269"/>
    <n v="979"/>
    <n v="1.0380549682875264"/>
    <n v="78"/>
    <s v="2021/01/30"/>
    <n v="2248"/>
    <n v="7.4733096085409206E-2"/>
    <n v="0"/>
  </r>
  <r>
    <x v="57"/>
    <s v="A.S. PONTEVEDRA E O SALNÉS"/>
    <n v="119"/>
    <n v="112"/>
    <n v="148"/>
    <n v="2455"/>
    <n v="7732"/>
    <n v="124"/>
    <n v="30"/>
    <n v="141439"/>
    <n v="54250"/>
    <n v="109"/>
    <n v="14"/>
    <n v="131"/>
    <n v="31"/>
    <n v="888"/>
    <n v="241"/>
    <n v="1.0057026476578412"/>
    <n v="102"/>
    <s v="2021/01/31"/>
    <n v="1129"/>
    <n v="0.10540301151461499"/>
    <n v="3"/>
  </r>
  <r>
    <x v="58"/>
    <s v="A.S. PONTEVEDRA E O SALNÉS"/>
    <n v="154"/>
    <n v="115"/>
    <n v="106"/>
    <n v="2469"/>
    <n v="7834"/>
    <n v="131"/>
    <n v="31"/>
    <n v="142327"/>
    <n v="54491"/>
    <n v="112"/>
    <n v="34"/>
    <n v="130"/>
    <n v="30"/>
    <n v="880"/>
    <n v="428"/>
    <n v="1.0137707573916566"/>
    <n v="117"/>
    <s v="2021/02/01"/>
    <n v="1308"/>
    <n v="0.117737003058104"/>
    <n v="3"/>
  </r>
  <r>
    <x v="59"/>
    <s v="A.S. PONTEVEDRA E O SALNÉS"/>
    <n v="179"/>
    <n v="117"/>
    <n v="130"/>
    <n v="2503"/>
    <n v="7951"/>
    <n v="130"/>
    <n v="30"/>
    <n v="143207"/>
    <n v="54919"/>
    <n v="115"/>
    <n v="75"/>
    <n v="117"/>
    <n v="29"/>
    <n v="1121"/>
    <n v="560"/>
    <n v="1.0299640431482222"/>
    <n v="102"/>
    <s v="2021/02/02"/>
    <n v="1681"/>
    <n v="0.106484235574063"/>
    <n v="2"/>
  </r>
  <r>
    <x v="60"/>
    <s v="A.S. PONTEVEDRA E O SALNÉS"/>
    <n v="115"/>
    <n v="119"/>
    <n v="125"/>
    <n v="2578"/>
    <n v="8053"/>
    <n v="117"/>
    <n v="29"/>
    <n v="144328"/>
    <n v="55479"/>
    <n v="117"/>
    <n v="35"/>
    <n v="113"/>
    <n v="27"/>
    <n v="1252"/>
    <n v="1440"/>
    <n v="1.0135764158262219"/>
    <n v="78"/>
    <s v="2021/02/03"/>
    <n v="2692"/>
    <n v="4.2719167904903398E-2"/>
    <n v="2"/>
  </r>
  <r>
    <x v="61"/>
    <s v="A.S. PONTEVEDRA E O SALNÉS"/>
    <n v="163"/>
    <n v="124"/>
    <n v="91"/>
    <n v="2613"/>
    <n v="8131"/>
    <n v="113"/>
    <n v="27"/>
    <n v="145580"/>
    <n v="56919"/>
    <n v="119"/>
    <n v="-37"/>
    <n v="112"/>
    <n v="27"/>
    <n v="1439"/>
    <n v="1991"/>
    <n v="0.98584003061615"/>
    <n v="195"/>
    <s v="2021/02/04"/>
    <n v="3430"/>
    <n v="4.7521865889212797E-2"/>
    <n v="5"/>
  </r>
  <r>
    <x v="62"/>
    <s v="A.S. PONTEVEDRA E O SALNÉS"/>
    <n v="114"/>
    <n v="128"/>
    <n v="152"/>
    <n v="2576"/>
    <n v="8326"/>
    <n v="112"/>
    <n v="27"/>
    <n v="147019"/>
    <n v="58910"/>
    <n v="124"/>
    <n v="-14"/>
    <n v="106"/>
    <n v="24"/>
    <n v="1136"/>
    <n v="2261"/>
    <n v="0.99456521739130432"/>
    <n v="124"/>
    <s v="2021/02/05"/>
    <n v="3397"/>
    <n v="3.35590226670592E-2"/>
    <n v="4"/>
  </r>
  <r>
    <x v="63"/>
    <s v="A.S. PONTEVEDRA E O SALNÉS"/>
    <n v="112"/>
    <n v="128"/>
    <n v="103"/>
    <n v="2562"/>
    <n v="8450"/>
    <n v="106"/>
    <n v="24"/>
    <n v="148155"/>
    <n v="61171"/>
    <n v="128"/>
    <n v="-36"/>
    <n v="105"/>
    <n v="23"/>
    <n v="996"/>
    <n v="1507"/>
    <n v="0.98594847775175642"/>
    <n v="148"/>
    <s v="2021/02/06"/>
    <n v="2503"/>
    <n v="4.4746304434678398E-2"/>
    <n v="0"/>
  </r>
  <r>
    <x v="64"/>
    <s v="A.S. PONTEVEDRA E O SALNÉS"/>
    <n v="59"/>
    <n v="128"/>
    <n v="134"/>
    <n v="2526"/>
    <n v="8598"/>
    <n v="105"/>
    <n v="23"/>
    <n v="149151"/>
    <n v="62678"/>
    <n v="128"/>
    <n v="-43"/>
    <n v="111"/>
    <n v="21"/>
    <n v="783"/>
    <n v="338"/>
    <n v="0.98297703879651621"/>
    <n v="102"/>
    <s v="2021/02/07"/>
    <n v="1121"/>
    <n v="5.2631578947368397E-2"/>
    <n v="0"/>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5">
  <r>
    <x v="0"/>
    <s v="A.S. LUGO, A MARIÑA E MONFORTE"/>
    <n v="31"/>
    <n v="132"/>
    <n v="39"/>
    <n v="829"/>
    <n v="5464"/>
    <n v="26"/>
    <n v="1"/>
    <n v="106206"/>
    <n v="72531"/>
    <n v="130"/>
    <n v="-41"/>
    <n v="31"/>
    <n v="1"/>
    <n v="463"/>
    <n v="51"/>
    <n v="0.95054282267792523"/>
    <n v="70"/>
    <s v="2020/12/05"/>
    <n v="514"/>
    <n v="6.0311284046692601E-2"/>
    <n v="2"/>
  </r>
  <r>
    <x v="1"/>
    <s v="A.S. LUGO, A MARIÑA E MONFORTE"/>
    <n v="29"/>
    <n v="133"/>
    <n v="29"/>
    <n v="788"/>
    <n v="5534"/>
    <n v="31"/>
    <n v="1"/>
    <n v="106669"/>
    <n v="72582"/>
    <n v="132"/>
    <n v="-17"/>
    <n v="30"/>
    <n v="1"/>
    <n v="434"/>
    <n v="32"/>
    <n v="0.97842639593908631"/>
    <n v="45"/>
    <s v="2020/12/06"/>
    <n v="466"/>
    <n v="6.2231759656652397E-2"/>
    <n v="1"/>
  </r>
  <r>
    <x v="2"/>
    <s v="A.S. LUGO, A MARIÑA E MONFORTE"/>
    <n v="18"/>
    <n v="136"/>
    <n v="28"/>
    <n v="771"/>
    <n v="5579"/>
    <n v="30"/>
    <n v="1"/>
    <n v="107103"/>
    <n v="72614"/>
    <n v="133"/>
    <n v="-147"/>
    <n v="23"/>
    <n v="2"/>
    <n v="454"/>
    <n v="87"/>
    <n v="0.80933852140077822"/>
    <n v="162"/>
    <s v="2020/12/07"/>
    <n v="541"/>
    <n v="3.3271719038817003E-2"/>
    <n v="3"/>
  </r>
  <r>
    <x v="3"/>
    <s v="A.S. LUGO, A MARIÑA E MONFORTE"/>
    <n v="30"/>
    <n v="137"/>
    <n v="16"/>
    <n v="624"/>
    <n v="5741"/>
    <n v="23"/>
    <n v="2"/>
    <n v="107557"/>
    <n v="72701"/>
    <n v="136"/>
    <n v="-18"/>
    <n v="27"/>
    <n v="3"/>
    <n v="711"/>
    <n v="49"/>
    <n v="0.97115384615384615"/>
    <n v="47"/>
    <s v="2020/12/08"/>
    <n v="760"/>
    <n v="3.94736842105263E-2"/>
    <n v="1"/>
  </r>
  <r>
    <x v="4"/>
    <s v="A.S. LUGO, A MARIÑA E MONFORTE"/>
    <n v="20"/>
    <n v="137"/>
    <n v="31"/>
    <n v="606"/>
    <n v="5788"/>
    <n v="27"/>
    <n v="3"/>
    <n v="108268"/>
    <n v="72750"/>
    <n v="137"/>
    <n v="-15"/>
    <n v="27"/>
    <n v="4"/>
    <n v="866"/>
    <n v="99"/>
    <n v="0.97524752475247523"/>
    <n v="35"/>
    <s v="2020/12/09"/>
    <n v="965"/>
    <n v="2.0725388601036301E-2"/>
    <n v="0"/>
  </r>
  <r>
    <x v="5"/>
    <s v="A.S. LUGO, A MARIÑA E MONFORTE"/>
    <n v="25"/>
    <n v="139"/>
    <n v="16"/>
    <n v="591"/>
    <n v="5823"/>
    <n v="27"/>
    <n v="4"/>
    <n v="109134"/>
    <n v="72849"/>
    <n v="137"/>
    <n v="-20"/>
    <n v="23"/>
    <n v="4"/>
    <n v="964"/>
    <n v="108"/>
    <n v="0.96615905245346867"/>
    <n v="43"/>
    <s v="2020/12/10"/>
    <n v="1072"/>
    <n v="2.3320895522388099E-2"/>
    <n v="2"/>
  </r>
  <r>
    <x v="6"/>
    <s v="A.S. LUGO, A MARIÑA E MONFORTE"/>
    <n v="19"/>
    <n v="139"/>
    <n v="25"/>
    <n v="571"/>
    <n v="5866"/>
    <n v="23"/>
    <n v="4"/>
    <n v="110098"/>
    <n v="72957"/>
    <n v="139"/>
    <n v="-26"/>
    <n v="25"/>
    <n v="4"/>
    <n v="1013"/>
    <n v="121"/>
    <n v="0.95446584938704027"/>
    <n v="45"/>
    <s v="2020/12/11"/>
    <n v="1134"/>
    <n v="1.67548500881834E-2"/>
    <n v="0"/>
  </r>
  <r>
    <x v="7"/>
    <s v="A.S. LUGO, A MARIÑA E MONFORTE"/>
    <n v="23"/>
    <n v="139"/>
    <n v="18"/>
    <n v="545"/>
    <n v="5911"/>
    <n v="25"/>
    <n v="4"/>
    <n v="111111"/>
    <n v="73078"/>
    <n v="139"/>
    <n v="-47"/>
    <n v="22"/>
    <n v="4"/>
    <n v="924"/>
    <n v="46"/>
    <n v="0.91376146788990831"/>
    <n v="70"/>
    <s v="2020/12/12"/>
    <n v="970"/>
    <n v="2.3711340206185601E-2"/>
    <n v="0"/>
  </r>
  <r>
    <x v="8"/>
    <s v="A.S. LUGO, A MARIÑA E MONFORTE"/>
    <n v="20"/>
    <n v="139"/>
    <n v="24"/>
    <n v="498"/>
    <n v="5981"/>
    <n v="22"/>
    <n v="4"/>
    <n v="112035"/>
    <n v="73124"/>
    <n v="139"/>
    <n v="-12"/>
    <n v="21"/>
    <n v="6"/>
    <n v="980"/>
    <n v="43"/>
    <n v="0.97590361445783136"/>
    <n v="32"/>
    <s v="2020/12/13"/>
    <n v="1023"/>
    <n v="1.9550342130987299E-2"/>
    <n v="0"/>
  </r>
  <r>
    <x v="9"/>
    <s v="A.S. LUGO, A MARIÑA E MONFORTE"/>
    <n v="13"/>
    <n v="140"/>
    <n v="18"/>
    <n v="486"/>
    <n v="6013"/>
    <n v="21"/>
    <n v="6"/>
    <n v="113015"/>
    <n v="73167"/>
    <n v="139"/>
    <n v="-16"/>
    <n v="20"/>
    <n v="6"/>
    <n v="795"/>
    <n v="112"/>
    <n v="0.96707818930041156"/>
    <n v="28"/>
    <s v="2020/12/14"/>
    <n v="907"/>
    <n v="1.4332965821389199E-2"/>
    <n v="1"/>
  </r>
  <r>
    <x v="10"/>
    <s v="A.S. LUGO, A MARIÑA E MONFORTE"/>
    <n v="33"/>
    <n v="140"/>
    <n v="10"/>
    <n v="470"/>
    <n v="6041"/>
    <n v="20"/>
    <n v="6"/>
    <n v="113810"/>
    <n v="73279"/>
    <n v="140"/>
    <n v="-8"/>
    <n v="18"/>
    <n v="6"/>
    <n v="804"/>
    <n v="116"/>
    <n v="0.98297872340425529"/>
    <n v="41"/>
    <s v="2020/12/15"/>
    <n v="920"/>
    <n v="3.5869565217391298E-2"/>
    <n v="0"/>
  </r>
  <r>
    <x v="11"/>
    <s v="A.S. LUGO, A MARIÑA E MONFORTE"/>
    <n v="23"/>
    <n v="141"/>
    <n v="34"/>
    <n v="462"/>
    <n v="6082"/>
    <n v="18"/>
    <n v="6"/>
    <n v="114614"/>
    <n v="73395"/>
    <n v="140"/>
    <n v="-29"/>
    <n v="18"/>
    <n v="5"/>
    <n v="990"/>
    <n v="120"/>
    <n v="0.93722943722943719"/>
    <n v="51"/>
    <s v="2020/12/16"/>
    <n v="1110"/>
    <n v="2.07207207207207E-2"/>
    <n v="1"/>
  </r>
  <r>
    <x v="12"/>
    <s v="A.S. LUGO, A MARIÑA E MONFORTE"/>
    <n v="13"/>
    <n v="141"/>
    <n v="15"/>
    <n v="433"/>
    <n v="6133"/>
    <n v="18"/>
    <n v="5"/>
    <n v="115604"/>
    <n v="73515"/>
    <n v="141"/>
    <n v="-32"/>
    <n v="17"/>
    <n v="6"/>
    <n v="616"/>
    <n v="125"/>
    <n v="0.92609699769053122"/>
    <n v="44"/>
    <s v="2020/12/17"/>
    <n v="741"/>
    <n v="1.7543859649122799E-2"/>
    <n v="0"/>
  </r>
  <r>
    <x v="13"/>
    <s v="A.S. LUGO, A MARIÑA E MONFORTE"/>
    <n v="31"/>
    <n v="141"/>
    <n v="7"/>
    <n v="401"/>
    <n v="6177"/>
    <n v="17"/>
    <n v="6"/>
    <n v="116220"/>
    <n v="73640"/>
    <n v="141"/>
    <n v="3"/>
    <n v="12"/>
    <n v="7"/>
    <n v="778"/>
    <n v="132"/>
    <n v="1.0074812967581048"/>
    <n v="28"/>
    <s v="2020/12/18"/>
    <n v="910"/>
    <n v="3.4065934065934098E-2"/>
    <n v="0"/>
  </r>
  <r>
    <x v="14"/>
    <s v="A.S. LUGO, A MARIÑA E MONFORTE"/>
    <n v="29"/>
    <n v="141"/>
    <n v="32"/>
    <n v="404"/>
    <n v="6205"/>
    <n v="12"/>
    <n v="7"/>
    <n v="116998"/>
    <n v="73772"/>
    <n v="141"/>
    <n v="-33"/>
    <n v="13"/>
    <n v="6"/>
    <n v="919"/>
    <n v="84"/>
    <n v="0.91831683168316836"/>
    <n v="62"/>
    <s v="2020/12/19"/>
    <n v="1003"/>
    <n v="2.8913260219341999E-2"/>
    <n v="0"/>
  </r>
  <r>
    <x v="15"/>
    <s v="A.S. LUGO, A MARIÑA E MONFORTE"/>
    <n v="17"/>
    <n v="141"/>
    <n v="26"/>
    <n v="371"/>
    <n v="6267"/>
    <n v="13"/>
    <n v="6"/>
    <n v="117917"/>
    <n v="73856"/>
    <n v="141"/>
    <n v="-2"/>
    <n v="14"/>
    <n v="6"/>
    <n v="507"/>
    <n v="61"/>
    <n v="0.99460916442048519"/>
    <n v="19"/>
    <s v="2020/12/20"/>
    <n v="568"/>
    <n v="2.9929577464788699E-2"/>
    <n v="0"/>
  </r>
  <r>
    <x v="16"/>
    <s v="A.S. LUGO, A MARIÑA E MONFORTE"/>
    <n v="17"/>
    <n v="143"/>
    <n v="17"/>
    <n v="369"/>
    <n v="6286"/>
    <n v="14"/>
    <n v="6"/>
    <n v="118424"/>
    <n v="73917"/>
    <n v="141"/>
    <n v="-9"/>
    <n v="14"/>
    <n v="4"/>
    <n v="318"/>
    <n v="110"/>
    <n v="0.97560975609756095"/>
    <n v="24"/>
    <s v="2020/12/21"/>
    <n v="428"/>
    <n v="3.9719626168224297E-2"/>
    <n v="2"/>
  </r>
  <r>
    <x v="17"/>
    <s v="A.S. LUGO, A MARIÑA E MONFORTE"/>
    <n v="26"/>
    <n v="144"/>
    <n v="14"/>
    <n v="360"/>
    <n v="6310"/>
    <n v="14"/>
    <n v="4"/>
    <n v="118742"/>
    <n v="74027"/>
    <n v="143"/>
    <n v="-4"/>
    <n v="9"/>
    <n v="4"/>
    <n v="844"/>
    <n v="106"/>
    <n v="0.98888888888888893"/>
    <n v="29"/>
    <s v="2020/12/22"/>
    <n v="950"/>
    <n v="2.7368421052631601E-2"/>
    <n v="1"/>
  </r>
  <r>
    <x v="18"/>
    <s v="A.S. LUGO, A MARIÑA E MONFORTE"/>
    <n v="35"/>
    <n v="144"/>
    <n v="26"/>
    <n v="356"/>
    <n v="6339"/>
    <n v="9"/>
    <n v="4"/>
    <n v="119586"/>
    <n v="74133"/>
    <n v="144"/>
    <n v="14"/>
    <n v="10"/>
    <n v="3"/>
    <n v="1206"/>
    <n v="95"/>
    <n v="1.0393258426966292"/>
    <n v="21"/>
    <s v="2020/12/23"/>
    <n v="1301"/>
    <n v="2.6902382782475E-2"/>
    <n v="0"/>
  </r>
  <r>
    <x v="19"/>
    <s v="A.S. LUGO, A MARIÑA E MONFORTE"/>
    <n v="28"/>
    <n v="144"/>
    <n v="34"/>
    <n v="370"/>
    <n v="6360"/>
    <n v="10"/>
    <n v="3"/>
    <n v="120792"/>
    <n v="74228"/>
    <n v="144"/>
    <n v="12"/>
    <n v="10"/>
    <n v="3"/>
    <n v="948"/>
    <n v="128"/>
    <n v="1.0324324324324323"/>
    <n v="16"/>
    <s v="2020/12/24"/>
    <n v="1076"/>
    <n v="2.60223048327138E-2"/>
    <n v="0"/>
  </r>
  <r>
    <x v="20"/>
    <s v="A.S. LUGO, A MARIÑA E MONFORTE"/>
    <n v="35"/>
    <n v="144"/>
    <n v="23"/>
    <n v="382"/>
    <n v="6376"/>
    <n v="10"/>
    <n v="3"/>
    <n v="121740"/>
    <n v="74356"/>
    <n v="144"/>
    <n v="-1"/>
    <n v="10"/>
    <n v="4"/>
    <n v="404"/>
    <n v="39"/>
    <n v="0.99738219895287961"/>
    <n v="36"/>
    <s v="2020/12/25"/>
    <n v="443"/>
    <n v="7.9006772009029405E-2"/>
    <n v="0"/>
  </r>
  <r>
    <x v="21"/>
    <s v="A.S. LUGO, A MARIÑA E MONFORTE"/>
    <n v="11"/>
    <n v="145"/>
    <n v="33"/>
    <n v="381"/>
    <n v="6412"/>
    <n v="10"/>
    <n v="4"/>
    <n v="122144"/>
    <n v="74395"/>
    <n v="144"/>
    <n v="-7"/>
    <n v="9"/>
    <n v="4"/>
    <n v="316"/>
    <n v="60"/>
    <n v="0.98162729658792647"/>
    <n v="17"/>
    <s v="2020/12/26"/>
    <n v="376"/>
    <n v="2.9255319148936199E-2"/>
    <n v="1"/>
  </r>
  <r>
    <x v="22"/>
    <s v="A.S. LUGO, A MARIÑA E MONFORTE"/>
    <n v="43"/>
    <n v="145"/>
    <n v="7"/>
    <n v="374"/>
    <n v="6429"/>
    <n v="9"/>
    <n v="4"/>
    <n v="122460"/>
    <n v="74455"/>
    <n v="145"/>
    <n v="23"/>
    <n v="11"/>
    <n v="3"/>
    <n v="611"/>
    <n v="64"/>
    <n v="1.0614973262032086"/>
    <n v="20"/>
    <s v="2020/12/27"/>
    <n v="675"/>
    <n v="6.3703703703703707E-2"/>
    <n v="0"/>
  </r>
  <r>
    <x v="23"/>
    <s v="A.S. LUGO, A MARIÑA E MONFORTE"/>
    <n v="16"/>
    <n v="145"/>
    <n v="41"/>
    <n v="397"/>
    <n v="6449"/>
    <n v="11"/>
    <n v="3"/>
    <n v="123071"/>
    <n v="74519"/>
    <n v="145"/>
    <n v="0"/>
    <n v="10"/>
    <n v="3"/>
    <n v="389"/>
    <n v="107"/>
    <n v="1"/>
    <n v="16"/>
    <s v="2020/12/28"/>
    <n v="496"/>
    <n v="3.2258064516128997E-2"/>
    <n v="0"/>
  </r>
  <r>
    <x v="24"/>
    <s v="A.S. LUGO, A MARIÑA E MONFORTE"/>
    <n v="50"/>
    <n v="145"/>
    <n v="13"/>
    <n v="397"/>
    <n v="6465"/>
    <n v="10"/>
    <n v="3"/>
    <n v="123460"/>
    <n v="74626"/>
    <n v="145"/>
    <n v="33"/>
    <n v="12"/>
    <n v="2"/>
    <n v="784"/>
    <n v="111"/>
    <n v="1.0831234256926952"/>
    <n v="17"/>
    <s v="2020/12/29"/>
    <n v="895"/>
    <n v="5.5865921787709501E-2"/>
    <n v="0"/>
  </r>
  <r>
    <x v="25"/>
    <s v="A.S. LUGO, A MARIÑA E MONFORTE"/>
    <n v="49"/>
    <n v="145"/>
    <n v="50"/>
    <n v="430"/>
    <n v="6482"/>
    <n v="12"/>
    <n v="2"/>
    <n v="124244"/>
    <n v="74737"/>
    <n v="145"/>
    <n v="14"/>
    <n v="16"/>
    <n v="2"/>
    <n v="784"/>
    <n v="106"/>
    <n v="1.0325581395348837"/>
    <n v="35"/>
    <s v="2020/12/30"/>
    <n v="890"/>
    <n v="5.5056179775280899E-2"/>
    <n v="0"/>
  </r>
  <r>
    <x v="26"/>
    <s v="A.S. LUGO, A MARIÑA E MONFORTE"/>
    <n v="47"/>
    <n v="145"/>
    <n v="45"/>
    <n v="444"/>
    <n v="6517"/>
    <n v="16"/>
    <n v="2"/>
    <n v="125028"/>
    <n v="74843"/>
    <n v="145"/>
    <n v="19"/>
    <n v="13"/>
    <n v="2"/>
    <n v="631"/>
    <n v="115"/>
    <n v="1.0427927927927927"/>
    <n v="28"/>
    <s v="2020/12/31"/>
    <n v="746"/>
    <n v="6.3002680965147398E-2"/>
    <n v="0"/>
  </r>
  <r>
    <x v="27"/>
    <s v="A.S. LUGO, A MARIÑA E MONFORTE"/>
    <n v="35"/>
    <n v="145"/>
    <n v="32"/>
    <n v="463"/>
    <n v="6545"/>
    <n v="13"/>
    <n v="2"/>
    <n v="125659"/>
    <n v="74958"/>
    <n v="145"/>
    <n v="12"/>
    <n v="14"/>
    <n v="2"/>
    <n v="537"/>
    <n v="46"/>
    <n v="1.0259179265658747"/>
    <n v="23"/>
    <s v="2021/01/01"/>
    <n v="583"/>
    <n v="6.0034305317324198E-2"/>
    <n v="0"/>
  </r>
  <r>
    <x v="28"/>
    <s v="A.S. LUGO, A MARIÑA E MONFORTE"/>
    <n v="33"/>
    <n v="145"/>
    <n v="39"/>
    <n v="475"/>
    <n v="6568"/>
    <n v="14"/>
    <n v="2"/>
    <n v="126196"/>
    <n v="75004"/>
    <n v="145"/>
    <n v="8"/>
    <n v="16"/>
    <n v="2"/>
    <n v="245"/>
    <n v="70"/>
    <n v="1.016842105263158"/>
    <n v="25"/>
    <s v="2021/01/02"/>
    <n v="315"/>
    <n v="0.104761904761905"/>
    <n v="0"/>
  </r>
  <r>
    <x v="29"/>
    <s v="A.S. LUGO, A MARIÑA E MONFORTE"/>
    <n v="60"/>
    <n v="145"/>
    <n v="29"/>
    <n v="483"/>
    <n v="6593"/>
    <n v="16"/>
    <n v="2"/>
    <n v="126441"/>
    <n v="75074"/>
    <n v="145"/>
    <n v="24"/>
    <n v="17"/>
    <n v="0"/>
    <n v="884"/>
    <n v="84"/>
    <n v="1.0496894409937889"/>
    <n v="36"/>
    <s v="2021/01/03"/>
    <n v="968"/>
    <n v="6.1983471074380202E-2"/>
    <n v="0"/>
  </r>
  <r>
    <x v="30"/>
    <s v="A.S. LUGO, A MARIÑA E MONFORTE"/>
    <n v="45"/>
    <n v="145"/>
    <n v="57"/>
    <n v="507"/>
    <n v="6629"/>
    <n v="17"/>
    <n v="0"/>
    <n v="127325"/>
    <n v="75158"/>
    <n v="145"/>
    <n v="24"/>
    <n v="17"/>
    <n v="0"/>
    <n v="987"/>
    <n v="164"/>
    <n v="1.0473372781065089"/>
    <n v="20"/>
    <s v="2021/01/04"/>
    <n v="1151"/>
    <n v="3.90964378801043E-2"/>
    <n v="0"/>
  </r>
  <r>
    <x v="31"/>
    <s v="A.S. LUGO, A MARIÑA E MONFORTE"/>
    <n v="63"/>
    <n v="145"/>
    <n v="46"/>
    <n v="531"/>
    <n v="6649"/>
    <n v="17"/>
    <n v="0"/>
    <n v="128312"/>
    <n v="75322"/>
    <n v="145"/>
    <n v="44"/>
    <n v="18"/>
    <n v="0"/>
    <n v="1014"/>
    <n v="124"/>
    <n v="1.0828625235404896"/>
    <n v="19"/>
    <s v="2021/01/05"/>
    <n v="1138"/>
    <n v="5.5360281195079103E-2"/>
    <n v="0"/>
  </r>
  <r>
    <x v="32"/>
    <s v="A.S. LUGO, A MARIÑA E MONFORTE"/>
    <n v="69"/>
    <n v="145"/>
    <n v="53"/>
    <n v="575"/>
    <n v="6668"/>
    <n v="18"/>
    <n v="0"/>
    <n v="129326"/>
    <n v="75446"/>
    <n v="145"/>
    <n v="44"/>
    <n v="19"/>
    <n v="0"/>
    <n v="1179"/>
    <n v="72"/>
    <n v="1.0765217391304347"/>
    <n v="25"/>
    <s v="2021/01/06"/>
    <n v="1251"/>
    <n v="5.5155875299760203E-2"/>
    <n v="0"/>
  </r>
  <r>
    <x v="33"/>
    <s v="A.S. LUGO, A MARIÑA E MONFORTE"/>
    <n v="42"/>
    <n v="145"/>
    <n v="63"/>
    <n v="619"/>
    <n v="6693"/>
    <n v="19"/>
    <n v="0"/>
    <n v="130505"/>
    <n v="75518"/>
    <n v="145"/>
    <n v="7"/>
    <n v="17"/>
    <n v="0"/>
    <n v="535"/>
    <n v="176"/>
    <n v="1.0113085621970921"/>
    <n v="35"/>
    <s v="2021/01/07"/>
    <n v="711"/>
    <n v="5.90717299578059E-2"/>
    <n v="0"/>
  </r>
  <r>
    <x v="34"/>
    <s v="A.S. LUGO, A MARIÑA E MONFORTE"/>
    <n v="96"/>
    <n v="146"/>
    <n v="34"/>
    <n v="626"/>
    <n v="6728"/>
    <n v="17"/>
    <n v="0"/>
    <n v="131040"/>
    <n v="75694"/>
    <n v="145"/>
    <n v="73"/>
    <n v="18"/>
    <n v="0"/>
    <n v="791"/>
    <n v="281"/>
    <n v="1.1166134185303513"/>
    <n v="22"/>
    <s v="2021/01/08"/>
    <n v="1072"/>
    <n v="8.9552238805970102E-2"/>
    <n v="1"/>
  </r>
  <r>
    <x v="35"/>
    <s v="A.S. LUGO, A MARIÑA E MONFORTE"/>
    <n v="75"/>
    <n v="146"/>
    <n v="87"/>
    <n v="699"/>
    <n v="6750"/>
    <n v="18"/>
    <n v="0"/>
    <n v="131831"/>
    <n v="75975"/>
    <n v="146"/>
    <n v="52"/>
    <n v="20"/>
    <n v="2"/>
    <n v="899"/>
    <n v="76"/>
    <n v="1.0743919885550788"/>
    <n v="23"/>
    <s v="2021/01/09"/>
    <n v="975"/>
    <n v="7.69230769230769E-2"/>
    <n v="0"/>
  </r>
  <r>
    <x v="36"/>
    <s v="A.S. LUGO, A MARIÑA E MONFORTE"/>
    <n v="57"/>
    <n v="147"/>
    <n v="71"/>
    <n v="751"/>
    <n v="6773"/>
    <n v="20"/>
    <n v="2"/>
    <n v="132730"/>
    <n v="76051"/>
    <n v="146"/>
    <n v="27"/>
    <n v="21"/>
    <n v="3"/>
    <n v="922"/>
    <n v="59"/>
    <n v="1.0359520639147803"/>
    <n v="29"/>
    <s v="2021/01/10"/>
    <n v="981"/>
    <n v="5.8103975535168197E-2"/>
    <n v="1"/>
  </r>
  <r>
    <x v="37"/>
    <s v="A.S. LUGO, A MARIÑA E MONFORTE"/>
    <n v="47"/>
    <n v="148"/>
    <n v="50"/>
    <n v="778"/>
    <n v="6802"/>
    <n v="21"/>
    <n v="3"/>
    <n v="133652"/>
    <n v="76110"/>
    <n v="147"/>
    <n v="32"/>
    <n v="25"/>
    <n v="2"/>
    <n v="1052"/>
    <n v="240"/>
    <n v="1.0411311053984575"/>
    <n v="13"/>
    <s v="2021/01/11"/>
    <n v="1292"/>
    <n v="3.6377708978328198E-2"/>
    <n v="1"/>
  </r>
  <r>
    <x v="38"/>
    <s v="A.S. LUGO, A MARIÑA E MONFORTE"/>
    <n v="104"/>
    <n v="148"/>
    <n v="38"/>
    <n v="810"/>
    <n v="6815"/>
    <n v="25"/>
    <n v="2"/>
    <n v="134704"/>
    <n v="76350"/>
    <n v="148"/>
    <n v="80"/>
    <n v="28"/>
    <n v="4"/>
    <n v="1313"/>
    <n v="340"/>
    <n v="1.0987654320987654"/>
    <n v="23"/>
    <s v="2021/01/12"/>
    <n v="1653"/>
    <n v="6.2915910465819694E-2"/>
    <n v="0"/>
  </r>
  <r>
    <x v="39"/>
    <s v="A.S. LUGO, A MARIÑA E MONFORTE"/>
    <n v="99"/>
    <n v="149"/>
    <n v="90"/>
    <n v="890"/>
    <n v="6838"/>
    <n v="28"/>
    <n v="4"/>
    <n v="136017"/>
    <n v="76690"/>
    <n v="148"/>
    <n v="55"/>
    <n v="31"/>
    <n v="3"/>
    <n v="1130"/>
    <n v="200"/>
    <n v="1.0617977528089888"/>
    <n v="43"/>
    <s v="2021/01/13"/>
    <n v="1330"/>
    <n v="7.4436090225563897E-2"/>
    <n v="1"/>
  </r>
  <r>
    <x v="40"/>
    <s v="A.S. LUGO, A MARIÑA E MONFORTE"/>
    <n v="85"/>
    <n v="150"/>
    <n v="97"/>
    <n v="945"/>
    <n v="6881"/>
    <n v="31"/>
    <n v="3"/>
    <n v="137147"/>
    <n v="76890"/>
    <n v="149"/>
    <n v="47"/>
    <n v="32"/>
    <n v="3"/>
    <n v="963"/>
    <n v="178"/>
    <n v="1.0497354497354496"/>
    <n v="37"/>
    <s v="2021/01/14"/>
    <n v="1141"/>
    <n v="7.4496056091148094E-2"/>
    <n v="1"/>
  </r>
  <r>
    <x v="41"/>
    <s v="A.S. LUGO, A MARIÑA E MONFORTE"/>
    <n v="91"/>
    <n v="151"/>
    <n v="75"/>
    <n v="992"/>
    <n v="6918"/>
    <n v="32"/>
    <n v="3"/>
    <n v="138110"/>
    <n v="77068"/>
    <n v="150"/>
    <n v="39"/>
    <n v="35"/>
    <n v="4"/>
    <n v="1001"/>
    <n v="361"/>
    <n v="1.0393145161290323"/>
    <n v="50"/>
    <s v="2021/01/15"/>
    <n v="1362"/>
    <n v="6.6813509544787097E-2"/>
    <n v="1"/>
  </r>
  <r>
    <x v="42"/>
    <s v="A.S. LUGO, A MARIÑA E MONFORTE"/>
    <n v="108"/>
    <n v="151"/>
    <n v="84"/>
    <n v="1031"/>
    <n v="6968"/>
    <n v="35"/>
    <n v="4"/>
    <n v="139111"/>
    <n v="77429"/>
    <n v="151"/>
    <n v="67"/>
    <n v="37"/>
    <n v="6"/>
    <n v="1035"/>
    <n v="183"/>
    <n v="1.0649854510184287"/>
    <n v="41"/>
    <s v="2021/01/16"/>
    <n v="1218"/>
    <n v="8.8669950738916301E-2"/>
    <n v="0"/>
  </r>
  <r>
    <x v="43"/>
    <s v="A.S. LUGO, A MARIÑA E MONFORTE"/>
    <n v="93"/>
    <n v="151"/>
    <n v="88"/>
    <n v="1098"/>
    <n v="7009"/>
    <n v="37"/>
    <n v="6"/>
    <n v="140146"/>
    <n v="77612"/>
    <n v="151"/>
    <n v="48"/>
    <n v="43"/>
    <n v="7"/>
    <n v="1163"/>
    <n v="138"/>
    <n v="1.0437158469945356"/>
    <n v="45"/>
    <s v="2021/01/17"/>
    <n v="1301"/>
    <n v="7.1483474250576495E-2"/>
    <n v="0"/>
  </r>
  <r>
    <x v="44"/>
    <s v="A.S. LUGO, A MARIÑA E MONFORTE"/>
    <n v="102"/>
    <n v="152"/>
    <n v="82"/>
    <n v="1146"/>
    <n v="7054"/>
    <n v="43"/>
    <n v="7"/>
    <n v="141309"/>
    <n v="77750"/>
    <n v="151"/>
    <n v="64"/>
    <n v="39"/>
    <n v="7"/>
    <n v="683"/>
    <n v="327"/>
    <n v="1.0558464223385688"/>
    <n v="36"/>
    <s v="2021/01/18"/>
    <n v="1010"/>
    <n v="0.100990099009901"/>
    <n v="1"/>
  </r>
  <r>
    <x v="45"/>
    <s v="A.S. LUGO, A MARIÑA E MONFORTE"/>
    <n v="117"/>
    <n v="157"/>
    <n v="86"/>
    <n v="1210"/>
    <n v="7090"/>
    <n v="39"/>
    <n v="7"/>
    <n v="141992"/>
    <n v="78077"/>
    <n v="152"/>
    <n v="63"/>
    <n v="37"/>
    <n v="8"/>
    <n v="1203"/>
    <n v="505"/>
    <n v="1.0520661157024793"/>
    <n v="48"/>
    <s v="2021/01/19"/>
    <n v="1708"/>
    <n v="6.8501170960187402E-2"/>
    <n v="5"/>
  </r>
  <r>
    <x v="46"/>
    <s v="A.S. LUGO, A MARIÑA E MONFORTE"/>
    <n v="132"/>
    <n v="158"/>
    <n v="104"/>
    <n v="1273"/>
    <n v="7138"/>
    <n v="37"/>
    <n v="8"/>
    <n v="143195"/>
    <n v="78582"/>
    <n v="157"/>
    <n v="88"/>
    <n v="39"/>
    <n v="9"/>
    <n v="1168"/>
    <n v="238"/>
    <n v="1.0691280439905735"/>
    <n v="43"/>
    <s v="2021/01/20"/>
    <n v="1406"/>
    <n v="9.3883357041251794E-2"/>
    <n v="1"/>
  </r>
  <r>
    <x v="47"/>
    <s v="A.S. LUGO, A MARIÑA E MONFORTE"/>
    <n v="163"/>
    <n v="158"/>
    <n v="109"/>
    <n v="1361"/>
    <n v="7181"/>
    <n v="39"/>
    <n v="9"/>
    <n v="144363"/>
    <n v="78820"/>
    <n v="158"/>
    <n v="88"/>
    <n v="36"/>
    <n v="10"/>
    <n v="1616"/>
    <n v="293"/>
    <n v="1.0646583394562821"/>
    <n v="75"/>
    <s v="2021/01/21"/>
    <n v="1909"/>
    <n v="8.5385018334206406E-2"/>
    <n v="0"/>
  </r>
  <r>
    <x v="48"/>
    <s v="A.S. LUGO, A MARIÑA E MONFORTE"/>
    <n v="188"/>
    <n v="158"/>
    <n v="151"/>
    <n v="1449"/>
    <n v="7256"/>
    <n v="36"/>
    <n v="10"/>
    <n v="145979"/>
    <n v="79113"/>
    <n v="158"/>
    <n v="96"/>
    <n v="41"/>
    <n v="11"/>
    <n v="1495"/>
    <n v="371"/>
    <n v="1.0662525879917184"/>
    <n v="92"/>
    <s v="2021/01/22"/>
    <n v="1866"/>
    <n v="0.10075026795284001"/>
    <n v="0"/>
  </r>
  <r>
    <x v="49"/>
    <s v="A.S. LUGO, A MARIÑA E MONFORTE"/>
    <n v="173"/>
    <n v="160"/>
    <n v="170"/>
    <n v="1545"/>
    <n v="7348"/>
    <n v="41"/>
    <n v="11"/>
    <n v="147474"/>
    <n v="79484"/>
    <n v="158"/>
    <n v="121"/>
    <n v="48"/>
    <n v="11"/>
    <n v="1488"/>
    <n v="141"/>
    <n v="1.0783171521035599"/>
    <n v="50"/>
    <s v="2021/01/23"/>
    <n v="1629"/>
    <n v="0.106200122774708"/>
    <n v="2"/>
  </r>
  <r>
    <x v="50"/>
    <s v="A.S. LUGO, A MARIÑA E MONFORTE"/>
    <n v="121"/>
    <n v="160"/>
    <n v="157"/>
    <n v="1666"/>
    <n v="7398"/>
    <n v="48"/>
    <n v="11"/>
    <n v="148962"/>
    <n v="79625"/>
    <n v="160"/>
    <n v="65"/>
    <n v="51"/>
    <n v="15"/>
    <n v="1052"/>
    <n v="222"/>
    <n v="1.0390156062424969"/>
    <n v="56"/>
    <s v="2021/01/24"/>
    <n v="1274"/>
    <n v="9.4976452119309301E-2"/>
    <n v="0"/>
  </r>
  <r>
    <x v="51"/>
    <s v="A.S. LUGO, A MARIÑA E MONFORTE"/>
    <n v="116"/>
    <n v="162"/>
    <n v="111"/>
    <n v="1731"/>
    <n v="7454"/>
    <n v="51"/>
    <n v="15"/>
    <n v="150014"/>
    <n v="79847"/>
    <n v="160"/>
    <n v="67"/>
    <n v="57"/>
    <n v="15"/>
    <n v="1177"/>
    <n v="472"/>
    <n v="1.0387059503177354"/>
    <n v="47"/>
    <s v="2021/01/25"/>
    <n v="1649"/>
    <n v="7.0345664038811401E-2"/>
    <n v="2"/>
  </r>
  <r>
    <x v="52"/>
    <s v="A.S. LUGO, A MARIÑA E MONFORTE"/>
    <n v="211"/>
    <n v="162"/>
    <n v="91"/>
    <n v="1798"/>
    <n v="7501"/>
    <n v="57"/>
    <n v="15"/>
    <n v="151191"/>
    <n v="80319"/>
    <n v="162"/>
    <n v="156"/>
    <n v="58"/>
    <n v="15"/>
    <n v="1493"/>
    <n v="548"/>
    <n v="1.0867630700778643"/>
    <n v="55"/>
    <s v="2021/01/26"/>
    <n v="2041"/>
    <n v="0.103380695737384"/>
    <n v="0"/>
  </r>
  <r>
    <x v="53"/>
    <s v="A.S. LUGO, A MARIÑA E MONFORTE"/>
    <n v="134"/>
    <n v="163"/>
    <n v="184"/>
    <n v="1954"/>
    <n v="7556"/>
    <n v="58"/>
    <n v="15"/>
    <n v="152684"/>
    <n v="80867"/>
    <n v="162"/>
    <n v="24"/>
    <n v="57"/>
    <n v="15"/>
    <n v="1518"/>
    <n v="381"/>
    <n v="1.0122824974411464"/>
    <n v="109"/>
    <s v="2021/01/27"/>
    <n v="1899"/>
    <n v="7.0563454449710405E-2"/>
    <n v="1"/>
  </r>
  <r>
    <x v="54"/>
    <s v="A.S. LUGO, A MARIÑA E MONFORTE"/>
    <n v="123"/>
    <n v="168"/>
    <n v="130"/>
    <n v="1978"/>
    <n v="7665"/>
    <n v="57"/>
    <n v="15"/>
    <n v="154202"/>
    <n v="81248"/>
    <n v="163"/>
    <n v="31"/>
    <n v="56"/>
    <n v="16"/>
    <n v="1504"/>
    <n v="295"/>
    <n v="1.0156723963599597"/>
    <n v="87"/>
    <s v="2021/01/28"/>
    <n v="1799"/>
    <n v="6.8371317398554801E-2"/>
    <n v="5"/>
  </r>
  <r>
    <x v="55"/>
    <s v="A.S. LUGO, A MARIÑA E MONFORTE"/>
    <n v="179"/>
    <n v="170"/>
    <n v="114"/>
    <n v="2009"/>
    <n v="7752"/>
    <n v="56"/>
    <n v="16"/>
    <n v="155706"/>
    <n v="81543"/>
    <n v="168"/>
    <n v="112"/>
    <n v="57"/>
    <n v="21"/>
    <n v="1399"/>
    <n v="617"/>
    <n v="1.0557491289198606"/>
    <n v="66"/>
    <s v="2021/01/29"/>
    <n v="2016"/>
    <n v="8.8789682539682599E-2"/>
    <n v="2"/>
  </r>
  <r>
    <x v="56"/>
    <s v="A.S. LUGO, A MARIÑA E MONFORTE"/>
    <n v="124"/>
    <n v="171"/>
    <n v="169"/>
    <n v="2121"/>
    <n v="7818"/>
    <n v="57"/>
    <n v="21"/>
    <n v="157105"/>
    <n v="82160"/>
    <n v="170"/>
    <n v="8"/>
    <n v="54"/>
    <n v="19"/>
    <n v="1513"/>
    <n v="418"/>
    <n v="1.0037718057520038"/>
    <n v="115"/>
    <s v="2021/01/30"/>
    <n v="1931"/>
    <n v="6.4215432418435997E-2"/>
    <n v="1"/>
  </r>
  <r>
    <x v="57"/>
    <s v="A.S. LUGO, A MARIÑA E MONFORTE"/>
    <n v="97"/>
    <n v="172"/>
    <n v="116"/>
    <n v="2129"/>
    <n v="7933"/>
    <n v="54"/>
    <n v="19"/>
    <n v="158618"/>
    <n v="82578"/>
    <n v="171"/>
    <n v="1"/>
    <n v="67"/>
    <n v="20"/>
    <n v="1175"/>
    <n v="116"/>
    <n v="1.0004697040864257"/>
    <n v="95"/>
    <s v="2021/01/31"/>
    <n v="1291"/>
    <n v="7.5135553834237007E-2"/>
    <n v="1"/>
  </r>
  <r>
    <x v="58"/>
    <s v="A.S. LUGO, A MARIÑA E MONFORTE"/>
    <n v="78"/>
    <n v="172"/>
    <n v="92"/>
    <n v="2130"/>
    <n v="8028"/>
    <n v="67"/>
    <n v="20"/>
    <n v="159793"/>
    <n v="82694"/>
    <n v="172"/>
    <n v="5"/>
    <n v="70"/>
    <n v="22"/>
    <n v="1025"/>
    <n v="609"/>
    <n v="1.0023474178403755"/>
    <n v="73"/>
    <s v="2021/02/01"/>
    <n v="1634"/>
    <n v="4.7735618115055098E-2"/>
    <n v="0"/>
  </r>
  <r>
    <x v="59"/>
    <s v="A.S. LUGO, A MARIÑA E MONFORTE"/>
    <n v="77"/>
    <n v="174"/>
    <n v="64"/>
    <n v="2135"/>
    <n v="8101"/>
    <n v="70"/>
    <n v="22"/>
    <n v="160818"/>
    <n v="83303"/>
    <n v="172"/>
    <n v="-42"/>
    <n v="70"/>
    <n v="25"/>
    <n v="1327"/>
    <n v="600"/>
    <n v="0.98032786885245904"/>
    <n v="118"/>
    <s v="2021/02/02"/>
    <n v="1927"/>
    <n v="3.9958484691229902E-2"/>
    <n v="2"/>
  </r>
  <r>
    <x v="60"/>
    <s v="A.S. LUGO, A MARIÑA E MONFORTE"/>
    <n v="107"/>
    <n v="177"/>
    <n v="80"/>
    <n v="2093"/>
    <n v="8219"/>
    <n v="70"/>
    <n v="25"/>
    <n v="162145"/>
    <n v="83903"/>
    <n v="174"/>
    <n v="12"/>
    <n v="65"/>
    <n v="26"/>
    <n v="1329"/>
    <n v="623"/>
    <n v="1.0057333970377449"/>
    <n v="92"/>
    <s v="2021/02/03"/>
    <n v="1952"/>
    <n v="5.4815573770491802E-2"/>
    <n v="3"/>
  </r>
  <r>
    <x v="61"/>
    <s v="A.S. LUGO, A MARIÑA E MONFORTE"/>
    <n v="82"/>
    <n v="178"/>
    <n v="102"/>
    <n v="2105"/>
    <n v="8311"/>
    <n v="65"/>
    <n v="26"/>
    <n v="163474"/>
    <n v="84526"/>
    <n v="177"/>
    <n v="-82"/>
    <n v="64"/>
    <n v="27"/>
    <n v="1437"/>
    <n v="596"/>
    <n v="0.96104513064133013"/>
    <n v="163"/>
    <s v="2021/02/04"/>
    <n v="2033"/>
    <n v="4.0334481062469299E-2"/>
    <n v="1"/>
  </r>
  <r>
    <x v="62"/>
    <s v="A.S. LUGO, A MARIÑA E MONFORTE"/>
    <n v="91"/>
    <n v="178"/>
    <n v="73"/>
    <n v="2023"/>
    <n v="8474"/>
    <n v="64"/>
    <n v="27"/>
    <n v="164911"/>
    <n v="85122"/>
    <n v="178"/>
    <n v="-66"/>
    <n v="67"/>
    <n v="30"/>
    <n v="1302"/>
    <n v="681"/>
    <n v="0.96737518536826494"/>
    <n v="157"/>
    <s v="2021/02/05"/>
    <n v="1983"/>
    <n v="4.5890065557236501E-2"/>
    <n v="0"/>
  </r>
  <r>
    <x v="63"/>
    <s v="A.S. LUGO, A MARIÑA E MONFORTE"/>
    <n v="92"/>
    <n v="180"/>
    <n v="81"/>
    <n v="1957"/>
    <n v="8631"/>
    <n v="67"/>
    <n v="30"/>
    <n v="166213"/>
    <n v="85803"/>
    <n v="178"/>
    <n v="-94"/>
    <n v="67"/>
    <n v="28"/>
    <n v="1346"/>
    <n v="341"/>
    <n v="0.9519672968829842"/>
    <n v="184"/>
    <s v="2021/02/06"/>
    <n v="1687"/>
    <n v="5.4534676941315897E-2"/>
    <n v="2"/>
  </r>
  <r>
    <x v="64"/>
    <s v="A.S. LUGO, A MARIÑA E MONFORTE"/>
    <n v="51"/>
    <n v="182"/>
    <n v="88"/>
    <n v="1863"/>
    <n v="8815"/>
    <n v="67"/>
    <n v="28"/>
    <n v="167559"/>
    <n v="86144"/>
    <n v="180"/>
    <n v="-96"/>
    <n v="68"/>
    <n v="29"/>
    <n v="1287"/>
    <n v="120"/>
    <n v="0.94847020933977455"/>
    <n v="145"/>
    <s v="2021/02/07"/>
    <n v="1407"/>
    <n v="3.6247334754797397E-2"/>
    <n v="2"/>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5">
  <r>
    <x v="0"/>
    <s v="A.S. OURENSE, VERÍN E O BARCO"/>
    <n v="22"/>
    <n v="295"/>
    <n v="13"/>
    <n v="419"/>
    <n v="6937"/>
    <n v="36"/>
    <n v="5"/>
    <n v="117423"/>
    <n v="65171"/>
    <n v="294"/>
    <n v="-17"/>
    <n v="37"/>
    <n v="5"/>
    <n v="754"/>
    <n v="60"/>
    <n v="0.95942720763723155"/>
    <n v="38"/>
    <s v="2020/12/05"/>
    <n v="814"/>
    <n v="2.7027027027027001E-2"/>
    <n v="1"/>
  </r>
  <r>
    <x v="1"/>
    <s v="A.S. OURENSE, VERÍN E O BARCO"/>
    <n v="23"/>
    <n v="296"/>
    <n v="18"/>
    <n v="402"/>
    <n v="6975"/>
    <n v="37"/>
    <n v="5"/>
    <n v="118177"/>
    <n v="65231"/>
    <n v="295"/>
    <n v="-2"/>
    <n v="39"/>
    <n v="5"/>
    <n v="721"/>
    <n v="44"/>
    <n v="0.99502487562189057"/>
    <n v="24"/>
    <s v="2020/12/06"/>
    <n v="765"/>
    <n v="3.0065359477124201E-2"/>
    <n v="1"/>
  </r>
  <r>
    <x v="2"/>
    <s v="A.S. OURENSE, VERÍN E O BARCO"/>
    <n v="22"/>
    <n v="296"/>
    <n v="19"/>
    <n v="400"/>
    <n v="6999"/>
    <n v="39"/>
    <n v="5"/>
    <n v="118898"/>
    <n v="65275"/>
    <n v="296"/>
    <n v="-23"/>
    <n v="33"/>
    <n v="3"/>
    <n v="700"/>
    <n v="79"/>
    <n v="0.9425"/>
    <n v="45"/>
    <s v="2020/12/07"/>
    <n v="779"/>
    <n v="2.82413350449294E-2"/>
    <n v="0"/>
  </r>
  <r>
    <x v="3"/>
    <s v="A.S. OURENSE, VERÍN E O BARCO"/>
    <n v="34"/>
    <n v="297"/>
    <n v="20"/>
    <n v="377"/>
    <n v="7044"/>
    <n v="33"/>
    <n v="3"/>
    <n v="119598"/>
    <n v="65354"/>
    <n v="296"/>
    <n v="0"/>
    <n v="33"/>
    <n v="3"/>
    <n v="659"/>
    <n v="46"/>
    <n v="1"/>
    <n v="33"/>
    <s v="2020/12/08"/>
    <n v="705"/>
    <n v="4.8226950354609902E-2"/>
    <n v="1"/>
  </r>
  <r>
    <x v="4"/>
    <s v="A.S. OURENSE, VERÍN E O BARCO"/>
    <n v="31"/>
    <n v="300"/>
    <n v="34"/>
    <n v="377"/>
    <n v="7077"/>
    <n v="33"/>
    <n v="3"/>
    <n v="120257"/>
    <n v="65400"/>
    <n v="297"/>
    <n v="-13"/>
    <n v="34"/>
    <n v="3"/>
    <n v="923"/>
    <n v="80"/>
    <n v="0.96551724137931039"/>
    <n v="41"/>
    <s v="2020/12/09"/>
    <n v="1003"/>
    <n v="3.09072781655035E-2"/>
    <n v="3"/>
  </r>
  <r>
    <x v="5"/>
    <s v="A.S. OURENSE, VERÍN E O BARCO"/>
    <n v="37"/>
    <n v="300"/>
    <n v="30"/>
    <n v="364"/>
    <n v="7118"/>
    <n v="34"/>
    <n v="3"/>
    <n v="121180"/>
    <n v="65480"/>
    <n v="300"/>
    <n v="19"/>
    <n v="26"/>
    <n v="2"/>
    <n v="890"/>
    <n v="141"/>
    <n v="1.0521978021978022"/>
    <n v="18"/>
    <s v="2020/12/10"/>
    <n v="1031"/>
    <n v="3.5887487875848702E-2"/>
    <n v="0"/>
  </r>
  <r>
    <x v="6"/>
    <s v="A.S. OURENSE, VERÍN E O BARCO"/>
    <n v="31"/>
    <n v="301"/>
    <n v="32"/>
    <n v="383"/>
    <n v="7136"/>
    <n v="26"/>
    <n v="2"/>
    <n v="122070"/>
    <n v="65621"/>
    <n v="300"/>
    <n v="20"/>
    <n v="30"/>
    <n v="2"/>
    <n v="556"/>
    <n v="133"/>
    <n v="1.0522193211488251"/>
    <n v="9"/>
    <s v="2020/12/11"/>
    <n v="689"/>
    <n v="4.4992743105950597E-2"/>
    <n v="1"/>
  </r>
  <r>
    <x v="7"/>
    <s v="A.S. OURENSE, VERÍN E O BARCO"/>
    <n v="48"/>
    <n v="301"/>
    <n v="30"/>
    <n v="403"/>
    <n v="7145"/>
    <n v="30"/>
    <n v="2"/>
    <n v="122626"/>
    <n v="65754"/>
    <n v="301"/>
    <n v="21"/>
    <n v="32"/>
    <n v="2"/>
    <n v="495"/>
    <n v="58"/>
    <n v="1.0521091811414391"/>
    <n v="27"/>
    <s v="2020/12/12"/>
    <n v="553"/>
    <n v="8.6799276672694395E-2"/>
    <n v="0"/>
  </r>
  <r>
    <x v="8"/>
    <s v="A.S. OURENSE, VERÍN E O BARCO"/>
    <n v="41"/>
    <n v="302"/>
    <n v="48"/>
    <n v="424"/>
    <n v="7172"/>
    <n v="32"/>
    <n v="2"/>
    <n v="123121"/>
    <n v="65812"/>
    <n v="301"/>
    <n v="28"/>
    <n v="36"/>
    <n v="1"/>
    <n v="578"/>
    <n v="64"/>
    <n v="1.0660377358490567"/>
    <n v="12"/>
    <s v="2020/12/13"/>
    <n v="642"/>
    <n v="6.3862928348909595E-2"/>
    <n v="1"/>
  </r>
  <r>
    <x v="9"/>
    <s v="A.S. OURENSE, VERÍN E O BARCO"/>
    <n v="12"/>
    <n v="303"/>
    <n v="36"/>
    <n v="452"/>
    <n v="7184"/>
    <n v="36"/>
    <n v="1"/>
    <n v="123699"/>
    <n v="65876"/>
    <n v="302"/>
    <n v="-16"/>
    <n v="38"/>
    <n v="1"/>
    <n v="1137"/>
    <n v="82"/>
    <n v="0.96460176991150437"/>
    <n v="27"/>
    <s v="2020/12/14"/>
    <n v="1219"/>
    <n v="9.8441345365053307E-3"/>
    <n v="1"/>
  </r>
  <r>
    <x v="10"/>
    <s v="A.S. OURENSE, VERÍN E O BARCO"/>
    <n v="28"/>
    <n v="303"/>
    <n v="9"/>
    <n v="436"/>
    <n v="7211"/>
    <n v="38"/>
    <n v="1"/>
    <n v="124836"/>
    <n v="65958"/>
    <n v="303"/>
    <n v="12"/>
    <n v="35"/>
    <n v="2"/>
    <n v="962"/>
    <n v="119"/>
    <n v="1.0275229357798166"/>
    <n v="16"/>
    <s v="2020/12/15"/>
    <n v="1081"/>
    <n v="2.5901942645698402E-2"/>
    <n v="0"/>
  </r>
  <r>
    <x v="11"/>
    <s v="A.S. OURENSE, VERÍN E O BARCO"/>
    <n v="41"/>
    <n v="303"/>
    <n v="28"/>
    <n v="448"/>
    <n v="7227"/>
    <n v="35"/>
    <n v="2"/>
    <n v="125798"/>
    <n v="66077"/>
    <n v="303"/>
    <n v="10"/>
    <n v="36"/>
    <n v="1"/>
    <n v="663"/>
    <n v="110"/>
    <n v="1.0223214285714286"/>
    <n v="32"/>
    <s v="2020/12/16"/>
    <n v="773"/>
    <n v="5.3040103492884898E-2"/>
    <n v="0"/>
  </r>
  <r>
    <x v="12"/>
    <s v="A.S. OURENSE, VERÍN E O BARCO"/>
    <n v="51"/>
    <n v="304"/>
    <n v="42"/>
    <n v="458"/>
    <n v="7259"/>
    <n v="36"/>
    <n v="1"/>
    <n v="126461"/>
    <n v="66187"/>
    <n v="303"/>
    <n v="22"/>
    <n v="36"/>
    <n v="2"/>
    <n v="634"/>
    <n v="143"/>
    <n v="1.0480349344978166"/>
    <n v="28"/>
    <s v="2020/12/17"/>
    <n v="777"/>
    <n v="6.5637065637065603E-2"/>
    <n v="1"/>
  </r>
  <r>
    <x v="13"/>
    <s v="A.S. OURENSE, VERÍN E O BARCO"/>
    <n v="23"/>
    <n v="306"/>
    <n v="49"/>
    <n v="480"/>
    <n v="7287"/>
    <n v="36"/>
    <n v="2"/>
    <n v="127095"/>
    <n v="66330"/>
    <n v="304"/>
    <n v="-2"/>
    <n v="32"/>
    <n v="3"/>
    <n v="732"/>
    <n v="115"/>
    <n v="0.99583333333333335"/>
    <n v="23"/>
    <s v="2020/12/18"/>
    <n v="847"/>
    <n v="2.7154663518299899E-2"/>
    <n v="2"/>
  </r>
  <r>
    <x v="14"/>
    <s v="A.S. OURENSE, VERÍN E O BARCO"/>
    <n v="15"/>
    <n v="306"/>
    <n v="18"/>
    <n v="478"/>
    <n v="7310"/>
    <n v="32"/>
    <n v="3"/>
    <n v="127827"/>
    <n v="66445"/>
    <n v="306"/>
    <n v="-8"/>
    <n v="32"/>
    <n v="3"/>
    <n v="904"/>
    <n v="51"/>
    <n v="0.98326359832635979"/>
    <n v="23"/>
    <s v="2020/12/19"/>
    <n v="955"/>
    <n v="1.5706806282722498E-2"/>
    <n v="0"/>
  </r>
  <r>
    <x v="15"/>
    <s v="A.S. OURENSE, VERÍN E O BARCO"/>
    <n v="44"/>
    <n v="307"/>
    <n v="13"/>
    <n v="470"/>
    <n v="7333"/>
    <n v="32"/>
    <n v="3"/>
    <n v="128731"/>
    <n v="66496"/>
    <n v="306"/>
    <n v="19"/>
    <n v="30"/>
    <n v="4"/>
    <n v="1098"/>
    <n v="49"/>
    <n v="1.0404255319148936"/>
    <n v="24"/>
    <s v="2020/12/20"/>
    <n v="1147"/>
    <n v="3.8360941586748E-2"/>
    <n v="1"/>
  </r>
  <r>
    <x v="16"/>
    <s v="A.S. OURENSE, VERÍN E O BARCO"/>
    <n v="51"/>
    <n v="307"/>
    <n v="42"/>
    <n v="489"/>
    <n v="7357"/>
    <n v="30"/>
    <n v="4"/>
    <n v="129829"/>
    <n v="66545"/>
    <n v="307"/>
    <n v="30"/>
    <n v="30"/>
    <n v="4"/>
    <n v="873"/>
    <n v="142"/>
    <n v="1.0613496932515338"/>
    <n v="21"/>
    <s v="2020/12/21"/>
    <n v="1015"/>
    <n v="5.0246305418719203E-2"/>
    <n v="0"/>
  </r>
  <r>
    <x v="17"/>
    <s v="A.S. OURENSE, VERÍN E O BARCO"/>
    <n v="27"/>
    <n v="307"/>
    <n v="44"/>
    <n v="519"/>
    <n v="7378"/>
    <n v="30"/>
    <n v="4"/>
    <n v="130702"/>
    <n v="66687"/>
    <n v="307"/>
    <n v="-13"/>
    <n v="24"/>
    <n v="4"/>
    <n v="657"/>
    <n v="110"/>
    <n v="0.97495183044315992"/>
    <n v="40"/>
    <s v="2020/12/22"/>
    <n v="767"/>
    <n v="3.5202086049543703E-2"/>
    <n v="0"/>
  </r>
  <r>
    <x v="18"/>
    <s v="A.S. OURENSE, VERÍN E O BARCO"/>
    <n v="45"/>
    <n v="308"/>
    <n v="22"/>
    <n v="506"/>
    <n v="7418"/>
    <n v="24"/>
    <n v="4"/>
    <n v="131359"/>
    <n v="66797"/>
    <n v="307"/>
    <n v="16"/>
    <n v="27"/>
    <n v="4"/>
    <n v="692"/>
    <n v="123"/>
    <n v="1.0316205533596838"/>
    <n v="28"/>
    <s v="2020/12/23"/>
    <n v="815"/>
    <n v="5.5214723926380403E-2"/>
    <n v="1"/>
  </r>
  <r>
    <x v="19"/>
    <s v="A.S. OURENSE, VERÍN E O BARCO"/>
    <n v="52"/>
    <n v="308"/>
    <n v="34"/>
    <n v="522"/>
    <n v="7446"/>
    <n v="27"/>
    <n v="4"/>
    <n v="132051"/>
    <n v="66920"/>
    <n v="308"/>
    <n v="29"/>
    <n v="18"/>
    <n v="4"/>
    <n v="780"/>
    <n v="157"/>
    <n v="1.0555555555555556"/>
    <n v="23"/>
    <s v="2020/12/24"/>
    <n v="937"/>
    <n v="5.5496264674493097E-2"/>
    <n v="0"/>
  </r>
  <r>
    <x v="20"/>
    <s v="A.S. OURENSE, VERÍN E O BARCO"/>
    <n v="42"/>
    <n v="308"/>
    <n v="38"/>
    <n v="551"/>
    <n v="7469"/>
    <n v="18"/>
    <n v="4"/>
    <n v="132831"/>
    <n v="67077"/>
    <n v="308"/>
    <n v="7"/>
    <n v="20"/>
    <n v="3"/>
    <n v="537"/>
    <n v="40"/>
    <n v="1.0127041742286751"/>
    <n v="35"/>
    <s v="2020/12/25"/>
    <n v="577"/>
    <n v="7.2790294627382998E-2"/>
    <n v="0"/>
  </r>
  <r>
    <x v="21"/>
    <s v="A.S. OURENSE, VERÍN E O BARCO"/>
    <n v="16"/>
    <n v="308"/>
    <n v="39"/>
    <n v="558"/>
    <n v="7504"/>
    <n v="20"/>
    <n v="3"/>
    <n v="133368"/>
    <n v="67117"/>
    <n v="308"/>
    <n v="-18"/>
    <n v="19"/>
    <n v="4"/>
    <n v="251"/>
    <n v="66"/>
    <n v="0.967741935483871"/>
    <n v="34"/>
    <s v="2020/12/26"/>
    <n v="317"/>
    <n v="5.0473186119873802E-2"/>
    <n v="0"/>
  </r>
  <r>
    <x v="22"/>
    <s v="A.S. OURENSE, VERÍN E O BARCO"/>
    <n v="21"/>
    <n v="308"/>
    <n v="13"/>
    <n v="540"/>
    <n v="7538"/>
    <n v="19"/>
    <n v="4"/>
    <n v="133619"/>
    <n v="67183"/>
    <n v="308"/>
    <n v="-15"/>
    <n v="22"/>
    <n v="4"/>
    <n v="421"/>
    <n v="51"/>
    <n v="0.97222222222222221"/>
    <n v="36"/>
    <s v="2020/12/27"/>
    <n v="472"/>
    <n v="4.4491525423728799E-2"/>
    <n v="0"/>
  </r>
  <r>
    <x v="23"/>
    <s v="A.S. OURENSE, VERÍN E O BARCO"/>
    <n v="27"/>
    <n v="308"/>
    <n v="18"/>
    <n v="525"/>
    <n v="7574"/>
    <n v="22"/>
    <n v="4"/>
    <n v="134040"/>
    <n v="67234"/>
    <n v="308"/>
    <n v="0"/>
    <n v="21"/>
    <n v="4"/>
    <n v="651"/>
    <n v="102"/>
    <n v="1"/>
    <n v="27"/>
    <s v="2020/12/28"/>
    <n v="753"/>
    <n v="3.58565737051793E-2"/>
    <n v="0"/>
  </r>
  <r>
    <x v="24"/>
    <s v="A.S. OURENSE, VERÍN E O BARCO"/>
    <n v="49"/>
    <n v="308"/>
    <n v="20"/>
    <n v="525"/>
    <n v="7601"/>
    <n v="21"/>
    <n v="4"/>
    <n v="134691"/>
    <n v="67336"/>
    <n v="308"/>
    <n v="20"/>
    <n v="22"/>
    <n v="3"/>
    <n v="651"/>
    <n v="134"/>
    <n v="1.0380952380952382"/>
    <n v="29"/>
    <s v="2020/12/29"/>
    <n v="785"/>
    <n v="6.2420382165605102E-2"/>
    <n v="0"/>
  </r>
  <r>
    <x v="25"/>
    <s v="A.S. OURENSE, VERÍN E O BARCO"/>
    <n v="69"/>
    <n v="308"/>
    <n v="36"/>
    <n v="545"/>
    <n v="7630"/>
    <n v="22"/>
    <n v="3"/>
    <n v="135342"/>
    <n v="67470"/>
    <n v="308"/>
    <n v="28"/>
    <n v="24"/>
    <n v="3"/>
    <n v="411"/>
    <n v="225"/>
    <n v="1.0513761467889908"/>
    <n v="41"/>
    <s v="2020/12/30"/>
    <n v="636"/>
    <n v="0.10849056603773601"/>
    <n v="0"/>
  </r>
  <r>
    <x v="26"/>
    <s v="A.S. OURENSE, VERÍN E O BARCO"/>
    <n v="69"/>
    <n v="309"/>
    <n v="60"/>
    <n v="573"/>
    <n v="7671"/>
    <n v="24"/>
    <n v="3"/>
    <n v="135753"/>
    <n v="67695"/>
    <n v="308"/>
    <n v="27"/>
    <n v="21"/>
    <n v="2"/>
    <n v="764"/>
    <n v="157"/>
    <n v="1.0471204188481675"/>
    <n v="41"/>
    <s v="2020/12/31"/>
    <n v="921"/>
    <n v="7.4918566775244305E-2"/>
    <n v="1"/>
  </r>
  <r>
    <x v="27"/>
    <s v="A.S. OURENSE, VERÍN E O BARCO"/>
    <n v="31"/>
    <n v="309"/>
    <n v="52"/>
    <n v="600"/>
    <n v="7712"/>
    <n v="21"/>
    <n v="2"/>
    <n v="136517"/>
    <n v="67852"/>
    <n v="309"/>
    <n v="-5"/>
    <n v="22"/>
    <n v="2"/>
    <n v="405"/>
    <n v="74"/>
    <n v="0.9916666666666667"/>
    <n v="36"/>
    <s v="2021/01/01"/>
    <n v="479"/>
    <n v="6.4718162839248403E-2"/>
    <n v="0"/>
  </r>
  <r>
    <x v="28"/>
    <s v="A.S. OURENSE, VERÍN E O BARCO"/>
    <n v="30"/>
    <n v="309"/>
    <n v="14"/>
    <n v="595"/>
    <n v="7748"/>
    <n v="22"/>
    <n v="2"/>
    <n v="136922"/>
    <n v="67926"/>
    <n v="309"/>
    <n v="10"/>
    <n v="23"/>
    <n v="3"/>
    <n v="368"/>
    <n v="86"/>
    <n v="1.0168067226890756"/>
    <n v="20"/>
    <s v="2021/01/02"/>
    <n v="454"/>
    <n v="6.6079295154184994E-2"/>
    <n v="0"/>
  </r>
  <r>
    <x v="29"/>
    <s v="A.S. OURENSE, VERÍN E O BARCO"/>
    <n v="87"/>
    <n v="309"/>
    <n v="28"/>
    <n v="605"/>
    <n v="7768"/>
    <n v="23"/>
    <n v="3"/>
    <n v="137290"/>
    <n v="68012"/>
    <n v="309"/>
    <n v="65"/>
    <n v="25"/>
    <n v="3"/>
    <n v="713"/>
    <n v="84"/>
    <n v="1.1074380165289257"/>
    <n v="22"/>
    <s v="2021/01/03"/>
    <n v="797"/>
    <n v="0.109159347553325"/>
    <n v="0"/>
  </r>
  <r>
    <x v="30"/>
    <s v="A.S. OURENSE, VERÍN E O BARCO"/>
    <n v="62"/>
    <n v="310"/>
    <n v="81"/>
    <n v="670"/>
    <n v="7790"/>
    <n v="25"/>
    <n v="3"/>
    <n v="138003"/>
    <n v="68096"/>
    <n v="309"/>
    <n v="18"/>
    <n v="28"/>
    <n v="2"/>
    <n v="491"/>
    <n v="138"/>
    <n v="1.026865671641791"/>
    <n v="44"/>
    <s v="2021/01/04"/>
    <n v="629"/>
    <n v="9.8569157392686804E-2"/>
    <n v="1"/>
  </r>
  <r>
    <x v="31"/>
    <s v="A.S. OURENSE, VERÍN E O BARCO"/>
    <n v="95"/>
    <n v="312"/>
    <n v="52"/>
    <n v="688"/>
    <n v="7834"/>
    <n v="28"/>
    <n v="2"/>
    <n v="138494"/>
    <n v="68234"/>
    <n v="310"/>
    <n v="46"/>
    <n v="31"/>
    <n v="1"/>
    <n v="821"/>
    <n v="306"/>
    <n v="1.066860465116279"/>
    <n v="47"/>
    <s v="2021/01/05"/>
    <n v="1127"/>
    <n v="8.4294587400177506E-2"/>
    <n v="2"/>
  </r>
  <r>
    <x v="32"/>
    <s v="A.S. OURENSE, VERÍN E O BARCO"/>
    <n v="80"/>
    <n v="312"/>
    <n v="67"/>
    <n v="734"/>
    <n v="7881"/>
    <n v="31"/>
    <n v="1"/>
    <n v="139315"/>
    <n v="68540"/>
    <n v="312"/>
    <n v="30"/>
    <n v="32"/>
    <n v="2"/>
    <n v="845"/>
    <n v="93"/>
    <n v="1.0408719346049047"/>
    <n v="50"/>
    <s v="2021/01/06"/>
    <n v="938"/>
    <n v="8.5287846481876303E-2"/>
    <n v="0"/>
  </r>
  <r>
    <x v="33"/>
    <s v="A.S. OURENSE, VERÍN E O BARCO"/>
    <n v="102"/>
    <n v="313"/>
    <n v="71"/>
    <n v="764"/>
    <n v="7931"/>
    <n v="32"/>
    <n v="2"/>
    <n v="140160"/>
    <n v="68633"/>
    <n v="312"/>
    <n v="54"/>
    <n v="32"/>
    <n v="2"/>
    <n v="762"/>
    <n v="254"/>
    <n v="1.0706806282722514"/>
    <n v="47"/>
    <s v="2021/01/07"/>
    <n v="1016"/>
    <n v="0.10039370078740199"/>
    <n v="1"/>
  </r>
  <r>
    <x v="34"/>
    <s v="A.S. OURENSE, VERÍN E O BARCO"/>
    <n v="100"/>
    <n v="313"/>
    <n v="75"/>
    <n v="818"/>
    <n v="7978"/>
    <n v="32"/>
    <n v="2"/>
    <n v="140922"/>
    <n v="68887"/>
    <n v="313"/>
    <n v="38"/>
    <n v="30"/>
    <n v="3"/>
    <n v="1123"/>
    <n v="369"/>
    <n v="1.0464547677261613"/>
    <n v="62"/>
    <s v="2021/01/08"/>
    <n v="1492"/>
    <n v="6.7024128686327095E-2"/>
    <n v="0"/>
  </r>
  <r>
    <x v="35"/>
    <s v="A.S. OURENSE, VERÍN E O BARCO"/>
    <n v="110"/>
    <n v="314"/>
    <n v="79"/>
    <n v="856"/>
    <n v="8040"/>
    <n v="30"/>
    <n v="3"/>
    <n v="142045"/>
    <n v="69256"/>
    <n v="313"/>
    <n v="91"/>
    <n v="37"/>
    <n v="3"/>
    <n v="1120"/>
    <n v="258"/>
    <n v="1.1063084112149533"/>
    <n v="18"/>
    <s v="2021/01/09"/>
    <n v="1378"/>
    <n v="7.9825834542815693E-2"/>
    <n v="1"/>
  </r>
  <r>
    <x v="36"/>
    <s v="A.S. OURENSE, VERÍN E O BARCO"/>
    <n v="114"/>
    <n v="315"/>
    <n v="88"/>
    <n v="947"/>
    <n v="8058"/>
    <n v="37"/>
    <n v="3"/>
    <n v="143165"/>
    <n v="69514"/>
    <n v="314"/>
    <n v="93"/>
    <n v="42"/>
    <n v="3"/>
    <n v="1364"/>
    <n v="109"/>
    <n v="1.0982048574445618"/>
    <n v="20"/>
    <s v="2021/01/10"/>
    <n v="1473"/>
    <n v="7.73930753564155E-2"/>
    <n v="1"/>
  </r>
  <r>
    <x v="37"/>
    <s v="A.S. OURENSE, VERÍN E O BARCO"/>
    <n v="124"/>
    <n v="316"/>
    <n v="89"/>
    <n v="1040"/>
    <n v="8078"/>
    <n v="42"/>
    <n v="3"/>
    <n v="144529"/>
    <n v="69623"/>
    <n v="315"/>
    <n v="100"/>
    <n v="44"/>
    <n v="4"/>
    <n v="1032"/>
    <n v="249"/>
    <n v="1.0961538461538463"/>
    <n v="23"/>
    <s v="2021/01/11"/>
    <n v="1281"/>
    <n v="9.6799375487900102E-2"/>
    <n v="1"/>
  </r>
  <r>
    <x v="38"/>
    <s v="A.S. OURENSE, VERÍN E O BARCO"/>
    <n v="135"/>
    <n v="316"/>
    <n v="98"/>
    <n v="1140"/>
    <n v="8101"/>
    <n v="44"/>
    <n v="4"/>
    <n v="145561"/>
    <n v="69872"/>
    <n v="316"/>
    <n v="92"/>
    <n v="44"/>
    <n v="4"/>
    <n v="1368"/>
    <n v="300"/>
    <n v="1.0807017543859649"/>
    <n v="43"/>
    <s v="2021/01/12"/>
    <n v="1668"/>
    <n v="8.0935251798561106E-2"/>
    <n v="0"/>
  </r>
  <r>
    <x v="39"/>
    <s v="A.S. OURENSE, VERÍN E O BARCO"/>
    <n v="164"/>
    <n v="317"/>
    <n v="118"/>
    <n v="1232"/>
    <n v="8144"/>
    <n v="44"/>
    <n v="4"/>
    <n v="146929"/>
    <n v="70172"/>
    <n v="316"/>
    <n v="116"/>
    <n v="46"/>
    <n v="7"/>
    <n v="1535"/>
    <n v="262"/>
    <n v="1.0941558441558441"/>
    <n v="47"/>
    <s v="2021/01/13"/>
    <n v="1797"/>
    <n v="9.1263216471897599E-2"/>
    <n v="1"/>
  </r>
  <r>
    <x v="40"/>
    <s v="A.S. OURENSE, VERÍN E O BARCO"/>
    <n v="194"/>
    <n v="318"/>
    <n v="125"/>
    <n v="1348"/>
    <n v="8191"/>
    <n v="46"/>
    <n v="7"/>
    <n v="148464"/>
    <n v="70434"/>
    <n v="317"/>
    <n v="111"/>
    <n v="54"/>
    <n v="9"/>
    <n v="1704"/>
    <n v="373"/>
    <n v="1.0823442136498516"/>
    <n v="82"/>
    <s v="2021/01/14"/>
    <n v="2077"/>
    <n v="9.3403948001925793E-2"/>
    <n v="1"/>
  </r>
  <r>
    <x v="41"/>
    <s v="A.S. OURENSE, VERÍN E O BARCO"/>
    <n v="187"/>
    <n v="319"/>
    <n v="160"/>
    <n v="1459"/>
    <n v="8273"/>
    <n v="54"/>
    <n v="9"/>
    <n v="150168"/>
    <n v="70807"/>
    <n v="318"/>
    <n v="146"/>
    <n v="60"/>
    <n v="9"/>
    <n v="1702"/>
    <n v="587"/>
    <n v="1.1000685400959562"/>
    <n v="40"/>
    <s v="2021/01/15"/>
    <n v="2289"/>
    <n v="8.16950633464395E-2"/>
    <n v="1"/>
  </r>
  <r>
    <x v="42"/>
    <s v="A.S. OURENSE, VERÍN E O BARCO"/>
    <n v="167"/>
    <n v="320"/>
    <n v="151"/>
    <n v="1605"/>
    <n v="8313"/>
    <n v="60"/>
    <n v="9"/>
    <n v="151870"/>
    <n v="71394"/>
    <n v="319"/>
    <n v="134"/>
    <n v="75"/>
    <n v="7"/>
    <n v="1291"/>
    <n v="307"/>
    <n v="1.0834890965732087"/>
    <n v="32"/>
    <s v="2021/01/16"/>
    <n v="1598"/>
    <n v="0.10450563204005001"/>
    <n v="1"/>
  </r>
  <r>
    <x v="43"/>
    <s v="A.S. OURENSE, VERÍN E O BARCO"/>
    <n v="131"/>
    <n v="320"/>
    <n v="148"/>
    <n v="1739"/>
    <n v="8345"/>
    <n v="75"/>
    <n v="7"/>
    <n v="153161"/>
    <n v="71701"/>
    <n v="320"/>
    <n v="91"/>
    <n v="92"/>
    <n v="6"/>
    <n v="1629"/>
    <n v="536"/>
    <n v="1.0523289246693501"/>
    <n v="40"/>
    <s v="2021/01/17"/>
    <n v="2165"/>
    <n v="6.0508083140877598E-2"/>
    <n v="0"/>
  </r>
  <r>
    <x v="44"/>
    <s v="A.S. OURENSE, VERÍN E O BARCO"/>
    <n v="207"/>
    <n v="321"/>
    <n v="110"/>
    <n v="1830"/>
    <n v="8385"/>
    <n v="92"/>
    <n v="6"/>
    <n v="154790"/>
    <n v="72237"/>
    <n v="320"/>
    <n v="130"/>
    <n v="105"/>
    <n v="8"/>
    <n v="1970"/>
    <n v="502"/>
    <n v="1.0710382513661203"/>
    <n v="76"/>
    <s v="2021/01/18"/>
    <n v="2472"/>
    <n v="8.3737864077669893E-2"/>
    <n v="1"/>
  </r>
  <r>
    <x v="45"/>
    <s v="A.S. OURENSE, VERÍN E O BARCO"/>
    <n v="205"/>
    <n v="321"/>
    <n v="163"/>
    <n v="1960"/>
    <n v="8461"/>
    <n v="105"/>
    <n v="8"/>
    <n v="156760"/>
    <n v="72739"/>
    <n v="321"/>
    <n v="147"/>
    <n v="103"/>
    <n v="10"/>
    <n v="1747"/>
    <n v="481"/>
    <n v="1.075"/>
    <n v="58"/>
    <s v="2021/01/19"/>
    <n v="2228"/>
    <n v="9.2010771992818693E-2"/>
    <n v="0"/>
  </r>
  <r>
    <x v="46"/>
    <s v="A.S. OURENSE, VERÍN E O BARCO"/>
    <n v="242"/>
    <n v="325"/>
    <n v="159"/>
    <n v="2107"/>
    <n v="8519"/>
    <n v="103"/>
    <n v="10"/>
    <n v="158507"/>
    <n v="73220"/>
    <n v="321"/>
    <n v="144"/>
    <n v="114"/>
    <n v="10"/>
    <n v="1639"/>
    <n v="421"/>
    <n v="1.068343616516374"/>
    <n v="94"/>
    <s v="2021/01/20"/>
    <n v="2060"/>
    <n v="0.11747572815534001"/>
    <n v="4"/>
  </r>
  <r>
    <x v="47"/>
    <s v="A.S. OURENSE, VERÍN E O BARCO"/>
    <n v="253"/>
    <n v="327"/>
    <n v="182"/>
    <n v="2251"/>
    <n v="8613"/>
    <n v="114"/>
    <n v="10"/>
    <n v="160146"/>
    <n v="73641"/>
    <n v="325"/>
    <n v="162"/>
    <n v="119"/>
    <n v="10"/>
    <n v="970"/>
    <n v="607"/>
    <n v="1.071968014215904"/>
    <n v="89"/>
    <s v="2021/01/21"/>
    <n v="1577"/>
    <n v="0.16043119847812301"/>
    <n v="2"/>
  </r>
  <r>
    <x v="48"/>
    <s v="A.S. OURENSE, VERÍN E O BARCO"/>
    <n v="264"/>
    <n v="328"/>
    <n v="193"/>
    <n v="2413"/>
    <n v="8702"/>
    <n v="119"/>
    <n v="10"/>
    <n v="161116"/>
    <n v="74248"/>
    <n v="327"/>
    <n v="155"/>
    <n v="129"/>
    <n v="12"/>
    <n v="1595"/>
    <n v="803"/>
    <n v="1.064235391628678"/>
    <n v="108"/>
    <s v="2021/01/22"/>
    <n v="2398"/>
    <n v="0.11009174311926601"/>
    <n v="1"/>
  </r>
  <r>
    <x v="49"/>
    <s v="A.S. OURENSE, VERÍN E O BARCO"/>
    <n v="231"/>
    <n v="328"/>
    <n v="179"/>
    <n v="2568"/>
    <n v="8810"/>
    <n v="129"/>
    <n v="12"/>
    <n v="162711"/>
    <n v="75051"/>
    <n v="328"/>
    <n v="123"/>
    <n v="143"/>
    <n v="12"/>
    <n v="1712"/>
    <n v="469"/>
    <n v="1.0478971962616823"/>
    <n v="108"/>
    <s v="2021/01/23"/>
    <n v="2181"/>
    <n v="0.105914718019257"/>
    <n v="0"/>
  </r>
  <r>
    <x v="50"/>
    <s v="A.S. OURENSE, VERÍN E O BARCO"/>
    <n v="150"/>
    <n v="330"/>
    <n v="183"/>
    <n v="2691"/>
    <n v="8918"/>
    <n v="143"/>
    <n v="12"/>
    <n v="164423"/>
    <n v="75520"/>
    <n v="328"/>
    <n v="70"/>
    <n v="156"/>
    <n v="12"/>
    <n v="2144"/>
    <n v="339"/>
    <n v="1.026012634708287"/>
    <n v="78"/>
    <s v="2021/01/24"/>
    <n v="2483"/>
    <n v="6.04107933950866E-2"/>
    <n v="2"/>
  </r>
  <r>
    <x v="51"/>
    <s v="A.S. OURENSE, VERÍN E O BARCO"/>
    <n v="211"/>
    <n v="333"/>
    <n v="116"/>
    <n v="2761"/>
    <n v="8996"/>
    <n v="156"/>
    <n v="12"/>
    <n v="166567"/>
    <n v="75859"/>
    <n v="330"/>
    <n v="105"/>
    <n v="164"/>
    <n v="12"/>
    <n v="2193"/>
    <n v="1445"/>
    <n v="1.038029699384281"/>
    <n v="103"/>
    <s v="2021/01/25"/>
    <n v="3638"/>
    <n v="5.7998900494777399E-2"/>
    <n v="3"/>
  </r>
  <r>
    <x v="52"/>
    <s v="A.S. OURENSE, VERÍN E O BARCO"/>
    <n v="218"/>
    <n v="335"/>
    <n v="118"/>
    <n v="2866"/>
    <n v="9099"/>
    <n v="164"/>
    <n v="12"/>
    <n v="168760"/>
    <n v="77304"/>
    <n v="333"/>
    <n v="114"/>
    <n v="172"/>
    <n v="14"/>
    <n v="1407"/>
    <n v="3020"/>
    <n v="1.0397766922540126"/>
    <n v="101"/>
    <s v="2021/01/26"/>
    <n v="4427"/>
    <n v="4.92432798735035E-2"/>
    <n v="2"/>
  </r>
  <r>
    <x v="53"/>
    <s v="A.S. OURENSE, VERÍN E O BARCO"/>
    <n v="171"/>
    <n v="340"/>
    <n v="160"/>
    <n v="2980"/>
    <n v="9200"/>
    <n v="172"/>
    <n v="14"/>
    <n v="170167"/>
    <n v="80324"/>
    <n v="335"/>
    <n v="-12"/>
    <n v="177"/>
    <n v="14"/>
    <n v="1180"/>
    <n v="717"/>
    <n v="0.99597315436241607"/>
    <n v="178"/>
    <s v="2021/01/27"/>
    <n v="1897"/>
    <n v="9.0142329994728501E-2"/>
    <n v="5"/>
  </r>
  <r>
    <x v="54"/>
    <s v="A.S. OURENSE, VERÍN E O BARCO"/>
    <n v="190"/>
    <n v="347"/>
    <n v="137"/>
    <n v="2968"/>
    <n v="9378"/>
    <n v="177"/>
    <n v="14"/>
    <n v="171347"/>
    <n v="81041"/>
    <n v="340"/>
    <n v="21"/>
    <n v="178"/>
    <n v="12"/>
    <n v="1715"/>
    <n v="1145"/>
    <n v="1.0070754716981132"/>
    <n v="162"/>
    <s v="2021/01/28"/>
    <n v="2860"/>
    <n v="6.6433566433566404E-2"/>
    <n v="7"/>
  </r>
  <r>
    <x v="55"/>
    <s v="A.S. OURENSE, VERÍN E O BARCO"/>
    <n v="136"/>
    <n v="350"/>
    <n v="160"/>
    <n v="2989"/>
    <n v="9540"/>
    <n v="178"/>
    <n v="12"/>
    <n v="173062"/>
    <n v="82186"/>
    <n v="347"/>
    <n v="-26"/>
    <n v="168"/>
    <n v="14"/>
    <n v="1597"/>
    <n v="1249"/>
    <n v="0.99130143860823017"/>
    <n v="159"/>
    <s v="2021/01/29"/>
    <n v="2846"/>
    <n v="4.7786366830639498E-2"/>
    <n v="3"/>
  </r>
  <r>
    <x v="56"/>
    <s v="A.S. OURENSE, VERÍN E O BARCO"/>
    <n v="156"/>
    <n v="351"/>
    <n v="96"/>
    <n v="2963"/>
    <n v="9699"/>
    <n v="168"/>
    <n v="14"/>
    <n v="174659"/>
    <n v="83435"/>
    <n v="350"/>
    <n v="-14"/>
    <n v="171"/>
    <n v="13"/>
    <n v="1509"/>
    <n v="381"/>
    <n v="0.99527505906176172"/>
    <n v="170"/>
    <s v="2021/01/30"/>
    <n v="1890"/>
    <n v="8.2539682539682496E-2"/>
    <n v="1"/>
  </r>
  <r>
    <x v="57"/>
    <s v="A.S. OURENSE, VERÍN E O BARCO"/>
    <n v="132"/>
    <n v="353"/>
    <n v="142"/>
    <n v="2949"/>
    <n v="9869"/>
    <n v="171"/>
    <n v="13"/>
    <n v="176168"/>
    <n v="83816"/>
    <n v="351"/>
    <n v="-66"/>
    <n v="185"/>
    <n v="13"/>
    <n v="1318"/>
    <n v="407"/>
    <n v="0.97761953204476093"/>
    <n v="196"/>
    <s v="2021/01/31"/>
    <n v="1725"/>
    <n v="7.6521739130434793E-2"/>
    <n v="2"/>
  </r>
  <r>
    <x v="58"/>
    <s v="A.S. OURENSE, VERÍN E O BARCO"/>
    <n v="119"/>
    <n v="357"/>
    <n v="125"/>
    <n v="2883"/>
    <n v="10065"/>
    <n v="185"/>
    <n v="13"/>
    <n v="177486"/>
    <n v="84223"/>
    <n v="353"/>
    <n v="-9"/>
    <n v="184"/>
    <n v="13"/>
    <n v="1654"/>
    <n v="609"/>
    <n v="0.99687825182101975"/>
    <n v="124"/>
    <s v="2021/02/01"/>
    <n v="2263"/>
    <n v="5.25850640742377E-2"/>
    <n v="4"/>
  </r>
  <r>
    <x v="59"/>
    <s v="A.S. OURENSE, VERÍN E O BARCO"/>
    <n v="114"/>
    <n v="363"/>
    <n v="93"/>
    <n v="2874"/>
    <n v="10189"/>
    <n v="184"/>
    <n v="13"/>
    <n v="179140"/>
    <n v="84832"/>
    <n v="357"/>
    <n v="-59"/>
    <n v="176"/>
    <n v="14"/>
    <n v="1512"/>
    <n v="562"/>
    <n v="0.97947112038970074"/>
    <n v="169"/>
    <s v="2021/02/02"/>
    <n v="2074"/>
    <n v="5.4966248794599798E-2"/>
    <n v="6"/>
  </r>
  <r>
    <x v="60"/>
    <s v="A.S. OURENSE, VERÍN E O BARCO"/>
    <n v="121"/>
    <n v="369"/>
    <n v="96"/>
    <n v="2815"/>
    <n v="10358"/>
    <n v="176"/>
    <n v="14"/>
    <n v="180652"/>
    <n v="85394"/>
    <n v="363"/>
    <n v="-85"/>
    <n v="156"/>
    <n v="15"/>
    <n v="1088"/>
    <n v="761"/>
    <n v="0.96980461811722918"/>
    <n v="200"/>
    <s v="2021/02/03"/>
    <n v="1849"/>
    <n v="6.5440778799350993E-2"/>
    <n v="6"/>
  </r>
  <r>
    <x v="61"/>
    <s v="A.S. OURENSE, VERÍN E O BARCO"/>
    <n v="112"/>
    <n v="372"/>
    <n v="102"/>
    <n v="2730"/>
    <n v="10558"/>
    <n v="156"/>
    <n v="15"/>
    <n v="181740"/>
    <n v="86155"/>
    <n v="369"/>
    <n v="-152"/>
    <n v="154"/>
    <n v="18"/>
    <n v="1173"/>
    <n v="824"/>
    <n v="0.9443223443223443"/>
    <n v="261"/>
    <s v="2021/02/04"/>
    <n v="1997"/>
    <n v="5.6084126189283899E-2"/>
    <n v="3"/>
  </r>
  <r>
    <x v="62"/>
    <s v="A.S. OURENSE, VERÍN E O BARCO"/>
    <n v="77"/>
    <n v="375"/>
    <n v="96"/>
    <n v="2578"/>
    <n v="10819"/>
    <n v="154"/>
    <n v="18"/>
    <n v="182913"/>
    <n v="86979"/>
    <n v="372"/>
    <n v="-169"/>
    <n v="145"/>
    <n v="17"/>
    <n v="1218"/>
    <n v="2084"/>
    <n v="0.93444530643910007"/>
    <n v="243"/>
    <s v="2021/02/05"/>
    <n v="3302"/>
    <n v="2.3319200484554801E-2"/>
    <n v="3"/>
  </r>
  <r>
    <x v="63"/>
    <s v="A.S. OURENSE, VERÍN E O BARCO"/>
    <n v="81"/>
    <n v="378"/>
    <n v="61"/>
    <n v="2409"/>
    <n v="11062"/>
    <n v="145"/>
    <n v="17"/>
    <n v="184131"/>
    <n v="89063"/>
    <n v="375"/>
    <n v="-169"/>
    <n v="153"/>
    <n v="18"/>
    <n v="1298"/>
    <n v="1619"/>
    <n v="0.92984640929846407"/>
    <n v="247"/>
    <s v="2021/02/06"/>
    <n v="2917"/>
    <n v="2.7768255056565001E-2"/>
    <n v="3"/>
  </r>
  <r>
    <x v="64"/>
    <s v="A.S. OURENSE, VERÍN E O BARCO"/>
    <n v="44"/>
    <n v="380"/>
    <n v="84"/>
    <n v="2240"/>
    <n v="11309"/>
    <n v="153"/>
    <n v="18"/>
    <n v="185429"/>
    <n v="90682"/>
    <n v="378"/>
    <n v="-144"/>
    <n v="161"/>
    <n v="20"/>
    <n v="1828"/>
    <n v="640"/>
    <n v="0.93571428571428572"/>
    <n v="186"/>
    <s v="2021/02/07"/>
    <n v="2468"/>
    <n v="1.7828200972447299E-2"/>
    <n v="2"/>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5">
  <r>
    <x v="0"/>
    <s v="A.S. FERROL"/>
    <n v="23"/>
    <n v="78"/>
    <n v="33"/>
    <n v="596"/>
    <n v="2731"/>
    <n v="29"/>
    <n v="6"/>
    <n v="64424"/>
    <n v="29119"/>
    <n v="78"/>
    <n v="-10"/>
    <n v="27"/>
    <n v="8"/>
    <n v="360"/>
    <n v="31"/>
    <n v="0.98322147651006708"/>
    <n v="33"/>
    <s v="2020/12/05"/>
    <n v="391"/>
    <n v="5.8823529411764698E-2"/>
    <n v="0"/>
  </r>
  <r>
    <x v="1"/>
    <s v="A.S. FERROL"/>
    <n v="36"/>
    <n v="78"/>
    <n v="23"/>
    <n v="586"/>
    <n v="2764"/>
    <n v="27"/>
    <n v="8"/>
    <n v="64784"/>
    <n v="29150"/>
    <n v="78"/>
    <n v="-10"/>
    <n v="30"/>
    <n v="6"/>
    <n v="225"/>
    <n v="90"/>
    <n v="0.98293515358361772"/>
    <n v="46"/>
    <s v="2020/12/06"/>
    <n v="315"/>
    <n v="0.114285714285714"/>
    <n v="0"/>
  </r>
  <r>
    <x v="2"/>
    <s v="A.S. FERROL"/>
    <n v="16"/>
    <n v="79"/>
    <n v="36"/>
    <n v="576"/>
    <n v="2810"/>
    <n v="30"/>
    <n v="6"/>
    <n v="65009"/>
    <n v="29240"/>
    <n v="78"/>
    <n v="-24"/>
    <n v="29"/>
    <n v="4"/>
    <n v="333"/>
    <n v="71"/>
    <n v="0.95833333333333337"/>
    <n v="39"/>
    <s v="2020/12/07"/>
    <n v="404"/>
    <n v="3.9603960396039598E-2"/>
    <n v="1"/>
  </r>
  <r>
    <x v="3"/>
    <s v="A.S. FERROL"/>
    <n v="51"/>
    <n v="80"/>
    <n v="16"/>
    <n v="552"/>
    <n v="2849"/>
    <n v="29"/>
    <n v="4"/>
    <n v="65342"/>
    <n v="29311"/>
    <n v="79"/>
    <n v="44"/>
    <n v="28"/>
    <n v="4"/>
    <n v="630"/>
    <n v="30"/>
    <n v="1.0797101449275361"/>
    <n v="6"/>
    <s v="2020/12/08"/>
    <n v="660"/>
    <n v="7.7272727272727298E-2"/>
    <n v="1"/>
  </r>
  <r>
    <x v="4"/>
    <s v="A.S. FERROL"/>
    <n v="24"/>
    <n v="81"/>
    <n v="51"/>
    <n v="596"/>
    <n v="2855"/>
    <n v="28"/>
    <n v="4"/>
    <n v="65972"/>
    <n v="29341"/>
    <n v="80"/>
    <n v="0"/>
    <n v="27"/>
    <n v="3"/>
    <n v="311"/>
    <n v="43"/>
    <n v="1"/>
    <n v="23"/>
    <s v="2020/12/09"/>
    <n v="354"/>
    <n v="6.7796610169491497E-2"/>
    <n v="1"/>
  </r>
  <r>
    <x v="5"/>
    <s v="A.S. FERROL"/>
    <n v="23"/>
    <n v="81"/>
    <n v="25"/>
    <n v="596"/>
    <n v="2878"/>
    <n v="27"/>
    <n v="3"/>
    <n v="66283"/>
    <n v="29384"/>
    <n v="81"/>
    <n v="-23"/>
    <n v="28"/>
    <n v="3"/>
    <n v="595"/>
    <n v="39"/>
    <n v="0.96140939597315433"/>
    <n v="46"/>
    <s v="2020/12/10"/>
    <n v="634"/>
    <n v="3.6277602523659302E-2"/>
    <n v="0"/>
  </r>
  <r>
    <x v="6"/>
    <s v="A.S. FERROL"/>
    <n v="31"/>
    <n v="81"/>
    <n v="21"/>
    <n v="573"/>
    <n v="2924"/>
    <n v="28"/>
    <n v="3"/>
    <n v="66878"/>
    <n v="29423"/>
    <n v="81"/>
    <n v="-26"/>
    <n v="29"/>
    <n v="4"/>
    <n v="607"/>
    <n v="46"/>
    <n v="0.95462478184991273"/>
    <n v="57"/>
    <s v="2020/12/11"/>
    <n v="653"/>
    <n v="4.7473200612557401E-2"/>
    <n v="0"/>
  </r>
  <r>
    <x v="7"/>
    <s v="A.S. FERROL"/>
    <n v="26"/>
    <n v="82"/>
    <n v="28"/>
    <n v="547"/>
    <n v="2981"/>
    <n v="29"/>
    <n v="4"/>
    <n v="67485"/>
    <n v="29469"/>
    <n v="81"/>
    <n v="-14"/>
    <n v="28"/>
    <n v="4"/>
    <n v="519"/>
    <n v="26"/>
    <n v="0.97440585009140768"/>
    <n v="39"/>
    <s v="2020/12/12"/>
    <n v="545"/>
    <n v="4.7706422018348599E-2"/>
    <n v="1"/>
  </r>
  <r>
    <x v="8"/>
    <s v="A.S. FERROL"/>
    <n v="49"/>
    <n v="84"/>
    <n v="26"/>
    <n v="533"/>
    <n v="3020"/>
    <n v="28"/>
    <n v="4"/>
    <n v="68004"/>
    <n v="29495"/>
    <n v="82"/>
    <n v="30"/>
    <n v="30"/>
    <n v="4"/>
    <n v="1006"/>
    <n v="18"/>
    <n v="1.0562851782363978"/>
    <n v="17"/>
    <s v="2020/12/13"/>
    <n v="1024"/>
    <n v="4.78515625E-2"/>
    <n v="2"/>
  </r>
  <r>
    <x v="9"/>
    <s v="A.S. FERROL"/>
    <n v="18"/>
    <n v="84"/>
    <n v="48"/>
    <n v="563"/>
    <n v="3037"/>
    <n v="30"/>
    <n v="4"/>
    <n v="69010"/>
    <n v="29513"/>
    <n v="84"/>
    <n v="-1"/>
    <n v="30"/>
    <n v="5"/>
    <n v="849"/>
    <n v="52"/>
    <n v="0.9982238010657194"/>
    <n v="19"/>
    <s v="2020/12/14"/>
    <n v="901"/>
    <n v="1.9977802441731401E-2"/>
    <n v="0"/>
  </r>
  <r>
    <x v="10"/>
    <s v="A.S. FERROL"/>
    <n v="34"/>
    <n v="84"/>
    <n v="18"/>
    <n v="562"/>
    <n v="3056"/>
    <n v="30"/>
    <n v="5"/>
    <n v="69859"/>
    <n v="29565"/>
    <n v="84"/>
    <n v="8"/>
    <n v="30"/>
    <n v="4"/>
    <n v="600"/>
    <n v="33"/>
    <n v="1.0142348754448398"/>
    <n v="26"/>
    <s v="2020/12/15"/>
    <n v="633"/>
    <n v="5.3712480252764601E-2"/>
    <n v="0"/>
  </r>
  <r>
    <x v="11"/>
    <s v="A.S. FERROL"/>
    <n v="16"/>
    <n v="84"/>
    <n v="32"/>
    <n v="570"/>
    <n v="3082"/>
    <n v="30"/>
    <n v="4"/>
    <n v="70459"/>
    <n v="29598"/>
    <n v="84"/>
    <n v="-15"/>
    <n v="28"/>
    <n v="4"/>
    <n v="491"/>
    <n v="34"/>
    <n v="0.97368421052631582"/>
    <n v="31"/>
    <s v="2020/12/16"/>
    <n v="525"/>
    <n v="3.04761904761905E-2"/>
    <n v="0"/>
  </r>
  <r>
    <x v="12"/>
    <s v="A.S. FERROL"/>
    <n v="29"/>
    <n v="84"/>
    <n v="15"/>
    <n v="555"/>
    <n v="3113"/>
    <n v="28"/>
    <n v="4"/>
    <n v="70950"/>
    <n v="29632"/>
    <n v="84"/>
    <n v="1"/>
    <n v="30"/>
    <n v="5"/>
    <n v="448"/>
    <n v="43"/>
    <n v="1.0018018018018018"/>
    <n v="28"/>
    <s v="2020/12/17"/>
    <n v="491"/>
    <n v="5.90631364562118E-2"/>
    <n v="0"/>
  </r>
  <r>
    <x v="13"/>
    <s v="A.S. FERROL"/>
    <n v="10"/>
    <n v="84"/>
    <n v="29"/>
    <n v="556"/>
    <n v="3141"/>
    <n v="30"/>
    <n v="5"/>
    <n v="71398"/>
    <n v="29675"/>
    <n v="84"/>
    <n v="-22"/>
    <n v="31"/>
    <n v="6"/>
    <n v="263"/>
    <n v="80"/>
    <n v="0.96043165467625902"/>
    <n v="32"/>
    <s v="2020/12/18"/>
    <n v="343"/>
    <n v="2.9154518950437299E-2"/>
    <n v="0"/>
  </r>
  <r>
    <x v="14"/>
    <s v="A.S. FERROL"/>
    <n v="11"/>
    <n v="84"/>
    <n v="9"/>
    <n v="534"/>
    <n v="3173"/>
    <n v="31"/>
    <n v="6"/>
    <n v="71661"/>
    <n v="29755"/>
    <n v="84"/>
    <n v="-48"/>
    <n v="29"/>
    <n v="5"/>
    <n v="347"/>
    <n v="22"/>
    <n v="0.9101123595505618"/>
    <n v="59"/>
    <s v="2020/12/19"/>
    <n v="369"/>
    <n v="2.9810298102981001E-2"/>
    <n v="0"/>
  </r>
  <r>
    <x v="15"/>
    <s v="A.S. FERROL"/>
    <n v="13"/>
    <n v="84"/>
    <n v="12"/>
    <n v="486"/>
    <n v="3232"/>
    <n v="29"/>
    <n v="5"/>
    <n v="72008"/>
    <n v="29777"/>
    <n v="84"/>
    <n v="-28"/>
    <n v="30"/>
    <n v="4"/>
    <n v="313"/>
    <n v="28"/>
    <n v="0.9423868312757202"/>
    <n v="41"/>
    <s v="2020/12/20"/>
    <n v="341"/>
    <n v="3.81231671554252E-2"/>
    <n v="0"/>
  </r>
  <r>
    <x v="16"/>
    <s v="A.S. FERROL"/>
    <n v="12"/>
    <n v="85"/>
    <n v="13"/>
    <n v="458"/>
    <n v="3273"/>
    <n v="30"/>
    <n v="4"/>
    <n v="72321"/>
    <n v="29805"/>
    <n v="84"/>
    <n v="-12"/>
    <n v="33"/>
    <n v="4"/>
    <n v="280"/>
    <n v="66"/>
    <n v="0.97379912663755464"/>
    <n v="23"/>
    <s v="2020/12/21"/>
    <n v="346"/>
    <n v="3.4682080924855502E-2"/>
    <n v="1"/>
  </r>
  <r>
    <x v="17"/>
    <s v="A.S. FERROL"/>
    <n v="17"/>
    <n v="85"/>
    <n v="12"/>
    <n v="446"/>
    <n v="3296"/>
    <n v="33"/>
    <n v="4"/>
    <n v="72601"/>
    <n v="29871"/>
    <n v="85"/>
    <n v="-20"/>
    <n v="30"/>
    <n v="3"/>
    <n v="841"/>
    <n v="57"/>
    <n v="0.95515695067264572"/>
    <n v="37"/>
    <s v="2020/12/22"/>
    <n v="898"/>
    <n v="1.89309576837416E-2"/>
    <n v="0"/>
  </r>
  <r>
    <x v="18"/>
    <s v="A.S. FERROL"/>
    <n v="20"/>
    <n v="85"/>
    <n v="15"/>
    <n v="426"/>
    <n v="3333"/>
    <n v="30"/>
    <n v="3"/>
    <n v="73442"/>
    <n v="29928"/>
    <n v="85"/>
    <n v="-31"/>
    <n v="30"/>
    <n v="2"/>
    <n v="711"/>
    <n v="38"/>
    <n v="0.92723004694835676"/>
    <n v="51"/>
    <s v="2020/12/23"/>
    <n v="749"/>
    <n v="2.67022696929239E-2"/>
    <n v="0"/>
  </r>
  <r>
    <x v="19"/>
    <s v="A.S. FERROL"/>
    <n v="22"/>
    <n v="85"/>
    <n v="18"/>
    <n v="395"/>
    <n v="3384"/>
    <n v="30"/>
    <n v="2"/>
    <n v="74153"/>
    <n v="29966"/>
    <n v="85"/>
    <n v="3"/>
    <n v="29"/>
    <n v="1"/>
    <n v="632"/>
    <n v="39"/>
    <n v="1.0075949367088608"/>
    <n v="19"/>
    <s v="2020/12/24"/>
    <n v="671"/>
    <n v="3.2786885245901599E-2"/>
    <n v="0"/>
  </r>
  <r>
    <x v="20"/>
    <s v="A.S. FERROL"/>
    <n v="12"/>
    <n v="87"/>
    <n v="20"/>
    <n v="398"/>
    <n v="3403"/>
    <n v="29"/>
    <n v="1"/>
    <n v="74785"/>
    <n v="30005"/>
    <n v="85"/>
    <n v="-16"/>
    <n v="26"/>
    <n v="2"/>
    <n v="487"/>
    <n v="21"/>
    <n v="0.95979899497487442"/>
    <n v="26"/>
    <s v="2020/12/25"/>
    <n v="508"/>
    <n v="2.3622047244094498E-2"/>
    <n v="2"/>
  </r>
  <r>
    <x v="21"/>
    <s v="A.S. FERROL"/>
    <n v="9"/>
    <n v="87"/>
    <n v="12"/>
    <n v="382"/>
    <n v="3429"/>
    <n v="26"/>
    <n v="2"/>
    <n v="75272"/>
    <n v="30026"/>
    <n v="87"/>
    <n v="-34"/>
    <n v="25"/>
    <n v="3"/>
    <n v="266"/>
    <n v="17"/>
    <n v="0.91099476439790572"/>
    <n v="43"/>
    <s v="2020/12/26"/>
    <n v="283"/>
    <n v="3.1802120141342802E-2"/>
    <n v="0"/>
  </r>
  <r>
    <x v="22"/>
    <s v="A.S. FERROL"/>
    <n v="16"/>
    <n v="87"/>
    <n v="8"/>
    <n v="348"/>
    <n v="3472"/>
    <n v="25"/>
    <n v="3"/>
    <n v="75538"/>
    <n v="30043"/>
    <n v="87"/>
    <n v="-12"/>
    <n v="24"/>
    <n v="4"/>
    <n v="381"/>
    <n v="39"/>
    <n v="0.96551724137931039"/>
    <n v="28"/>
    <s v="2020/12/27"/>
    <n v="420"/>
    <n v="3.8095238095238099E-2"/>
    <n v="0"/>
  </r>
  <r>
    <x v="23"/>
    <s v="A.S. FERROL"/>
    <n v="29"/>
    <n v="88"/>
    <n v="14"/>
    <n v="336"/>
    <n v="3500"/>
    <n v="24"/>
    <n v="4"/>
    <n v="75919"/>
    <n v="30082"/>
    <n v="87"/>
    <n v="1"/>
    <n v="27"/>
    <n v="4"/>
    <n v="237"/>
    <n v="52"/>
    <n v="1.0029761904761905"/>
    <n v="27"/>
    <s v="2020/12/28"/>
    <n v="289"/>
    <n v="0.100346020761246"/>
    <n v="1"/>
  </r>
  <r>
    <x v="24"/>
    <s v="A.S. FERROL"/>
    <n v="15"/>
    <n v="89"/>
    <n v="30"/>
    <n v="337"/>
    <n v="3527"/>
    <n v="27"/>
    <n v="4"/>
    <n v="76156"/>
    <n v="30134"/>
    <n v="88"/>
    <n v="-10"/>
    <n v="31"/>
    <n v="3"/>
    <n v="312"/>
    <n v="43"/>
    <n v="0.97032640949554894"/>
    <n v="24"/>
    <s v="2020/12/29"/>
    <n v="355"/>
    <n v="4.2253521126760597E-2"/>
    <n v="1"/>
  </r>
  <r>
    <x v="25"/>
    <s v="A.S. FERROL"/>
    <n v="24"/>
    <n v="90"/>
    <n v="13"/>
    <n v="327"/>
    <n v="3551"/>
    <n v="31"/>
    <n v="3"/>
    <n v="76468"/>
    <n v="30177"/>
    <n v="89"/>
    <n v="-15"/>
    <n v="33"/>
    <n v="3"/>
    <n v="372"/>
    <n v="31"/>
    <n v="0.95412844036697253"/>
    <n v="38"/>
    <s v="2020/12/30"/>
    <n v="403"/>
    <n v="5.95533498759305E-2"/>
    <n v="1"/>
  </r>
  <r>
    <x v="26"/>
    <s v="A.S. FERROL"/>
    <n v="24"/>
    <n v="90"/>
    <n v="26"/>
    <n v="312"/>
    <n v="3589"/>
    <n v="33"/>
    <n v="3"/>
    <n v="76840"/>
    <n v="30208"/>
    <n v="90"/>
    <n v="-5"/>
    <n v="35"/>
    <n v="2"/>
    <n v="284"/>
    <n v="48"/>
    <n v="0.98397435897435892"/>
    <n v="29"/>
    <s v="2020/12/31"/>
    <n v="332"/>
    <n v="7.2289156626505993E-2"/>
    <n v="0"/>
  </r>
  <r>
    <x v="27"/>
    <s v="A.S. FERROL"/>
    <n v="21"/>
    <n v="90"/>
    <n v="19"/>
    <n v="307"/>
    <n v="3618"/>
    <n v="35"/>
    <n v="2"/>
    <n v="77124"/>
    <n v="30256"/>
    <n v="90"/>
    <n v="2"/>
    <n v="37"/>
    <n v="2"/>
    <n v="262"/>
    <n v="15"/>
    <n v="1.006514657980456"/>
    <n v="19"/>
    <s v="2021/01/01"/>
    <n v="277"/>
    <n v="7.5812274368231E-2"/>
    <n v="0"/>
  </r>
  <r>
    <x v="28"/>
    <s v="A.S. FERROL"/>
    <n v="11"/>
    <n v="90"/>
    <n v="21"/>
    <n v="309"/>
    <n v="3637"/>
    <n v="37"/>
    <n v="2"/>
    <n v="77386"/>
    <n v="30271"/>
    <n v="90"/>
    <n v="-14"/>
    <n v="41"/>
    <n v="2"/>
    <n v="186"/>
    <n v="15"/>
    <n v="0.95469255663430419"/>
    <n v="25"/>
    <s v="2021/01/02"/>
    <n v="201"/>
    <n v="5.4726368159204002E-2"/>
    <n v="0"/>
  </r>
  <r>
    <x v="29"/>
    <s v="A.S. FERROL"/>
    <n v="54"/>
    <n v="90"/>
    <n v="9"/>
    <n v="295"/>
    <n v="3662"/>
    <n v="41"/>
    <n v="2"/>
    <n v="77572"/>
    <n v="30286"/>
    <n v="90"/>
    <n v="48"/>
    <n v="45"/>
    <n v="1"/>
    <n v="350"/>
    <n v="22"/>
    <n v="1.1627118644067798"/>
    <n v="6"/>
    <s v="2021/01/03"/>
    <n v="372"/>
    <n v="0.14516129032258099"/>
    <n v="0"/>
  </r>
  <r>
    <x v="30"/>
    <s v="A.S. FERROL"/>
    <n v="22"/>
    <n v="90"/>
    <n v="54"/>
    <n v="343"/>
    <n v="3668"/>
    <n v="45"/>
    <n v="1"/>
    <n v="77922"/>
    <n v="30308"/>
    <n v="90"/>
    <n v="5"/>
    <n v="50"/>
    <n v="1"/>
    <n v="339"/>
    <n v="40"/>
    <n v="1.0145772594752187"/>
    <n v="17"/>
    <s v="2021/01/04"/>
    <n v="379"/>
    <n v="5.8047493403693903E-2"/>
    <n v="0"/>
  </r>
  <r>
    <x v="31"/>
    <s v="A.S. FERROL"/>
    <n v="55"/>
    <n v="91"/>
    <n v="23"/>
    <n v="348"/>
    <n v="3685"/>
    <n v="50"/>
    <n v="1"/>
    <n v="78261"/>
    <n v="30348"/>
    <n v="90"/>
    <n v="39"/>
    <n v="46"/>
    <n v="1"/>
    <n v="601"/>
    <n v="41"/>
    <n v="1.1120689655172413"/>
    <n v="15"/>
    <s v="2021/01/05"/>
    <n v="642"/>
    <n v="8.5669781931464198E-2"/>
    <n v="1"/>
  </r>
  <r>
    <x v="32"/>
    <s v="A.S. FERROL"/>
    <n v="31"/>
    <n v="92"/>
    <n v="52"/>
    <n v="387"/>
    <n v="3700"/>
    <n v="46"/>
    <n v="1"/>
    <n v="78862"/>
    <n v="30389"/>
    <n v="91"/>
    <n v="12"/>
    <n v="44"/>
    <n v="3"/>
    <n v="458"/>
    <n v="29"/>
    <n v="1.0310077519379846"/>
    <n v="18"/>
    <s v="2021/01/06"/>
    <n v="487"/>
    <n v="6.3655030800821397E-2"/>
    <n v="1"/>
  </r>
  <r>
    <x v="33"/>
    <s v="A.S. FERROL"/>
    <n v="50"/>
    <n v="92"/>
    <n v="29"/>
    <n v="399"/>
    <n v="3718"/>
    <n v="44"/>
    <n v="3"/>
    <n v="79320"/>
    <n v="30418"/>
    <n v="92"/>
    <n v="33"/>
    <n v="43"/>
    <n v="3"/>
    <n v="317"/>
    <n v="43"/>
    <n v="1.0827067669172932"/>
    <n v="17"/>
    <s v="2021/01/07"/>
    <n v="360"/>
    <n v="0.13888888888888901"/>
    <n v="0"/>
  </r>
  <r>
    <x v="34"/>
    <s v="A.S. FERROL"/>
    <n v="33"/>
    <n v="93"/>
    <n v="46"/>
    <n v="432"/>
    <n v="3735"/>
    <n v="43"/>
    <n v="3"/>
    <n v="79637"/>
    <n v="30461"/>
    <n v="92"/>
    <n v="5"/>
    <n v="35"/>
    <n v="4"/>
    <n v="368"/>
    <n v="46"/>
    <n v="1.0115740740740742"/>
    <n v="27"/>
    <s v="2021/01/08"/>
    <n v="414"/>
    <n v="7.9710144927536197E-2"/>
    <n v="1"/>
  </r>
  <r>
    <x v="35"/>
    <s v="A.S. FERROL"/>
    <n v="64"/>
    <n v="93"/>
    <n v="28"/>
    <n v="437"/>
    <n v="3762"/>
    <n v="35"/>
    <n v="4"/>
    <n v="80005"/>
    <n v="30507"/>
    <n v="93"/>
    <n v="54"/>
    <n v="43"/>
    <n v="3"/>
    <n v="735"/>
    <n v="36"/>
    <n v="1.1235697940503433"/>
    <n v="10"/>
    <s v="2021/01/09"/>
    <n v="771"/>
    <n v="8.3009079118028503E-2"/>
    <n v="0"/>
  </r>
  <r>
    <x v="36"/>
    <s v="A.S. FERROL"/>
    <n v="87"/>
    <n v="93"/>
    <n v="61"/>
    <n v="491"/>
    <n v="3772"/>
    <n v="43"/>
    <n v="3"/>
    <n v="80740"/>
    <n v="30543"/>
    <n v="93"/>
    <n v="76"/>
    <n v="54"/>
    <n v="6"/>
    <n v="629"/>
    <n v="23"/>
    <n v="1.154786150712831"/>
    <n v="11"/>
    <s v="2021/01/10"/>
    <n v="652"/>
    <n v="0.13343558282208601"/>
    <n v="0"/>
  </r>
  <r>
    <x v="37"/>
    <s v="A.S. FERROL"/>
    <n v="51"/>
    <n v="96"/>
    <n v="86"/>
    <n v="567"/>
    <n v="3783"/>
    <n v="54"/>
    <n v="6"/>
    <n v="81369"/>
    <n v="30566"/>
    <n v="93"/>
    <n v="31"/>
    <n v="62"/>
    <n v="5"/>
    <n v="538"/>
    <n v="67"/>
    <n v="1.0546737213403881"/>
    <n v="17"/>
    <s v="2021/01/11"/>
    <n v="605"/>
    <n v="8.4297520661157005E-2"/>
    <n v="3"/>
  </r>
  <r>
    <x v="38"/>
    <s v="A.S. FERROL"/>
    <n v="74"/>
    <n v="96"/>
    <n v="49"/>
    <n v="598"/>
    <n v="3800"/>
    <n v="62"/>
    <n v="5"/>
    <n v="81907"/>
    <n v="30633"/>
    <n v="96"/>
    <n v="61"/>
    <n v="74"/>
    <n v="5"/>
    <n v="669"/>
    <n v="69"/>
    <n v="1.1020066889632107"/>
    <n v="13"/>
    <s v="2021/01/12"/>
    <n v="738"/>
    <n v="0.10027100271002699"/>
    <n v="0"/>
  </r>
  <r>
    <x v="39"/>
    <s v="A.S. FERROL"/>
    <n v="68"/>
    <n v="96"/>
    <n v="71"/>
    <n v="659"/>
    <n v="3813"/>
    <n v="74"/>
    <n v="5"/>
    <n v="82576"/>
    <n v="30702"/>
    <n v="96"/>
    <n v="51"/>
    <n v="73"/>
    <n v="6"/>
    <n v="670"/>
    <n v="44"/>
    <n v="1.0773899848254931"/>
    <n v="17"/>
    <s v="2021/01/13"/>
    <n v="714"/>
    <n v="9.5238095238095205E-2"/>
    <n v="0"/>
  </r>
  <r>
    <x v="40"/>
    <s v="A.S. FERROL"/>
    <n v="113"/>
    <n v="98"/>
    <n v="61"/>
    <n v="710"/>
    <n v="3830"/>
    <n v="73"/>
    <n v="6"/>
    <n v="83246"/>
    <n v="30746"/>
    <n v="96"/>
    <n v="86"/>
    <n v="77"/>
    <n v="9"/>
    <n v="582"/>
    <n v="72"/>
    <n v="1.1211267605633803"/>
    <n v="25"/>
    <s v="2021/01/14"/>
    <n v="654"/>
    <n v="0.172782874617737"/>
    <n v="2"/>
  </r>
  <r>
    <x v="41"/>
    <s v="A.S. FERROL"/>
    <n v="146"/>
    <n v="99"/>
    <n v="108"/>
    <n v="796"/>
    <n v="3855"/>
    <n v="77"/>
    <n v="9"/>
    <n v="83828"/>
    <n v="30818"/>
    <n v="98"/>
    <n v="113"/>
    <n v="80"/>
    <n v="9"/>
    <n v="632"/>
    <n v="133"/>
    <n v="1.1419597989949748"/>
    <n v="32"/>
    <s v="2021/01/15"/>
    <n v="765"/>
    <n v="0.19084967320261401"/>
    <n v="1"/>
  </r>
  <r>
    <x v="42"/>
    <s v="A.S. FERROL"/>
    <n v="84"/>
    <n v="99"/>
    <n v="140"/>
    <n v="909"/>
    <n v="3887"/>
    <n v="80"/>
    <n v="9"/>
    <n v="84460"/>
    <n v="30951"/>
    <n v="99"/>
    <n v="72"/>
    <n v="83"/>
    <n v="13"/>
    <n v="369"/>
    <n v="54"/>
    <n v="1.0792079207920793"/>
    <n v="12"/>
    <s v="2021/01/16"/>
    <n v="423"/>
    <n v="0.19858156028368801"/>
    <n v="0"/>
  </r>
  <r>
    <x v="43"/>
    <s v="A.S. FERROL"/>
    <n v="99"/>
    <n v="101"/>
    <n v="70"/>
    <n v="981"/>
    <n v="3899"/>
    <n v="83"/>
    <n v="13"/>
    <n v="84829"/>
    <n v="31005"/>
    <n v="99"/>
    <n v="68"/>
    <n v="89"/>
    <n v="11"/>
    <n v="610"/>
    <n v="101"/>
    <n v="1.0693170234454639"/>
    <n v="29"/>
    <s v="2021/01/17"/>
    <n v="711"/>
    <n v="0.139240506329114"/>
    <n v="2"/>
  </r>
  <r>
    <x v="44"/>
    <s v="A.S. FERROL"/>
    <n v="104"/>
    <n v="105"/>
    <n v="94"/>
    <n v="1049"/>
    <n v="3928"/>
    <n v="89"/>
    <n v="11"/>
    <n v="85439"/>
    <n v="31106"/>
    <n v="101"/>
    <n v="75"/>
    <n v="96"/>
    <n v="11"/>
    <n v="595"/>
    <n v="164"/>
    <n v="1.0714966634890373"/>
    <n v="25"/>
    <s v="2021/01/18"/>
    <n v="759"/>
    <n v="0.13702239789196299"/>
    <n v="4"/>
  </r>
  <r>
    <x v="45"/>
    <s v="A.S. FERROL"/>
    <n v="98"/>
    <n v="106"/>
    <n v="99"/>
    <n v="1124"/>
    <n v="3953"/>
    <n v="96"/>
    <n v="11"/>
    <n v="86034"/>
    <n v="31270"/>
    <n v="105"/>
    <n v="68"/>
    <n v="97"/>
    <n v="13"/>
    <n v="859"/>
    <n v="142"/>
    <n v="1.0604982206405693"/>
    <n v="29"/>
    <s v="2021/01/19"/>
    <n v="1001"/>
    <n v="9.7902097902097904E-2"/>
    <n v="1"/>
  </r>
  <r>
    <x v="46"/>
    <s v="A.S. FERROL"/>
    <n v="141"/>
    <n v="106"/>
    <n v="88"/>
    <n v="1192"/>
    <n v="3982"/>
    <n v="97"/>
    <n v="13"/>
    <n v="86893"/>
    <n v="31412"/>
    <n v="106"/>
    <n v="92"/>
    <n v="104"/>
    <n v="14"/>
    <n v="978"/>
    <n v="119"/>
    <n v="1.0771812080536913"/>
    <n v="49"/>
    <s v="2021/01/20"/>
    <n v="1097"/>
    <n v="0.12853236098450299"/>
    <n v="0"/>
  </r>
  <r>
    <x v="47"/>
    <s v="A.S. FERROL"/>
    <n v="129"/>
    <n v="109"/>
    <n v="128"/>
    <n v="1284"/>
    <n v="4031"/>
    <n v="104"/>
    <n v="14"/>
    <n v="87871"/>
    <n v="31531"/>
    <n v="106"/>
    <n v="84"/>
    <n v="117"/>
    <n v="16"/>
    <n v="808"/>
    <n v="102"/>
    <n v="1.0654205607476634"/>
    <n v="42"/>
    <s v="2021/01/21"/>
    <n v="910"/>
    <n v="0.141758241758242"/>
    <n v="3"/>
  </r>
  <r>
    <x v="48"/>
    <s v="A.S. FERROL"/>
    <n v="149"/>
    <n v="111"/>
    <n v="120"/>
    <n v="1368"/>
    <n v="4073"/>
    <n v="117"/>
    <n v="16"/>
    <n v="88679"/>
    <n v="31633"/>
    <n v="109"/>
    <n v="104"/>
    <n v="113"/>
    <n v="19"/>
    <n v="952"/>
    <n v="150"/>
    <n v="1.0760233918128654"/>
    <n v="43"/>
    <s v="2021/01/22"/>
    <n v="1102"/>
    <n v="0.13520871143375701"/>
    <n v="2"/>
  </r>
  <r>
    <x v="49"/>
    <s v="A.S. FERROL"/>
    <n v="107"/>
    <n v="113"/>
    <n v="138"/>
    <n v="1472"/>
    <n v="4116"/>
    <n v="113"/>
    <n v="19"/>
    <n v="89631"/>
    <n v="31783"/>
    <n v="111"/>
    <n v="72"/>
    <n v="124"/>
    <n v="21"/>
    <n v="886"/>
    <n v="69"/>
    <n v="1.048913043478261"/>
    <n v="33"/>
    <s v="2021/01/23"/>
    <n v="955"/>
    <n v="0.11204188481675401"/>
    <n v="2"/>
  </r>
  <r>
    <x v="50"/>
    <s v="A.S. FERROL"/>
    <n v="106"/>
    <n v="113"/>
    <n v="98"/>
    <n v="1544"/>
    <n v="4149"/>
    <n v="124"/>
    <n v="21"/>
    <n v="90517"/>
    <n v="31852"/>
    <n v="113"/>
    <n v="29"/>
    <n v="131"/>
    <n v="23"/>
    <n v="626"/>
    <n v="68"/>
    <n v="1.0187823834196892"/>
    <n v="77"/>
    <s v="2021/01/24"/>
    <n v="694"/>
    <n v="0.15273775216138299"/>
    <n v="0"/>
  </r>
  <r>
    <x v="51"/>
    <s v="A.S. FERROL"/>
    <n v="105"/>
    <n v="118"/>
    <n v="98"/>
    <n v="1573"/>
    <n v="4226"/>
    <n v="131"/>
    <n v="23"/>
    <n v="91143"/>
    <n v="31920"/>
    <n v="113"/>
    <n v="43"/>
    <n v="132"/>
    <n v="24"/>
    <n v="804"/>
    <n v="181"/>
    <n v="1.0273363000635727"/>
    <n v="57"/>
    <s v="2021/01/25"/>
    <n v="985"/>
    <n v="0.10659898477157401"/>
    <n v="5"/>
  </r>
  <r>
    <x v="52"/>
    <s v="A.S. FERROL"/>
    <n v="96"/>
    <n v="120"/>
    <n v="95"/>
    <n v="1616"/>
    <n v="4283"/>
    <n v="132"/>
    <n v="24"/>
    <n v="91947"/>
    <n v="32101"/>
    <n v="118"/>
    <n v="53"/>
    <n v="136"/>
    <n v="26"/>
    <n v="975"/>
    <n v="115"/>
    <n v="1.0327970297029703"/>
    <n v="41"/>
    <s v="2021/01/26"/>
    <n v="1090"/>
    <n v="8.8073394495412793E-2"/>
    <n v="2"/>
  </r>
  <r>
    <x v="53"/>
    <s v="A.S. FERROL"/>
    <n v="115"/>
    <n v="120"/>
    <n v="85"/>
    <n v="1669"/>
    <n v="4324"/>
    <n v="136"/>
    <n v="26"/>
    <n v="92922"/>
    <n v="32216"/>
    <n v="120"/>
    <n v="37"/>
    <n v="135"/>
    <n v="30"/>
    <n v="854"/>
    <n v="164"/>
    <n v="1.0221689634511684"/>
    <n v="78"/>
    <s v="2021/01/27"/>
    <n v="1018"/>
    <n v="0.112966601178782"/>
    <n v="0"/>
  </r>
  <r>
    <x v="54"/>
    <s v="A.S. FERROL"/>
    <n v="145"/>
    <n v="123"/>
    <n v="101"/>
    <n v="1706"/>
    <n v="4402"/>
    <n v="135"/>
    <n v="30"/>
    <n v="93776"/>
    <n v="32380"/>
    <n v="120"/>
    <n v="90"/>
    <n v="150"/>
    <n v="25"/>
    <n v="1156"/>
    <n v="185"/>
    <n v="1.0527549824150058"/>
    <n v="52"/>
    <s v="2021/01/28"/>
    <n v="1341"/>
    <n v="0.108128262490679"/>
    <n v="3"/>
  </r>
  <r>
    <x v="55"/>
    <s v="A.S. FERROL"/>
    <n v="132"/>
    <n v="125"/>
    <n v="124"/>
    <n v="1796"/>
    <n v="4454"/>
    <n v="150"/>
    <n v="25"/>
    <n v="94932"/>
    <n v="32565"/>
    <n v="123"/>
    <n v="-9"/>
    <n v="150"/>
    <n v="24"/>
    <n v="913"/>
    <n v="164"/>
    <n v="0.99498886414253895"/>
    <n v="138"/>
    <s v="2021/01/29"/>
    <n v="1077"/>
    <n v="0.122562674094708"/>
    <n v="2"/>
  </r>
  <r>
    <x v="56"/>
    <s v="A.S. FERROL"/>
    <n v="91"/>
    <n v="125"/>
    <n v="126"/>
    <n v="1787"/>
    <n v="4592"/>
    <n v="150"/>
    <n v="24"/>
    <n v="95845"/>
    <n v="32729"/>
    <n v="125"/>
    <n v="-8"/>
    <n v="160"/>
    <n v="25"/>
    <n v="770"/>
    <n v="43"/>
    <n v="0.99552322327923892"/>
    <n v="99"/>
    <s v="2021/01/30"/>
    <n v="813"/>
    <n v="0.111931119311193"/>
    <n v="0"/>
  </r>
  <r>
    <x v="57"/>
    <s v="A.S. FERROL"/>
    <n v="100"/>
    <n v="129"/>
    <n v="88"/>
    <n v="1779"/>
    <n v="4691"/>
    <n v="160"/>
    <n v="25"/>
    <n v="96615"/>
    <n v="32772"/>
    <n v="125"/>
    <n v="9"/>
    <n v="164"/>
    <n v="24"/>
    <n v="678"/>
    <n v="61"/>
    <n v="1.0050590219224282"/>
    <n v="87"/>
    <s v="2021/01/31"/>
    <n v="739"/>
    <n v="0.13531799729364"/>
    <n v="4"/>
  </r>
  <r>
    <x v="58"/>
    <s v="A.S. FERROL"/>
    <n v="114"/>
    <n v="134"/>
    <n v="94"/>
    <n v="1788"/>
    <n v="4778"/>
    <n v="164"/>
    <n v="24"/>
    <n v="97293"/>
    <n v="32833"/>
    <n v="129"/>
    <n v="36"/>
    <n v="166"/>
    <n v="23"/>
    <n v="735"/>
    <n v="206"/>
    <n v="1.0201342281879195"/>
    <n v="73"/>
    <s v="2021/02/01"/>
    <n v="941"/>
    <n v="0.121147715196599"/>
    <n v="5"/>
  </r>
  <r>
    <x v="59"/>
    <s v="A.S. FERROL"/>
    <n v="109"/>
    <n v="136"/>
    <n v="95"/>
    <n v="1824"/>
    <n v="4851"/>
    <n v="166"/>
    <n v="23"/>
    <n v="98028"/>
    <n v="33039"/>
    <n v="134"/>
    <n v="8"/>
    <n v="166"/>
    <n v="27"/>
    <n v="887"/>
    <n v="400"/>
    <n v="1.0043859649122806"/>
    <n v="97"/>
    <s v="2021/02/02"/>
    <n v="1287"/>
    <n v="8.4693084693084703E-2"/>
    <n v="2"/>
  </r>
  <r>
    <x v="60"/>
    <s v="A.S. FERROL"/>
    <n v="97"/>
    <n v="142"/>
    <n v="97"/>
    <n v="1832"/>
    <n v="4948"/>
    <n v="166"/>
    <n v="27"/>
    <n v="98915"/>
    <n v="33439"/>
    <n v="136"/>
    <n v="26"/>
    <n v="173"/>
    <n v="25"/>
    <n v="967"/>
    <n v="396"/>
    <n v="1.0141921397379912"/>
    <n v="65"/>
    <s v="2021/02/03"/>
    <n v="1363"/>
    <n v="7.1166544387380806E-2"/>
    <n v="6"/>
  </r>
  <r>
    <x v="61"/>
    <s v="A.S. FERROL"/>
    <n v="102"/>
    <n v="149"/>
    <n v="86"/>
    <n v="1858"/>
    <n v="5013"/>
    <n v="173"/>
    <n v="25"/>
    <n v="99882"/>
    <n v="33835"/>
    <n v="142"/>
    <n v="-48"/>
    <n v="165"/>
    <n v="25"/>
    <n v="965"/>
    <n v="756"/>
    <n v="0.9741657696447793"/>
    <n v="143"/>
    <s v="2021/02/04"/>
    <n v="1721"/>
    <n v="5.9267867518884403E-2"/>
    <n v="7"/>
  </r>
  <r>
    <x v="62"/>
    <s v="A.S. FERROL"/>
    <n v="90"/>
    <n v="151"/>
    <n v="76"/>
    <n v="1810"/>
    <n v="5156"/>
    <n v="165"/>
    <n v="25"/>
    <n v="100847"/>
    <n v="34591"/>
    <n v="149"/>
    <n v="-45"/>
    <n v="160"/>
    <n v="25"/>
    <n v="978"/>
    <n v="624"/>
    <n v="0.97513812154696133"/>
    <n v="133"/>
    <s v="2021/02/05"/>
    <n v="1602"/>
    <n v="5.6179775280898903E-2"/>
    <n v="2"/>
  </r>
  <r>
    <x v="63"/>
    <s v="A.S. FERROL"/>
    <n v="52"/>
    <n v="153"/>
    <n v="88"/>
    <n v="1765"/>
    <n v="5289"/>
    <n v="160"/>
    <n v="25"/>
    <n v="101825"/>
    <n v="35215"/>
    <n v="151"/>
    <n v="-71"/>
    <n v="150"/>
    <n v="24"/>
    <n v="752"/>
    <n v="487"/>
    <n v="0.95977337110481586"/>
    <n v="121"/>
    <s v="2021/02/06"/>
    <n v="1239"/>
    <n v="4.1969330104923298E-2"/>
    <n v="2"/>
  </r>
  <r>
    <x v="64"/>
    <s v="A.S. FERROL"/>
    <n v="50"/>
    <n v="154"/>
    <n v="55"/>
    <n v="1694"/>
    <n v="5410"/>
    <n v="150"/>
    <n v="24"/>
    <n v="102577"/>
    <n v="35702"/>
    <n v="153"/>
    <n v="-33"/>
    <n v="158"/>
    <n v="23"/>
    <n v="681"/>
    <n v="48"/>
    <n v="0.98051948051948057"/>
    <n v="82"/>
    <s v="2021/02/07"/>
    <n v="729"/>
    <n v="6.8587105624142705E-2"/>
    <n v="1"/>
  </r>
</pivotCacheRecords>
</file>

<file path=xl/pivotCache/pivotCacheRecords7.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5">
  <r>
    <x v="0"/>
    <s v="A.S. A CORUÑA E CEE"/>
    <n v="40"/>
    <n v="291"/>
    <n v="68"/>
    <n v="1430"/>
    <n v="10497"/>
    <n v="103"/>
    <n v="22"/>
    <n v="204705"/>
    <n v="73260"/>
    <n v="291"/>
    <n v="-54"/>
    <n v="97"/>
    <n v="23"/>
    <n v="1034"/>
    <n v="80"/>
    <n v="0.96223776223776225"/>
    <n v="94"/>
    <s v="2020/12/05"/>
    <n v="1114"/>
    <n v="3.59066427289048E-2"/>
    <n v="0"/>
  </r>
  <r>
    <x v="1"/>
    <s v="A.S. A CORUÑA E CEE"/>
    <n v="53"/>
    <n v="291"/>
    <n v="40"/>
    <n v="1376"/>
    <n v="10591"/>
    <n v="97"/>
    <n v="23"/>
    <n v="205739"/>
    <n v="73340"/>
    <n v="291"/>
    <n v="-27"/>
    <n v="98"/>
    <n v="22"/>
    <n v="766"/>
    <n v="58"/>
    <n v="0.98037790697674421"/>
    <n v="80"/>
    <s v="2020/12/06"/>
    <n v="824"/>
    <n v="6.4320388349514604E-2"/>
    <n v="0"/>
  </r>
  <r>
    <x v="2"/>
    <s v="A.S. A CORUÑA E CEE"/>
    <n v="37"/>
    <n v="293"/>
    <n v="52"/>
    <n v="1349"/>
    <n v="10671"/>
    <n v="98"/>
    <n v="22"/>
    <n v="206505"/>
    <n v="73398"/>
    <n v="291"/>
    <n v="-105"/>
    <n v="87"/>
    <n v="17"/>
    <n v="446"/>
    <n v="168"/>
    <n v="0.92216456634544108"/>
    <n v="140"/>
    <s v="2020/12/07"/>
    <n v="614"/>
    <n v="6.0260586319218198E-2"/>
    <n v="2"/>
  </r>
  <r>
    <x v="3"/>
    <s v="A.S. A CORUÑA E CEE"/>
    <n v="47"/>
    <n v="293"/>
    <n v="26"/>
    <n v="1244"/>
    <n v="10811"/>
    <n v="87"/>
    <n v="17"/>
    <n v="206951"/>
    <n v="73566"/>
    <n v="293"/>
    <n v="-51"/>
    <n v="84"/>
    <n v="16"/>
    <n v="1411"/>
    <n v="70"/>
    <n v="0.95900321543408362"/>
    <n v="98"/>
    <s v="2020/12/08"/>
    <n v="1481"/>
    <n v="3.1735313977042497E-2"/>
    <n v="0"/>
  </r>
  <r>
    <x v="4"/>
    <s v="A.S. A CORUÑA E CEE"/>
    <n v="43"/>
    <n v="293"/>
    <n v="45"/>
    <n v="1193"/>
    <n v="10909"/>
    <n v="84"/>
    <n v="16"/>
    <n v="208362"/>
    <n v="73636"/>
    <n v="293"/>
    <n v="-47"/>
    <n v="76"/>
    <n v="14"/>
    <n v="688"/>
    <n v="210"/>
    <n v="0.9606035205364627"/>
    <n v="90"/>
    <s v="2020/12/09"/>
    <n v="898"/>
    <n v="4.7884187082405397E-2"/>
    <n v="0"/>
  </r>
  <r>
    <x v="5"/>
    <s v="A.S. A CORUÑA E CEE"/>
    <n v="43"/>
    <n v="293"/>
    <n v="35"/>
    <n v="1146"/>
    <n v="10999"/>
    <n v="76"/>
    <n v="14"/>
    <n v="209050"/>
    <n v="73846"/>
    <n v="293"/>
    <n v="-53"/>
    <n v="78"/>
    <n v="13"/>
    <n v="1350"/>
    <n v="204"/>
    <n v="0.9537521815008726"/>
    <n v="96"/>
    <s v="2020/12/10"/>
    <n v="1554"/>
    <n v="2.76705276705277E-2"/>
    <n v="0"/>
  </r>
  <r>
    <x v="6"/>
    <s v="A.S. A CORUÑA E CEE"/>
    <n v="51"/>
    <n v="296"/>
    <n v="34"/>
    <n v="1093"/>
    <n v="11095"/>
    <n v="78"/>
    <n v="13"/>
    <n v="210400"/>
    <n v="74050"/>
    <n v="293"/>
    <n v="-76"/>
    <n v="74"/>
    <n v="13"/>
    <n v="1469"/>
    <n v="203"/>
    <n v="0.93046660567246109"/>
    <n v="124"/>
    <s v="2020/12/11"/>
    <n v="1672"/>
    <n v="3.05023923444976E-2"/>
    <n v="3"/>
  </r>
  <r>
    <x v="7"/>
    <s v="A.S. A CORUÑA E CEE"/>
    <n v="42"/>
    <n v="296"/>
    <n v="43"/>
    <n v="1017"/>
    <n v="11219"/>
    <n v="74"/>
    <n v="13"/>
    <n v="211869"/>
    <n v="74253"/>
    <n v="296"/>
    <n v="-24"/>
    <n v="74"/>
    <n v="13"/>
    <n v="1179"/>
    <n v="81"/>
    <n v="0.97640117994100295"/>
    <n v="66"/>
    <s v="2020/12/12"/>
    <n v="1260"/>
    <n v="3.3333333333333298E-2"/>
    <n v="0"/>
  </r>
  <r>
    <x v="8"/>
    <s v="A.S. A CORUÑA E CEE"/>
    <n v="65"/>
    <n v="298"/>
    <n v="41"/>
    <n v="993"/>
    <n v="11285"/>
    <n v="74"/>
    <n v="13"/>
    <n v="213048"/>
    <n v="74334"/>
    <n v="296"/>
    <n v="-38"/>
    <n v="75"/>
    <n v="13"/>
    <n v="724"/>
    <n v="85"/>
    <n v="0.96173212487411885"/>
    <n v="101"/>
    <s v="2020/12/13"/>
    <n v="809"/>
    <n v="8.0346106304079096E-2"/>
    <n v="2"/>
  </r>
  <r>
    <x v="9"/>
    <s v="A.S. A CORUÑA E CEE"/>
    <n v="21"/>
    <n v="300"/>
    <n v="61"/>
    <n v="955"/>
    <n v="11386"/>
    <n v="75"/>
    <n v="13"/>
    <n v="213772"/>
    <n v="74419"/>
    <n v="298"/>
    <n v="-26"/>
    <n v="72"/>
    <n v="14"/>
    <n v="341"/>
    <n v="174"/>
    <n v="0.97277486910994759"/>
    <n v="45"/>
    <s v="2020/12/14"/>
    <n v="515"/>
    <n v="4.0776699029126201E-2"/>
    <n v="2"/>
  </r>
  <r>
    <x v="10"/>
    <s v="A.S. A CORUÑA E CEE"/>
    <n v="45"/>
    <n v="301"/>
    <n v="17"/>
    <n v="929"/>
    <n v="11431"/>
    <n v="72"/>
    <n v="14"/>
    <n v="214113"/>
    <n v="74593"/>
    <n v="300"/>
    <n v="-22"/>
    <n v="63"/>
    <n v="13"/>
    <n v="1001"/>
    <n v="219"/>
    <n v="0.97631862217438103"/>
    <n v="66"/>
    <s v="2020/12/15"/>
    <n v="1220"/>
    <n v="3.6885245901639302E-2"/>
    <n v="1"/>
  </r>
  <r>
    <x v="11"/>
    <s v="A.S. A CORUÑA E CEE"/>
    <n v="61"/>
    <n v="303"/>
    <n v="40"/>
    <n v="907"/>
    <n v="11497"/>
    <n v="63"/>
    <n v="13"/>
    <n v="215114"/>
    <n v="74812"/>
    <n v="301"/>
    <n v="-8"/>
    <n v="69"/>
    <n v="12"/>
    <n v="873"/>
    <n v="196"/>
    <n v="0.99117971334068355"/>
    <n v="67"/>
    <s v="2020/12/16"/>
    <n v="1069"/>
    <n v="5.7062675397567798E-2"/>
    <n v="2"/>
  </r>
  <r>
    <x v="12"/>
    <s v="A.S. A CORUÑA E CEE"/>
    <n v="44"/>
    <n v="305"/>
    <n v="53"/>
    <n v="899"/>
    <n v="11564"/>
    <n v="69"/>
    <n v="12"/>
    <n v="215987"/>
    <n v="75008"/>
    <n v="303"/>
    <n v="-38"/>
    <n v="64"/>
    <n v="14"/>
    <n v="780"/>
    <n v="195"/>
    <n v="0.9577308120133482"/>
    <n v="80"/>
    <s v="2020/12/17"/>
    <n v="975"/>
    <n v="4.5128205128205097E-2"/>
    <n v="2"/>
  </r>
  <r>
    <x v="13"/>
    <s v="A.S. A CORUÑA E CEE"/>
    <n v="77"/>
    <n v="305"/>
    <n v="46"/>
    <n v="861"/>
    <n v="11644"/>
    <n v="64"/>
    <n v="14"/>
    <n v="216767"/>
    <n v="75203"/>
    <n v="305"/>
    <n v="9"/>
    <n v="58"/>
    <n v="14"/>
    <n v="1257"/>
    <n v="216"/>
    <n v="1.0104529616724738"/>
    <n v="68"/>
    <s v="2020/12/18"/>
    <n v="1473"/>
    <n v="5.2274270196877103E-2"/>
    <n v="0"/>
  </r>
  <r>
    <x v="14"/>
    <s v="A.S. A CORUÑA E CEE"/>
    <n v="67"/>
    <n v="305"/>
    <n v="69"/>
    <n v="870"/>
    <n v="11712"/>
    <n v="58"/>
    <n v="14"/>
    <n v="218024"/>
    <n v="75419"/>
    <n v="305"/>
    <n v="17"/>
    <n v="59"/>
    <n v="14"/>
    <n v="889"/>
    <n v="73"/>
    <n v="1.0195402298850575"/>
    <n v="50"/>
    <s v="2020/12/19"/>
    <n v="962"/>
    <n v="6.9646569646569595E-2"/>
    <n v="0"/>
  </r>
  <r>
    <x v="15"/>
    <s v="A.S. A CORUÑA E CEE"/>
    <n v="53"/>
    <n v="305"/>
    <n v="64"/>
    <n v="887"/>
    <n v="11762"/>
    <n v="59"/>
    <n v="14"/>
    <n v="218913"/>
    <n v="75492"/>
    <n v="305"/>
    <n v="-5"/>
    <n v="60"/>
    <n v="14"/>
    <n v="1020"/>
    <n v="94"/>
    <n v="0.99436302142051858"/>
    <n v="58"/>
    <s v="2020/12/20"/>
    <n v="1114"/>
    <n v="4.7576301615798899E-2"/>
    <n v="0"/>
  </r>
  <r>
    <x v="16"/>
    <s v="A.S. A CORUÑA E CEE"/>
    <n v="23"/>
    <n v="305"/>
    <n v="46"/>
    <n v="882"/>
    <n v="11820"/>
    <n v="60"/>
    <n v="14"/>
    <n v="219933"/>
    <n v="75586"/>
    <n v="305"/>
    <n v="-16"/>
    <n v="63"/>
    <n v="15"/>
    <n v="544"/>
    <n v="245"/>
    <n v="0.98185941043083902"/>
    <n v="39"/>
    <s v="2020/12/21"/>
    <n v="789"/>
    <n v="2.9150823827629901E-2"/>
    <n v="0"/>
  </r>
  <r>
    <x v="17"/>
    <s v="A.S. A CORUÑA E CEE"/>
    <n v="64"/>
    <n v="305"/>
    <n v="10"/>
    <n v="866"/>
    <n v="11859"/>
    <n v="63"/>
    <n v="15"/>
    <n v="220477"/>
    <n v="75831"/>
    <n v="305"/>
    <n v="14"/>
    <n v="56"/>
    <n v="15"/>
    <n v="1705"/>
    <n v="197"/>
    <n v="1.0161662817551964"/>
    <n v="50"/>
    <s v="2020/12/22"/>
    <n v="1902"/>
    <n v="3.3648790746582502E-2"/>
    <n v="0"/>
  </r>
  <r>
    <x v="18"/>
    <s v="A.S. A CORUÑA E CEE"/>
    <n v="60"/>
    <n v="305"/>
    <n v="68"/>
    <n v="880"/>
    <n v="11909"/>
    <n v="56"/>
    <n v="15"/>
    <n v="222182"/>
    <n v="76028"/>
    <n v="305"/>
    <n v="-2"/>
    <n v="55"/>
    <n v="17"/>
    <n v="2664"/>
    <n v="216"/>
    <n v="0.99772727272727268"/>
    <n v="62"/>
    <s v="2020/12/23"/>
    <n v="2880"/>
    <n v="2.0833333333333301E-2"/>
    <n v="0"/>
  </r>
  <r>
    <x v="19"/>
    <s v="A.S. A CORUÑA E CEE"/>
    <n v="67"/>
    <n v="305"/>
    <n v="41"/>
    <n v="878"/>
    <n v="11971"/>
    <n v="55"/>
    <n v="17"/>
    <n v="224846"/>
    <n v="76244"/>
    <n v="305"/>
    <n v="21"/>
    <n v="56"/>
    <n v="18"/>
    <n v="2243"/>
    <n v="218"/>
    <n v="1.0239179954441913"/>
    <n v="46"/>
    <s v="2020/12/24"/>
    <n v="2461"/>
    <n v="2.7224705404307201E-2"/>
    <n v="0"/>
  </r>
  <r>
    <x v="20"/>
    <s v="A.S. A CORUÑA E CEE"/>
    <n v="59"/>
    <n v="307"/>
    <n v="64"/>
    <n v="899"/>
    <n v="12017"/>
    <n v="56"/>
    <n v="18"/>
    <n v="227089"/>
    <n v="76462"/>
    <n v="305"/>
    <n v="2"/>
    <n v="56"/>
    <n v="17"/>
    <n v="1156"/>
    <n v="75"/>
    <n v="1.0022246941045607"/>
    <n v="55"/>
    <s v="2020/12/25"/>
    <n v="1231"/>
    <n v="4.79285134037368E-2"/>
    <n v="2"/>
  </r>
  <r>
    <x v="21"/>
    <s v="A.S. A CORUÑA E CEE"/>
    <n v="36"/>
    <n v="307"/>
    <n v="61"/>
    <n v="901"/>
    <n v="12072"/>
    <n v="56"/>
    <n v="17"/>
    <n v="228245"/>
    <n v="76537"/>
    <n v="307"/>
    <n v="-28"/>
    <n v="61"/>
    <n v="18"/>
    <n v="341"/>
    <n v="63"/>
    <n v="0.96892341842397334"/>
    <n v="64"/>
    <s v="2020/12/26"/>
    <n v="404"/>
    <n v="8.9108910891089105E-2"/>
    <n v="0"/>
  </r>
  <r>
    <x v="22"/>
    <s v="A.S. A CORUÑA E CEE"/>
    <n v="48"/>
    <n v="307"/>
    <n v="32"/>
    <n v="873"/>
    <n v="12136"/>
    <n v="61"/>
    <n v="18"/>
    <n v="228586"/>
    <n v="76600"/>
    <n v="307"/>
    <n v="-13"/>
    <n v="66"/>
    <n v="17"/>
    <n v="1134"/>
    <n v="80"/>
    <n v="0.98510882016036661"/>
    <n v="61"/>
    <s v="2020/12/27"/>
    <n v="1214"/>
    <n v="3.9538714991762799E-2"/>
    <n v="0"/>
  </r>
  <r>
    <x v="23"/>
    <s v="A.S. A CORUÑA E CEE"/>
    <n v="54"/>
    <n v="311"/>
    <n v="50"/>
    <n v="860"/>
    <n v="12197"/>
    <n v="66"/>
    <n v="17"/>
    <n v="229720"/>
    <n v="76680"/>
    <n v="307"/>
    <n v="24"/>
    <n v="71"/>
    <n v="18"/>
    <n v="657"/>
    <n v="170"/>
    <n v="1.027906976744186"/>
    <n v="26"/>
    <s v="2020/12/28"/>
    <n v="827"/>
    <n v="6.5296251511487297E-2"/>
    <n v="4"/>
  </r>
  <r>
    <x v="24"/>
    <s v="A.S. A CORUÑA E CEE"/>
    <n v="121"/>
    <n v="311"/>
    <n v="42"/>
    <n v="884"/>
    <n v="12223"/>
    <n v="71"/>
    <n v="18"/>
    <n v="230377"/>
    <n v="76850"/>
    <n v="311"/>
    <n v="72"/>
    <n v="71"/>
    <n v="18"/>
    <n v="1256"/>
    <n v="189"/>
    <n v="1.0814479638009049"/>
    <n v="49"/>
    <s v="2020/12/29"/>
    <n v="1445"/>
    <n v="8.3737024221453293E-2"/>
    <n v="0"/>
  </r>
  <r>
    <x v="25"/>
    <s v="A.S. A CORUÑA E CEE"/>
    <n v="134"/>
    <n v="311"/>
    <n v="118"/>
    <n v="956"/>
    <n v="12272"/>
    <n v="71"/>
    <n v="18"/>
    <n v="231633"/>
    <n v="77039"/>
    <n v="311"/>
    <n v="73"/>
    <n v="70"/>
    <n v="19"/>
    <n v="1425"/>
    <n v="189"/>
    <n v="1.0763598326359833"/>
    <n v="61"/>
    <s v="2020/12/30"/>
    <n v="1614"/>
    <n v="8.3023543990086698E-2"/>
    <n v="0"/>
  </r>
  <r>
    <x v="26"/>
    <s v="A.S. A CORUÑA E CEE"/>
    <n v="107"/>
    <n v="312"/>
    <n v="115"/>
    <n v="1029"/>
    <n v="12333"/>
    <n v="70"/>
    <n v="19"/>
    <n v="233058"/>
    <n v="77228"/>
    <n v="311"/>
    <n v="62"/>
    <n v="67"/>
    <n v="20"/>
    <n v="1250"/>
    <n v="205"/>
    <n v="1.0602526724975705"/>
    <n v="44"/>
    <s v="2020/12/31"/>
    <n v="1455"/>
    <n v="7.3539518900343603E-2"/>
    <n v="1"/>
  </r>
  <r>
    <x v="27"/>
    <s v="A.S. A CORUÑA E CEE"/>
    <n v="118"/>
    <n v="314"/>
    <n v="97"/>
    <n v="1091"/>
    <n v="12377"/>
    <n v="67"/>
    <n v="20"/>
    <n v="234308"/>
    <n v="77433"/>
    <n v="312"/>
    <n v="59"/>
    <n v="72"/>
    <n v="20"/>
    <n v="1110"/>
    <n v="95"/>
    <n v="1.0540788267644363"/>
    <n v="57"/>
    <s v="2021/01/01"/>
    <n v="1205"/>
    <n v="9.7925311203319501E-2"/>
    <n v="2"/>
  </r>
  <r>
    <x v="28"/>
    <s v="A.S. A CORUÑA E CEE"/>
    <n v="46"/>
    <n v="314"/>
    <n v="116"/>
    <n v="1150"/>
    <n v="12434"/>
    <n v="72"/>
    <n v="20"/>
    <n v="235418"/>
    <n v="77528"/>
    <n v="314"/>
    <n v="-16"/>
    <n v="77"/>
    <n v="18"/>
    <n v="588"/>
    <n v="123"/>
    <n v="0.98608695652173917"/>
    <n v="62"/>
    <s v="2021/01/02"/>
    <n v="711"/>
    <n v="6.4697609001406503E-2"/>
    <n v="0"/>
  </r>
  <r>
    <x v="29"/>
    <s v="A.S. A CORUÑA E CEE"/>
    <n v="118"/>
    <n v="315"/>
    <n v="43"/>
    <n v="1134"/>
    <n v="12496"/>
    <n v="77"/>
    <n v="18"/>
    <n v="236006"/>
    <n v="77651"/>
    <n v="314"/>
    <n v="59"/>
    <n v="83"/>
    <n v="19"/>
    <n v="826"/>
    <n v="119"/>
    <n v="1.0520282186948853"/>
    <n v="58"/>
    <s v="2021/01/03"/>
    <n v="945"/>
    <n v="0.124867724867725"/>
    <n v="1"/>
  </r>
  <r>
    <x v="30"/>
    <s v="A.S. A CORUÑA E CEE"/>
    <n v="86"/>
    <n v="321"/>
    <n v="103"/>
    <n v="1193"/>
    <n v="12554"/>
    <n v="83"/>
    <n v="19"/>
    <n v="236832"/>
    <n v="77770"/>
    <n v="315"/>
    <n v="31"/>
    <n v="81"/>
    <n v="17"/>
    <n v="484"/>
    <n v="149"/>
    <n v="1.0259849119865885"/>
    <n v="50"/>
    <s v="2021/01/04"/>
    <n v="633"/>
    <n v="0.13586097946287501"/>
    <n v="6"/>
  </r>
  <r>
    <x v="31"/>
    <s v="A.S. A CORUÑA E CEE"/>
    <n v="187"/>
    <n v="322"/>
    <n v="71"/>
    <n v="1224"/>
    <n v="12604"/>
    <n v="81"/>
    <n v="17"/>
    <n v="237316"/>
    <n v="77919"/>
    <n v="321"/>
    <n v="153"/>
    <n v="79"/>
    <n v="18"/>
    <n v="1264"/>
    <n v="241"/>
    <n v="1.125"/>
    <n v="33"/>
    <s v="2021/01/05"/>
    <n v="1505"/>
    <n v="0.124252491694352"/>
    <n v="1"/>
  </r>
  <r>
    <x v="32"/>
    <s v="A.S. A CORUÑA E CEE"/>
    <n v="158"/>
    <n v="324"/>
    <n v="166"/>
    <n v="1377"/>
    <n v="12637"/>
    <n v="79"/>
    <n v="18"/>
    <n v="238580"/>
    <n v="78160"/>
    <n v="322"/>
    <n v="93"/>
    <n v="85"/>
    <n v="19"/>
    <n v="1138"/>
    <n v="89"/>
    <n v="1.0675381263616557"/>
    <n v="63"/>
    <s v="2021/01/06"/>
    <n v="1227"/>
    <n v="0.12876935615321899"/>
    <n v="2"/>
  </r>
  <r>
    <x v="33"/>
    <s v="A.S. A CORUÑA E CEE"/>
    <n v="151"/>
    <n v="324"/>
    <n v="157"/>
    <n v="1470"/>
    <n v="12700"/>
    <n v="85"/>
    <n v="19"/>
    <n v="239718"/>
    <n v="78249"/>
    <n v="324"/>
    <n v="87"/>
    <n v="88"/>
    <n v="21"/>
    <n v="856"/>
    <n v="201"/>
    <n v="1.0591836734693878"/>
    <n v="64"/>
    <s v="2021/01/07"/>
    <n v="1057"/>
    <n v="0.14285714285714299"/>
    <n v="0"/>
  </r>
  <r>
    <x v="34"/>
    <s v="A.S. A CORUÑA E CEE"/>
    <n v="199"/>
    <n v="326"/>
    <n v="124"/>
    <n v="1557"/>
    <n v="12764"/>
    <n v="88"/>
    <n v="21"/>
    <n v="240574"/>
    <n v="78450"/>
    <n v="324"/>
    <n v="139"/>
    <n v="84"/>
    <n v="18"/>
    <n v="1494"/>
    <n v="268"/>
    <n v="1.0892742453436095"/>
    <n v="58"/>
    <s v="2021/01/08"/>
    <n v="1762"/>
    <n v="0.11293984108967101"/>
    <n v="2"/>
  </r>
  <r>
    <x v="35"/>
    <s v="A.S. A CORUÑA E CEE"/>
    <n v="184"/>
    <n v="327"/>
    <n v="171"/>
    <n v="1696"/>
    <n v="12822"/>
    <n v="84"/>
    <n v="18"/>
    <n v="242068"/>
    <n v="78718"/>
    <n v="326"/>
    <n v="135"/>
    <n v="83"/>
    <n v="18"/>
    <n v="1395"/>
    <n v="94"/>
    <n v="1.0795990566037736"/>
    <n v="49"/>
    <s v="2021/01/09"/>
    <n v="1489"/>
    <n v="0.123572867696441"/>
    <n v="1"/>
  </r>
  <r>
    <x v="36"/>
    <s v="A.S. A CORUÑA E CEE"/>
    <n v="158"/>
    <n v="327"/>
    <n v="177"/>
    <n v="1831"/>
    <n v="12871"/>
    <n v="83"/>
    <n v="18"/>
    <n v="243463"/>
    <n v="78812"/>
    <n v="327"/>
    <n v="113"/>
    <n v="93"/>
    <n v="21"/>
    <n v="1104"/>
    <n v="151"/>
    <n v="1.0617149098853085"/>
    <n v="45"/>
    <s v="2021/01/10"/>
    <n v="1255"/>
    <n v="0.12589641434262999"/>
    <n v="0"/>
  </r>
  <r>
    <x v="37"/>
    <s v="A.S. A CORUÑA E CEE"/>
    <n v="179"/>
    <n v="329"/>
    <n v="151"/>
    <n v="1944"/>
    <n v="12916"/>
    <n v="93"/>
    <n v="21"/>
    <n v="244567"/>
    <n v="78963"/>
    <n v="327"/>
    <n v="120"/>
    <n v="95"/>
    <n v="22"/>
    <n v="823"/>
    <n v="450"/>
    <n v="1.0617283950617284"/>
    <n v="57"/>
    <s v="2021/01/11"/>
    <n v="1273"/>
    <n v="0.14061272584446199"/>
    <n v="2"/>
  </r>
  <r>
    <x v="38"/>
    <s v="A.S. A CORUÑA E CEE"/>
    <n v="256"/>
    <n v="331"/>
    <n v="144"/>
    <n v="2064"/>
    <n v="12973"/>
    <n v="95"/>
    <n v="22"/>
    <n v="245390"/>
    <n v="79413"/>
    <n v="329"/>
    <n v="196"/>
    <n v="108"/>
    <n v="22"/>
    <n v="1724"/>
    <n v="278"/>
    <n v="1.0949612403100775"/>
    <n v="58"/>
    <s v="2021/01/12"/>
    <n v="2002"/>
    <n v="0.12787212787212801"/>
    <n v="2"/>
  </r>
  <r>
    <x v="39"/>
    <s v="A.S. A CORUÑA E CEE"/>
    <n v="298"/>
    <n v="333"/>
    <n v="229"/>
    <n v="2260"/>
    <n v="13031"/>
    <n v="108"/>
    <n v="22"/>
    <n v="247114"/>
    <n v="79691"/>
    <n v="331"/>
    <n v="209"/>
    <n v="123"/>
    <n v="27"/>
    <n v="2254"/>
    <n v="408"/>
    <n v="1.0924778761061946"/>
    <n v="88"/>
    <s v="2021/01/13"/>
    <n v="2662"/>
    <n v="0.111945905334335"/>
    <n v="2"/>
  </r>
  <r>
    <x v="40"/>
    <s v="A.S. A CORUÑA E CEE"/>
    <n v="295"/>
    <n v="333"/>
    <n v="256"/>
    <n v="2469"/>
    <n v="13119"/>
    <n v="123"/>
    <n v="27"/>
    <n v="249368"/>
    <n v="80099"/>
    <n v="333"/>
    <n v="166"/>
    <n v="138"/>
    <n v="26"/>
    <n v="2360"/>
    <n v="416"/>
    <n v="1.0672336978533818"/>
    <n v="129"/>
    <s v="2021/01/14"/>
    <n v="2776"/>
    <n v="0.106268011527378"/>
    <n v="0"/>
  </r>
  <r>
    <x v="41"/>
    <s v="A.S. A CORUÑA E CEE"/>
    <n v="330"/>
    <n v="337"/>
    <n v="251"/>
    <n v="2635"/>
    <n v="13248"/>
    <n v="138"/>
    <n v="26"/>
    <n v="251728"/>
    <n v="80515"/>
    <n v="333"/>
    <n v="208"/>
    <n v="130"/>
    <n v="26"/>
    <n v="2145"/>
    <n v="352"/>
    <n v="1.0789373814041745"/>
    <n v="118"/>
    <s v="2021/01/15"/>
    <n v="2497"/>
    <n v="0.13215859030836999"/>
    <n v="4"/>
  </r>
  <r>
    <x v="42"/>
    <s v="A.S. A CORUÑA E CEE"/>
    <n v="360"/>
    <n v="337"/>
    <n v="261"/>
    <n v="2843"/>
    <n v="13366"/>
    <n v="130"/>
    <n v="26"/>
    <n v="253873"/>
    <n v="80867"/>
    <n v="337"/>
    <n v="286"/>
    <n v="145"/>
    <n v="28"/>
    <n v="2091"/>
    <n v="212"/>
    <n v="1.1005979599015125"/>
    <n v="74"/>
    <s v="2021/01/16"/>
    <n v="2303"/>
    <n v="0.15631784628745099"/>
    <n v="0"/>
  </r>
  <r>
    <x v="43"/>
    <s v="A.S. A CORUÑA E CEE"/>
    <n v="282"/>
    <n v="340"/>
    <n v="337"/>
    <n v="3129"/>
    <n v="13440"/>
    <n v="145"/>
    <n v="28"/>
    <n v="255964"/>
    <n v="81079"/>
    <n v="337"/>
    <n v="217"/>
    <n v="163"/>
    <n v="31"/>
    <n v="1627"/>
    <n v="161"/>
    <n v="1.0693512304250559"/>
    <n v="62"/>
    <s v="2021/01/17"/>
    <n v="1788"/>
    <n v="0.15771812080536901"/>
    <n v="3"/>
  </r>
  <r>
    <x v="44"/>
    <s v="A.S. A CORUÑA E CEE"/>
    <n v="277"/>
    <n v="347"/>
    <n v="242"/>
    <n v="3346"/>
    <n v="13502"/>
    <n v="163"/>
    <n v="31"/>
    <n v="257591"/>
    <n v="81240"/>
    <n v="340"/>
    <n v="187"/>
    <n v="167"/>
    <n v="36"/>
    <n v="1255"/>
    <n v="462"/>
    <n v="1.0558876270173341"/>
    <n v="82"/>
    <s v="2021/01/18"/>
    <n v="1717"/>
    <n v="0.16132789749563201"/>
    <n v="7"/>
  </r>
  <r>
    <x v="45"/>
    <s v="A.S. A CORUÑA E CEE"/>
    <n v="435"/>
    <n v="349"/>
    <n v="205"/>
    <n v="3533"/>
    <n v="13584"/>
    <n v="167"/>
    <n v="36"/>
    <n v="258846"/>
    <n v="81702"/>
    <n v="347"/>
    <n v="306"/>
    <n v="179"/>
    <n v="39"/>
    <n v="2362"/>
    <n v="654"/>
    <n v="1.0866119445230682"/>
    <n v="127"/>
    <s v="2021/01/19"/>
    <n v="3016"/>
    <n v="0.144230769230769"/>
    <n v="2"/>
  </r>
  <r>
    <x v="46"/>
    <s v="A.S. A CORUÑA E CEE"/>
    <n v="442"/>
    <n v="350"/>
    <n v="348"/>
    <n v="3839"/>
    <n v="13711"/>
    <n v="179"/>
    <n v="39"/>
    <n v="261208"/>
    <n v="82356"/>
    <n v="349"/>
    <n v="285"/>
    <n v="188"/>
    <n v="38"/>
    <n v="2407"/>
    <n v="1527"/>
    <n v="1.0742380828340714"/>
    <n v="156"/>
    <s v="2021/01/20"/>
    <n v="3934"/>
    <n v="0.11235383833248599"/>
    <n v="1"/>
  </r>
  <r>
    <x v="47"/>
    <s v="A.S. A CORUÑA E CEE"/>
    <n v="446"/>
    <n v="353"/>
    <n v="281"/>
    <n v="4124"/>
    <n v="13867"/>
    <n v="188"/>
    <n v="38"/>
    <n v="263615"/>
    <n v="83883"/>
    <n v="350"/>
    <n v="290"/>
    <n v="210"/>
    <n v="38"/>
    <n v="2654"/>
    <n v="649"/>
    <n v="1.0703200775945685"/>
    <n v="152"/>
    <s v="2021/01/21"/>
    <n v="3303"/>
    <n v="0.13502876173175901"/>
    <n v="3"/>
  </r>
  <r>
    <x v="48"/>
    <s v="A.S. A CORUÑA E CEE"/>
    <n v="549"/>
    <n v="358"/>
    <n v="346"/>
    <n v="4414"/>
    <n v="14019"/>
    <n v="210"/>
    <n v="38"/>
    <n v="266269"/>
    <n v="84532"/>
    <n v="353"/>
    <n v="412"/>
    <n v="226"/>
    <n v="38"/>
    <n v="3166"/>
    <n v="959"/>
    <n v="1.0933393747168101"/>
    <n v="132"/>
    <s v="2021/01/22"/>
    <n v="4125"/>
    <n v="0.13309090909090901"/>
    <n v="5"/>
  </r>
  <r>
    <x v="49"/>
    <s v="A.S. A CORUÑA E CEE"/>
    <n v="449"/>
    <n v="359"/>
    <n v="433"/>
    <n v="4826"/>
    <n v="14151"/>
    <n v="226"/>
    <n v="38"/>
    <n v="269435"/>
    <n v="85491"/>
    <n v="358"/>
    <n v="231"/>
    <n v="248"/>
    <n v="39"/>
    <n v="2748"/>
    <n v="949"/>
    <n v="1.047865727310402"/>
    <n v="217"/>
    <s v="2021/01/23"/>
    <n v="3697"/>
    <n v="0.121449824181769"/>
    <n v="1"/>
  </r>
  <r>
    <x v="50"/>
    <s v="A.S. A CORUÑA E CEE"/>
    <n v="300"/>
    <n v="367"/>
    <n v="390"/>
    <n v="5057"/>
    <n v="14368"/>
    <n v="248"/>
    <n v="39"/>
    <n v="272183"/>
    <n v="86440"/>
    <n v="359"/>
    <n v="168"/>
    <n v="272"/>
    <n v="43"/>
    <n v="2065"/>
    <n v="472"/>
    <n v="1.0332212774372158"/>
    <n v="124"/>
    <s v="2021/01/24"/>
    <n v="2537"/>
    <n v="0.118249901458415"/>
    <n v="8"/>
  </r>
  <r>
    <x v="51"/>
    <s v="A.S. A CORUÑA E CEE"/>
    <n v="347"/>
    <n v="376"/>
    <n v="251"/>
    <n v="5225"/>
    <n v="14492"/>
    <n v="272"/>
    <n v="43"/>
    <n v="274248"/>
    <n v="86912"/>
    <n v="367"/>
    <n v="164"/>
    <n v="282"/>
    <n v="47"/>
    <n v="1579"/>
    <n v="686"/>
    <n v="1.0313875598086124"/>
    <n v="176"/>
    <s v="2021/01/25"/>
    <n v="2265"/>
    <n v="0.15320088300220799"/>
    <n v="9"/>
  </r>
  <r>
    <x v="52"/>
    <s v="A.S. A CORUÑA E CEE"/>
    <n v="446"/>
    <n v="379"/>
    <n v="252"/>
    <n v="5389"/>
    <n v="14668"/>
    <n v="282"/>
    <n v="47"/>
    <n v="275827"/>
    <n v="87598"/>
    <n v="376"/>
    <n v="290"/>
    <n v="305"/>
    <n v="48"/>
    <n v="2659"/>
    <n v="841"/>
    <n v="1.0538133234366303"/>
    <n v="153"/>
    <s v="2021/01/26"/>
    <n v="3500"/>
    <n v="0.127428571428571"/>
    <n v="3"/>
  </r>
  <r>
    <x v="53"/>
    <s v="A.S. A CORUÑA E CEE"/>
    <n v="409"/>
    <n v="391"/>
    <n v="366"/>
    <n v="5679"/>
    <n v="14821"/>
    <n v="305"/>
    <n v="48"/>
    <n v="278486"/>
    <n v="88439"/>
    <n v="379"/>
    <n v="176"/>
    <n v="310"/>
    <n v="59"/>
    <n v="3282"/>
    <n v="1198"/>
    <n v="1.0309913717203734"/>
    <n v="222"/>
    <s v="2021/01/27"/>
    <n v="4480"/>
    <n v="9.1294642857142894E-2"/>
    <n v="12"/>
  </r>
  <r>
    <x v="54"/>
    <s v="A.S. A CORUÑA E CEE"/>
    <n v="365"/>
    <n v="400"/>
    <n v="277"/>
    <n v="5855"/>
    <n v="15043"/>
    <n v="310"/>
    <n v="59"/>
    <n v="281768"/>
    <n v="89637"/>
    <n v="391"/>
    <n v="57"/>
    <n v="321"/>
    <n v="69"/>
    <n v="3101"/>
    <n v="1864"/>
    <n v="1.0097352690008539"/>
    <n v="300"/>
    <s v="2021/01/28"/>
    <n v="4965"/>
    <n v="7.3514602215508595E-2"/>
    <n v="9"/>
  </r>
  <r>
    <x v="55"/>
    <s v="A.S. A CORUÑA E CEE"/>
    <n v="320"/>
    <n v="412"/>
    <n v="250"/>
    <n v="5912"/>
    <n v="15343"/>
    <n v="321"/>
    <n v="69"/>
    <n v="284869"/>
    <n v="91501"/>
    <n v="400"/>
    <n v="72"/>
    <n v="313"/>
    <n v="79"/>
    <n v="3180"/>
    <n v="1711"/>
    <n v="1.0121786197564275"/>
    <n v="237"/>
    <s v="2021/01/29"/>
    <n v="4891"/>
    <n v="6.5426293191576404E-2"/>
    <n v="12"/>
  </r>
  <r>
    <x v="56"/>
    <s v="A.S. A CORUÑA E CEE"/>
    <n v="339"/>
    <n v="419"/>
    <n v="251"/>
    <n v="5984"/>
    <n v="15580"/>
    <n v="313"/>
    <n v="79"/>
    <n v="288049"/>
    <n v="93212"/>
    <n v="412"/>
    <n v="36"/>
    <n v="326"/>
    <n v="82"/>
    <n v="2696"/>
    <n v="3750"/>
    <n v="1.0060160427807487"/>
    <n v="296"/>
    <s v="2021/01/30"/>
    <n v="6446"/>
    <n v="5.2590753955941698E-2"/>
    <n v="7"/>
  </r>
  <r>
    <x v="57"/>
    <s v="A.S. A CORUÑA E CEE"/>
    <n v="214"/>
    <n v="420"/>
    <n v="293"/>
    <n v="6020"/>
    <n v="15876"/>
    <n v="326"/>
    <n v="82"/>
    <n v="290745"/>
    <n v="96962"/>
    <n v="419"/>
    <n v="-86"/>
    <n v="341"/>
    <n v="86"/>
    <n v="2415"/>
    <n v="3514"/>
    <n v="0.98571428571428577"/>
    <n v="299"/>
    <s v="2021/01/31"/>
    <n v="5929"/>
    <n v="3.6093776353516599E-2"/>
    <n v="1"/>
  </r>
  <r>
    <x v="58"/>
    <s v="A.S. A CORUÑA E CEE"/>
    <n v="232"/>
    <n v="435"/>
    <n v="182"/>
    <n v="5934"/>
    <n v="16175"/>
    <n v="341"/>
    <n v="86"/>
    <n v="293160"/>
    <n v="100476"/>
    <n v="420"/>
    <n v="-51"/>
    <n v="323"/>
    <n v="93"/>
    <n v="1414"/>
    <n v="3456"/>
    <n v="0.99140546006066732"/>
    <n v="268"/>
    <s v="2021/02/01"/>
    <n v="4870"/>
    <n v="4.7638603696098597E-2"/>
    <n v="15"/>
  </r>
  <r>
    <x v="59"/>
    <s v="A.S. A CORUÑA E CEE"/>
    <n v="293"/>
    <n v="444"/>
    <n v="172"/>
    <n v="5883"/>
    <n v="16443"/>
    <n v="323"/>
    <n v="93"/>
    <n v="294574"/>
    <n v="103932"/>
    <n v="435"/>
    <n v="6"/>
    <n v="306"/>
    <n v="85"/>
    <n v="2122"/>
    <n v="4105"/>
    <n v="1.0010198878123406"/>
    <n v="278"/>
    <s v="2021/02/02"/>
    <n v="6227"/>
    <n v="4.70531556126546E-2"/>
    <n v="9"/>
  </r>
  <r>
    <x v="60"/>
    <s v="A.S. A CORUÑA E CEE"/>
    <n v="297"/>
    <n v="455"/>
    <n v="203"/>
    <n v="5889"/>
    <n v="16721"/>
    <n v="306"/>
    <n v="85"/>
    <n v="296696"/>
    <n v="108037"/>
    <n v="444"/>
    <n v="-44"/>
    <n v="282"/>
    <n v="87"/>
    <n v="2881"/>
    <n v="4252"/>
    <n v="0.99252844285956865"/>
    <n v="331"/>
    <s v="2021/02/03"/>
    <n v="7133"/>
    <n v="4.1637459694378202E-2"/>
    <n v="11"/>
  </r>
  <r>
    <x v="61"/>
    <s v="A.S. A CORUÑA E CEE"/>
    <n v="259"/>
    <n v="459"/>
    <n v="278"/>
    <n v="5845"/>
    <n v="17052"/>
    <n v="282"/>
    <n v="87"/>
    <n v="299577"/>
    <n v="112289"/>
    <n v="455"/>
    <n v="-132"/>
    <n v="276"/>
    <n v="85"/>
    <n v="2545"/>
    <n v="4207"/>
    <n v="0.97741659538066727"/>
    <n v="386"/>
    <s v="2021/02/04"/>
    <n v="6752"/>
    <n v="3.8359004739336497E-2"/>
    <n v="4"/>
  </r>
  <r>
    <x v="62"/>
    <s v="A.S. A CORUÑA E CEE"/>
    <n v="261"/>
    <n v="469"/>
    <n v="207"/>
    <n v="5713"/>
    <n v="17438"/>
    <n v="276"/>
    <n v="85"/>
    <n v="302122"/>
    <n v="116496"/>
    <n v="459"/>
    <n v="-171"/>
    <n v="287"/>
    <n v="81"/>
    <n v="3711"/>
    <n v="6224"/>
    <n v="0.97006826535970592"/>
    <n v="422"/>
    <s v="2021/02/05"/>
    <n v="9935"/>
    <n v="2.62707599396074E-2"/>
    <n v="10"/>
  </r>
  <r>
    <x v="63"/>
    <s v="A.S. A CORUÑA E CEE"/>
    <n v="285"/>
    <n v="477"/>
    <n v="218"/>
    <n v="5542"/>
    <n v="17860"/>
    <n v="287"/>
    <n v="81"/>
    <n v="305833"/>
    <n v="122720"/>
    <n v="469"/>
    <n v="-223"/>
    <n v="286"/>
    <n v="81"/>
    <n v="2353"/>
    <n v="5234"/>
    <n v="0.95976181883796463"/>
    <n v="500"/>
    <s v="2021/02/06"/>
    <n v="7587"/>
    <n v="3.7564254646105202E-2"/>
    <n v="8"/>
  </r>
  <r>
    <x v="64"/>
    <s v="A.S. A CORUÑA E CEE"/>
    <n v="177"/>
    <n v="482"/>
    <n v="264"/>
    <n v="5319"/>
    <n v="18360"/>
    <n v="286"/>
    <n v="81"/>
    <n v="308186"/>
    <n v="127954"/>
    <n v="477"/>
    <n v="-158"/>
    <n v="287"/>
    <n v="85"/>
    <n v="2960"/>
    <n v="5133"/>
    <n v="0.97029516826471141"/>
    <n v="331"/>
    <s v="2021/02/07"/>
    <n v="8093"/>
    <n v="2.1870752502162399E-2"/>
    <n v="5"/>
  </r>
</pivotCacheRecords>
</file>

<file path=xl/pivotCache/pivotCacheRecords8.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20">
  <r>
    <d v="2020-12-05T00:00:00"/>
    <x v="0"/>
    <n v="40"/>
    <n v="1376"/>
    <n v="97"/>
    <n v="23"/>
    <n v="291"/>
    <n v="40"/>
    <n v="-6"/>
    <n v="1"/>
    <n v="94"/>
    <x v="0"/>
    <n v="0.94174757281553401"/>
    <n v="1.0454545454545454"/>
    <n v="0"/>
  </r>
  <r>
    <d v="2020-12-05T00:00:00"/>
    <x v="1"/>
    <n v="23"/>
    <n v="586"/>
    <n v="27"/>
    <n v="8"/>
    <n v="78"/>
    <n v="23"/>
    <n v="-2"/>
    <n v="2"/>
    <n v="33"/>
    <x v="0"/>
    <n v="0.93103448275862066"/>
    <n v="1.3333333333333333"/>
    <n v="0"/>
  </r>
  <r>
    <d v="2020-12-05T00:00:00"/>
    <x v="2"/>
    <n v="29"/>
    <n v="788"/>
    <n v="31"/>
    <n v="1"/>
    <n v="132"/>
    <n v="31"/>
    <n v="5"/>
    <n v="0"/>
    <n v="70"/>
    <x v="0"/>
    <n v="1.1923076923076923"/>
    <n v="1"/>
    <n v="2"/>
  </r>
  <r>
    <d v="2020-12-05T00:00:00"/>
    <x v="3"/>
    <n v="18"/>
    <n v="402"/>
    <n v="37"/>
    <n v="5"/>
    <n v="295"/>
    <n v="22"/>
    <n v="1"/>
    <n v="0"/>
    <n v="38"/>
    <x v="0"/>
    <n v="1.0277777777777777"/>
    <n v="1"/>
    <n v="1"/>
  </r>
  <r>
    <d v="2020-12-05T00:00:00"/>
    <x v="4"/>
    <n v="30"/>
    <n v="990"/>
    <n v="42"/>
    <n v="9"/>
    <n v="60"/>
    <n v="37"/>
    <n v="0"/>
    <n v="0"/>
    <n v="71"/>
    <x v="0"/>
    <n v="1"/>
    <n v="1"/>
    <n v="1"/>
  </r>
  <r>
    <d v="2020-12-05T00:00:00"/>
    <x v="5"/>
    <n v="45"/>
    <n v="784"/>
    <n v="43"/>
    <n v="6"/>
    <n v="170"/>
    <n v="52"/>
    <n v="7"/>
    <n v="0"/>
    <n v="75"/>
    <x v="0"/>
    <n v="1.1944444444444444"/>
    <n v="1"/>
    <n v="0"/>
  </r>
  <r>
    <d v="2020-12-05T00:00:00"/>
    <x v="6"/>
    <n v="92"/>
    <n v="1800"/>
    <n v="65"/>
    <n v="12"/>
    <n v="224"/>
    <n v="91"/>
    <n v="0"/>
    <n v="0"/>
    <n v="133"/>
    <x v="0"/>
    <n v="1"/>
    <n v="1"/>
    <n v="0"/>
  </r>
  <r>
    <d v="2020-12-05T00:00:00"/>
    <x v="7"/>
    <n v="277"/>
    <n v="6726"/>
    <n v="342"/>
    <n v="64"/>
    <n v="1250"/>
    <n v="296"/>
    <n v="5"/>
    <n v="3"/>
    <n v="514"/>
    <x v="0"/>
    <n v="1.0148367952522255"/>
    <n v="1.0491803278688525"/>
    <n v="4"/>
  </r>
  <r>
    <d v="2020-12-06T00:00:00"/>
    <x v="0"/>
    <n v="52"/>
    <n v="1349"/>
    <n v="98"/>
    <n v="22"/>
    <n v="291"/>
    <n v="53"/>
    <n v="1"/>
    <n v="-1"/>
    <n v="80"/>
    <x v="1"/>
    <n v="1.0103092783505154"/>
    <n v="0.95652173913043481"/>
    <n v="0"/>
  </r>
  <r>
    <d v="2020-12-06T00:00:00"/>
    <x v="1"/>
    <n v="36"/>
    <n v="576"/>
    <n v="30"/>
    <n v="6"/>
    <n v="78"/>
    <n v="36"/>
    <n v="3"/>
    <n v="-2"/>
    <n v="46"/>
    <x v="1"/>
    <n v="1.1111111111111112"/>
    <n v="0.75"/>
    <n v="0"/>
  </r>
  <r>
    <d v="2020-12-06T00:00:00"/>
    <x v="2"/>
    <n v="28"/>
    <n v="771"/>
    <n v="30"/>
    <n v="1"/>
    <n v="133"/>
    <n v="29"/>
    <n v="-1"/>
    <n v="0"/>
    <n v="45"/>
    <x v="1"/>
    <n v="0.967741935483871"/>
    <n v="1"/>
    <n v="1"/>
  </r>
  <r>
    <d v="2020-12-06T00:00:00"/>
    <x v="3"/>
    <n v="19"/>
    <n v="400"/>
    <n v="39"/>
    <n v="5"/>
    <n v="296"/>
    <n v="23"/>
    <n v="2"/>
    <n v="0"/>
    <n v="24"/>
    <x v="1"/>
    <n v="1.0540540540540539"/>
    <n v="1"/>
    <n v="1"/>
  </r>
  <r>
    <d v="2020-12-06T00:00:00"/>
    <x v="4"/>
    <n v="29"/>
    <n v="971"/>
    <n v="44"/>
    <n v="9"/>
    <n v="60"/>
    <n v="33"/>
    <n v="2"/>
    <n v="0"/>
    <n v="52"/>
    <x v="1"/>
    <n v="1.0476190476190477"/>
    <n v="1"/>
    <n v="0"/>
  </r>
  <r>
    <d v="2020-12-06T00:00:00"/>
    <x v="5"/>
    <n v="43"/>
    <n v="795"/>
    <n v="45"/>
    <n v="6"/>
    <n v="170"/>
    <n v="47"/>
    <n v="2"/>
    <n v="0"/>
    <n v="36"/>
    <x v="1"/>
    <n v="1.0465116279069768"/>
    <n v="1"/>
    <n v="0"/>
  </r>
  <r>
    <d v="2020-12-06T00:00:00"/>
    <x v="6"/>
    <n v="53"/>
    <n v="1782"/>
    <n v="66"/>
    <n v="11"/>
    <n v="229"/>
    <n v="53"/>
    <n v="1"/>
    <n v="-1"/>
    <n v="66"/>
    <x v="1"/>
    <n v="1.0153846153846153"/>
    <n v="0.91666666666666663"/>
    <n v="5"/>
  </r>
  <r>
    <d v="2020-12-06T00:00:00"/>
    <x v="7"/>
    <n v="260"/>
    <n v="6644"/>
    <n v="352"/>
    <n v="60"/>
    <n v="1257"/>
    <n v="274"/>
    <n v="10"/>
    <n v="-4"/>
    <n v="349"/>
    <x v="1"/>
    <n v="1.0292397660818713"/>
    <n v="0.9375"/>
    <n v="7"/>
  </r>
  <r>
    <d v="2020-12-07T00:00:00"/>
    <x v="0"/>
    <n v="26"/>
    <n v="1244"/>
    <n v="87"/>
    <n v="17"/>
    <n v="293"/>
    <n v="37"/>
    <n v="-11"/>
    <n v="-5"/>
    <n v="140"/>
    <x v="2"/>
    <n v="0.88775510204081631"/>
    <n v="0.77272727272727271"/>
    <n v="2"/>
  </r>
  <r>
    <d v="2020-12-07T00:00:00"/>
    <x v="1"/>
    <n v="16"/>
    <n v="552"/>
    <n v="29"/>
    <n v="4"/>
    <n v="79"/>
    <n v="16"/>
    <n v="-1"/>
    <n v="-2"/>
    <n v="39"/>
    <x v="2"/>
    <n v="0.96666666666666667"/>
    <n v="0.66666666666666663"/>
    <n v="1"/>
  </r>
  <r>
    <d v="2020-12-07T00:00:00"/>
    <x v="2"/>
    <n v="16"/>
    <n v="624"/>
    <n v="23"/>
    <n v="2"/>
    <n v="136"/>
    <n v="18"/>
    <n v="-7"/>
    <n v="1"/>
    <n v="162"/>
    <x v="2"/>
    <n v="0.76666666666666672"/>
    <n v="2"/>
    <n v="3"/>
  </r>
  <r>
    <d v="2020-12-07T00:00:00"/>
    <x v="3"/>
    <n v="20"/>
    <n v="377"/>
    <n v="33"/>
    <n v="3"/>
    <n v="296"/>
    <n v="22"/>
    <n v="-6"/>
    <n v="-2"/>
    <n v="45"/>
    <x v="2"/>
    <n v="0.84615384615384615"/>
    <n v="0.6"/>
    <n v="0"/>
  </r>
  <r>
    <d v="2020-12-07T00:00:00"/>
    <x v="4"/>
    <n v="41"/>
    <n v="899"/>
    <n v="40"/>
    <n v="9"/>
    <n v="62"/>
    <n v="44"/>
    <n v="-4"/>
    <n v="0"/>
    <n v="114"/>
    <x v="2"/>
    <n v="0.90909090909090906"/>
    <n v="1"/>
    <n v="2"/>
  </r>
  <r>
    <d v="2020-12-07T00:00:00"/>
    <x v="5"/>
    <n v="54"/>
    <n v="783"/>
    <n v="51"/>
    <n v="6"/>
    <n v="170"/>
    <n v="65"/>
    <n v="6"/>
    <n v="0"/>
    <n v="77"/>
    <x v="2"/>
    <n v="1.1333333333333333"/>
    <n v="1"/>
    <n v="0"/>
  </r>
  <r>
    <d v="2020-12-07T00:00:00"/>
    <x v="6"/>
    <n v="59"/>
    <n v="1517"/>
    <n v="59"/>
    <n v="9"/>
    <n v="237"/>
    <n v="60"/>
    <n v="-7"/>
    <n v="-2"/>
    <n v="317"/>
    <x v="2"/>
    <n v="0.89393939393939392"/>
    <n v="0.81818181818181823"/>
    <n v="8"/>
  </r>
  <r>
    <d v="2020-12-07T00:00:00"/>
    <x v="7"/>
    <n v="232"/>
    <n v="5996"/>
    <n v="322"/>
    <n v="50"/>
    <n v="1273"/>
    <n v="262"/>
    <n v="-30"/>
    <n v="-10"/>
    <n v="894"/>
    <x v="2"/>
    <n v="0.91477272727272729"/>
    <n v="0.83333333333333337"/>
    <n v="16"/>
  </r>
  <r>
    <d v="2020-12-08T00:00:00"/>
    <x v="0"/>
    <n v="45"/>
    <n v="1193"/>
    <n v="84"/>
    <n v="16"/>
    <n v="293"/>
    <n v="47"/>
    <n v="-3"/>
    <n v="-1"/>
    <n v="98"/>
    <x v="3"/>
    <n v="0.96551724137931039"/>
    <n v="0.94117647058823528"/>
    <n v="0"/>
  </r>
  <r>
    <d v="2020-12-08T00:00:00"/>
    <x v="1"/>
    <n v="51"/>
    <n v="596"/>
    <n v="28"/>
    <n v="4"/>
    <n v="80"/>
    <n v="51"/>
    <n v="-1"/>
    <n v="0"/>
    <n v="6"/>
    <x v="3"/>
    <n v="0.96551724137931039"/>
    <n v="1"/>
    <n v="1"/>
  </r>
  <r>
    <d v="2020-12-08T00:00:00"/>
    <x v="2"/>
    <n v="31"/>
    <n v="606"/>
    <n v="27"/>
    <n v="3"/>
    <n v="137"/>
    <n v="30"/>
    <n v="4"/>
    <n v="1"/>
    <n v="47"/>
    <x v="3"/>
    <n v="1.173913043478261"/>
    <n v="1.5"/>
    <n v="1"/>
  </r>
  <r>
    <d v="2020-12-08T00:00:00"/>
    <x v="3"/>
    <n v="34"/>
    <n v="377"/>
    <n v="33"/>
    <n v="3"/>
    <n v="297"/>
    <n v="34"/>
    <n v="0"/>
    <n v="0"/>
    <n v="33"/>
    <x v="3"/>
    <n v="1"/>
    <n v="1"/>
    <n v="1"/>
  </r>
  <r>
    <d v="2020-12-08T00:00:00"/>
    <x v="4"/>
    <n v="43"/>
    <n v="871"/>
    <n v="41"/>
    <n v="9"/>
    <n v="65"/>
    <n v="48"/>
    <n v="1"/>
    <n v="0"/>
    <n v="73"/>
    <x v="3"/>
    <n v="1.0249999999999999"/>
    <n v="1"/>
    <n v="3"/>
  </r>
  <r>
    <d v="2020-12-08T00:00:00"/>
    <x v="5"/>
    <n v="50"/>
    <n v="785"/>
    <n v="52"/>
    <n v="6"/>
    <n v="172"/>
    <n v="53"/>
    <n v="1"/>
    <n v="0"/>
    <n v="49"/>
    <x v="3"/>
    <n v="1.0196078431372548"/>
    <n v="1"/>
    <n v="2"/>
  </r>
  <r>
    <d v="2020-12-08T00:00:00"/>
    <x v="6"/>
    <n v="75"/>
    <n v="1499"/>
    <n v="59"/>
    <n v="10"/>
    <n v="237"/>
    <n v="79"/>
    <n v="0"/>
    <n v="1"/>
    <n v="97"/>
    <x v="3"/>
    <n v="1"/>
    <n v="1.1111111111111112"/>
    <n v="0"/>
  </r>
  <r>
    <d v="2020-12-08T00:00:00"/>
    <x v="7"/>
    <n v="329"/>
    <n v="5927"/>
    <n v="324"/>
    <n v="51"/>
    <n v="1281"/>
    <n v="342"/>
    <n v="2"/>
    <n v="1"/>
    <n v="403"/>
    <x v="3"/>
    <n v="1.0062111801242235"/>
    <n v="1.02"/>
    <n v="8"/>
  </r>
  <r>
    <d v="2020-12-09T00:00:00"/>
    <x v="0"/>
    <n v="35"/>
    <n v="1146"/>
    <n v="76"/>
    <n v="14"/>
    <n v="293"/>
    <n v="43"/>
    <n v="-8"/>
    <n v="-2"/>
    <n v="90"/>
    <x v="4"/>
    <n v="0.90476190476190477"/>
    <n v="0.875"/>
    <n v="0"/>
  </r>
  <r>
    <d v="2020-12-09T00:00:00"/>
    <x v="1"/>
    <n v="25"/>
    <n v="596"/>
    <n v="27"/>
    <n v="3"/>
    <n v="81"/>
    <n v="24"/>
    <n v="-1"/>
    <n v="-1"/>
    <n v="23"/>
    <x v="4"/>
    <n v="0.9642857142857143"/>
    <n v="0.75"/>
    <n v="1"/>
  </r>
  <r>
    <d v="2020-12-09T00:00:00"/>
    <x v="2"/>
    <n v="16"/>
    <n v="591"/>
    <n v="27"/>
    <n v="4"/>
    <n v="137"/>
    <n v="20"/>
    <n v="0"/>
    <n v="1"/>
    <n v="35"/>
    <x v="4"/>
    <n v="1"/>
    <n v="1.3333333333333333"/>
    <n v="0"/>
  </r>
  <r>
    <d v="2020-12-09T00:00:00"/>
    <x v="3"/>
    <n v="30"/>
    <n v="364"/>
    <n v="34"/>
    <n v="3"/>
    <n v="300"/>
    <n v="31"/>
    <n v="1"/>
    <n v="0"/>
    <n v="41"/>
    <x v="4"/>
    <n v="1.0303030303030303"/>
    <n v="1"/>
    <n v="3"/>
  </r>
  <r>
    <d v="2020-12-09T00:00:00"/>
    <x v="4"/>
    <n v="34"/>
    <n v="856"/>
    <n v="42"/>
    <n v="9"/>
    <n v="67"/>
    <n v="39"/>
    <n v="1"/>
    <n v="0"/>
    <n v="53"/>
    <x v="4"/>
    <n v="1.024390243902439"/>
    <n v="1"/>
    <n v="2"/>
  </r>
  <r>
    <d v="2020-12-09T00:00:00"/>
    <x v="5"/>
    <n v="65"/>
    <n v="817"/>
    <n v="53"/>
    <n v="6"/>
    <n v="172"/>
    <n v="77"/>
    <n v="1"/>
    <n v="0"/>
    <n v="45"/>
    <x v="4"/>
    <n v="1.0192307692307692"/>
    <n v="1"/>
    <n v="0"/>
  </r>
  <r>
    <d v="2020-12-09T00:00:00"/>
    <x v="6"/>
    <n v="50"/>
    <n v="1425"/>
    <n v="62"/>
    <n v="11"/>
    <n v="237"/>
    <n v="52"/>
    <n v="3"/>
    <n v="1"/>
    <n v="126"/>
    <x v="4"/>
    <n v="1.0508474576271187"/>
    <n v="1.1000000000000001"/>
    <n v="0"/>
  </r>
  <r>
    <d v="2020-12-09T00:00:00"/>
    <x v="7"/>
    <n v="255"/>
    <n v="5795"/>
    <n v="321"/>
    <n v="50"/>
    <n v="1287"/>
    <n v="286"/>
    <n v="-3"/>
    <n v="-1"/>
    <n v="413"/>
    <x v="4"/>
    <n v="0.9907407407407407"/>
    <n v="0.98039215686274506"/>
    <n v="6"/>
  </r>
  <r>
    <d v="2020-12-10T00:00:00"/>
    <x v="0"/>
    <n v="34"/>
    <n v="1093"/>
    <n v="78"/>
    <n v="13"/>
    <n v="293"/>
    <n v="43"/>
    <n v="2"/>
    <n v="-1"/>
    <n v="96"/>
    <x v="5"/>
    <n v="1.0263157894736843"/>
    <n v="0.9285714285714286"/>
    <n v="0"/>
  </r>
  <r>
    <d v="2020-12-10T00:00:00"/>
    <x v="1"/>
    <n v="21"/>
    <n v="573"/>
    <n v="28"/>
    <n v="3"/>
    <n v="81"/>
    <n v="23"/>
    <n v="1"/>
    <n v="0"/>
    <n v="46"/>
    <x v="5"/>
    <n v="1.037037037037037"/>
    <n v="1"/>
    <n v="0"/>
  </r>
  <r>
    <d v="2020-12-10T00:00:00"/>
    <x v="2"/>
    <n v="25"/>
    <n v="571"/>
    <n v="23"/>
    <n v="4"/>
    <n v="139"/>
    <n v="25"/>
    <n v="-4"/>
    <n v="0"/>
    <n v="43"/>
    <x v="5"/>
    <n v="0.85185185185185186"/>
    <n v="1"/>
    <n v="2"/>
  </r>
  <r>
    <d v="2020-12-10T00:00:00"/>
    <x v="3"/>
    <n v="32"/>
    <n v="383"/>
    <n v="26"/>
    <n v="2"/>
    <n v="300"/>
    <n v="37"/>
    <n v="-8"/>
    <n v="-1"/>
    <n v="18"/>
    <x v="5"/>
    <n v="0.76470588235294112"/>
    <n v="0.66666666666666663"/>
    <n v="0"/>
  </r>
  <r>
    <d v="2020-12-10T00:00:00"/>
    <x v="4"/>
    <n v="39"/>
    <n v="839"/>
    <n v="42"/>
    <n v="10"/>
    <n v="68"/>
    <n v="37"/>
    <n v="0"/>
    <n v="1"/>
    <n v="53"/>
    <x v="5"/>
    <n v="1"/>
    <n v="1.1111111111111112"/>
    <n v="1"/>
  </r>
  <r>
    <d v="2020-12-10T00:00:00"/>
    <x v="5"/>
    <n v="47"/>
    <n v="824"/>
    <n v="52"/>
    <n v="7"/>
    <n v="173"/>
    <n v="66"/>
    <n v="-1"/>
    <n v="1"/>
    <n v="58"/>
    <x v="5"/>
    <n v="0.98113207547169812"/>
    <n v="1.1666666666666667"/>
    <n v="1"/>
  </r>
  <r>
    <d v="2020-12-10T00:00:00"/>
    <x v="6"/>
    <n v="126"/>
    <n v="1401"/>
    <n v="60"/>
    <n v="12"/>
    <n v="239"/>
    <n v="127"/>
    <n v="-2"/>
    <n v="1"/>
    <n v="149"/>
    <x v="5"/>
    <n v="0.967741935483871"/>
    <n v="1.0909090909090908"/>
    <n v="2"/>
  </r>
  <r>
    <d v="2020-12-10T00:00:00"/>
    <x v="7"/>
    <n v="324"/>
    <n v="5684"/>
    <n v="309"/>
    <n v="51"/>
    <n v="1293"/>
    <n v="358"/>
    <n v="-12"/>
    <n v="1"/>
    <n v="463"/>
    <x v="5"/>
    <n v="0.96261682242990654"/>
    <n v="1.02"/>
    <n v="6"/>
  </r>
  <r>
    <d v="2020-12-11T00:00:00"/>
    <x v="0"/>
    <n v="43"/>
    <n v="1017"/>
    <n v="74"/>
    <n v="13"/>
    <n v="296"/>
    <n v="51"/>
    <n v="-4"/>
    <n v="0"/>
    <n v="124"/>
    <x v="6"/>
    <n v="0.94871794871794868"/>
    <n v="1"/>
    <n v="3"/>
  </r>
  <r>
    <d v="2020-12-11T00:00:00"/>
    <x v="1"/>
    <n v="28"/>
    <n v="547"/>
    <n v="29"/>
    <n v="4"/>
    <n v="81"/>
    <n v="31"/>
    <n v="1"/>
    <n v="1"/>
    <n v="57"/>
    <x v="6"/>
    <n v="1.0357142857142858"/>
    <n v="1.3333333333333333"/>
    <n v="0"/>
  </r>
  <r>
    <d v="2020-12-11T00:00:00"/>
    <x v="2"/>
    <n v="18"/>
    <n v="545"/>
    <n v="25"/>
    <n v="4"/>
    <n v="139"/>
    <n v="19"/>
    <n v="2"/>
    <n v="0"/>
    <n v="45"/>
    <x v="6"/>
    <n v="1.0869565217391304"/>
    <n v="1"/>
    <n v="0"/>
  </r>
  <r>
    <d v="2020-12-11T00:00:00"/>
    <x v="3"/>
    <n v="30"/>
    <n v="403"/>
    <n v="30"/>
    <n v="2"/>
    <n v="301"/>
    <n v="31"/>
    <n v="4"/>
    <n v="0"/>
    <n v="9"/>
    <x v="6"/>
    <n v="1.1538461538461537"/>
    <n v="1"/>
    <n v="1"/>
  </r>
  <r>
    <d v="2020-12-11T00:00:00"/>
    <x v="4"/>
    <n v="58"/>
    <n v="851"/>
    <n v="39"/>
    <n v="9"/>
    <n v="69"/>
    <n v="64"/>
    <n v="-3"/>
    <n v="-1"/>
    <n v="51"/>
    <x v="6"/>
    <n v="0.9285714285714286"/>
    <n v="0.9"/>
    <n v="1"/>
  </r>
  <r>
    <d v="2020-12-11T00:00:00"/>
    <x v="5"/>
    <n v="72"/>
    <n v="852"/>
    <n v="50"/>
    <n v="11"/>
    <n v="174"/>
    <n v="91"/>
    <n v="-2"/>
    <n v="4"/>
    <n v="63"/>
    <x v="6"/>
    <n v="0.96153846153846156"/>
    <n v="1.5714285714285714"/>
    <n v="1"/>
  </r>
  <r>
    <d v="2020-12-11T00:00:00"/>
    <x v="6"/>
    <n v="52"/>
    <n v="1315"/>
    <n v="51"/>
    <n v="11"/>
    <n v="243"/>
    <n v="53"/>
    <n v="-9"/>
    <n v="-1"/>
    <n v="135"/>
    <x v="6"/>
    <n v="0.85"/>
    <n v="0.91666666666666663"/>
    <n v="4"/>
  </r>
  <r>
    <d v="2020-12-11T00:00:00"/>
    <x v="7"/>
    <n v="301"/>
    <n v="5530"/>
    <n v="298"/>
    <n v="54"/>
    <n v="1303"/>
    <n v="340"/>
    <n v="-11"/>
    <n v="3"/>
    <n v="484"/>
    <x v="6"/>
    <n v="0.96440129449838186"/>
    <n v="1.0588235294117647"/>
    <n v="10"/>
  </r>
  <r>
    <d v="2020-12-12T00:00:00"/>
    <x v="0"/>
    <n v="41"/>
    <n v="993"/>
    <n v="74"/>
    <n v="13"/>
    <n v="296"/>
    <n v="42"/>
    <n v="0"/>
    <n v="0"/>
    <n v="66"/>
    <x v="7"/>
    <n v="1"/>
    <n v="1"/>
    <n v="0"/>
  </r>
  <r>
    <d v="2020-12-12T00:00:00"/>
    <x v="1"/>
    <n v="26"/>
    <n v="533"/>
    <n v="28"/>
    <n v="4"/>
    <n v="82"/>
    <n v="26"/>
    <n v="-1"/>
    <n v="0"/>
    <n v="39"/>
    <x v="7"/>
    <n v="0.96551724137931039"/>
    <n v="1"/>
    <n v="1"/>
  </r>
  <r>
    <d v="2020-12-12T00:00:00"/>
    <x v="2"/>
    <n v="24"/>
    <n v="498"/>
    <n v="22"/>
    <n v="4"/>
    <n v="139"/>
    <n v="23"/>
    <n v="-3"/>
    <n v="0"/>
    <n v="70"/>
    <x v="7"/>
    <n v="0.88"/>
    <n v="1"/>
    <n v="0"/>
  </r>
  <r>
    <d v="2020-12-12T00:00:00"/>
    <x v="3"/>
    <n v="48"/>
    <n v="424"/>
    <n v="32"/>
    <n v="2"/>
    <n v="301"/>
    <n v="48"/>
    <n v="2"/>
    <n v="0"/>
    <n v="27"/>
    <x v="7"/>
    <n v="1.0666666666666667"/>
    <n v="1"/>
    <n v="0"/>
  </r>
  <r>
    <d v="2020-12-12T00:00:00"/>
    <x v="4"/>
    <n v="63"/>
    <n v="851"/>
    <n v="38"/>
    <n v="8"/>
    <n v="70"/>
    <n v="68"/>
    <n v="-1"/>
    <n v="-1"/>
    <n v="67"/>
    <x v="7"/>
    <n v="0.97435897435897434"/>
    <n v="0.88888888888888884"/>
    <n v="1"/>
  </r>
  <r>
    <d v="2020-12-12T00:00:00"/>
    <x v="5"/>
    <n v="73"/>
    <n v="905"/>
    <n v="56"/>
    <n v="10"/>
    <n v="174"/>
    <n v="96"/>
    <n v="6"/>
    <n v="-1"/>
    <n v="43"/>
    <x v="7"/>
    <n v="1.1200000000000001"/>
    <n v="0.90909090909090906"/>
    <n v="0"/>
  </r>
  <r>
    <d v="2020-12-12T00:00:00"/>
    <x v="6"/>
    <n v="98"/>
    <n v="1317"/>
    <n v="47"/>
    <n v="11"/>
    <n v="244"/>
    <n v="93"/>
    <n v="-4"/>
    <n v="0"/>
    <n v="90"/>
    <x v="7"/>
    <n v="0.92156862745098034"/>
    <n v="1"/>
    <n v="1"/>
  </r>
  <r>
    <d v="2020-12-12T00:00:00"/>
    <x v="7"/>
    <n v="373"/>
    <n v="5521"/>
    <n v="297"/>
    <n v="52"/>
    <n v="1306"/>
    <n v="396"/>
    <n v="-1"/>
    <n v="-2"/>
    <n v="402"/>
    <x v="7"/>
    <n v="0.99664429530201337"/>
    <n v="0.96296296296296291"/>
    <n v="3"/>
  </r>
  <r>
    <d v="2020-12-13T00:00:00"/>
    <x v="0"/>
    <n v="61"/>
    <n v="955"/>
    <n v="75"/>
    <n v="13"/>
    <n v="298"/>
    <n v="65"/>
    <n v="1"/>
    <n v="0"/>
    <n v="101"/>
    <x v="8"/>
    <n v="1.0135135135135136"/>
    <n v="1"/>
    <n v="2"/>
  </r>
  <r>
    <d v="2020-12-13T00:00:00"/>
    <x v="1"/>
    <n v="48"/>
    <n v="563"/>
    <n v="30"/>
    <n v="4"/>
    <n v="84"/>
    <n v="49"/>
    <n v="2"/>
    <n v="0"/>
    <n v="17"/>
    <x v="8"/>
    <n v="1.0714285714285714"/>
    <n v="1"/>
    <n v="2"/>
  </r>
  <r>
    <d v="2020-12-13T00:00:00"/>
    <x v="2"/>
    <n v="18"/>
    <n v="486"/>
    <n v="21"/>
    <n v="6"/>
    <n v="139"/>
    <n v="20"/>
    <n v="-1"/>
    <n v="2"/>
    <n v="32"/>
    <x v="8"/>
    <n v="0.95454545454545459"/>
    <n v="1.5"/>
    <n v="0"/>
  </r>
  <r>
    <d v="2020-12-13T00:00:00"/>
    <x v="3"/>
    <n v="36"/>
    <n v="452"/>
    <n v="36"/>
    <n v="1"/>
    <n v="302"/>
    <n v="41"/>
    <n v="4"/>
    <n v="-1"/>
    <n v="12"/>
    <x v="8"/>
    <n v="1.125"/>
    <n v="0.5"/>
    <n v="1"/>
  </r>
  <r>
    <d v="2020-12-13T00:00:00"/>
    <x v="4"/>
    <n v="43"/>
    <n v="848"/>
    <n v="42"/>
    <n v="8"/>
    <n v="70"/>
    <n v="52"/>
    <n v="4"/>
    <n v="0"/>
    <n v="55"/>
    <x v="8"/>
    <n v="1.1052631578947369"/>
    <n v="1"/>
    <n v="0"/>
  </r>
  <r>
    <d v="2020-12-13T00:00:00"/>
    <x v="5"/>
    <n v="70"/>
    <n v="952"/>
    <n v="62"/>
    <n v="11"/>
    <n v="174"/>
    <n v="88"/>
    <n v="6"/>
    <n v="1"/>
    <n v="41"/>
    <x v="8"/>
    <n v="1.1071428571428572"/>
    <n v="1.1000000000000001"/>
    <n v="0"/>
  </r>
  <r>
    <d v="2020-12-13T00:00:00"/>
    <x v="6"/>
    <n v="47"/>
    <n v="1304"/>
    <n v="44"/>
    <n v="12"/>
    <n v="245"/>
    <n v="56"/>
    <n v="-3"/>
    <n v="1"/>
    <n v="68"/>
    <x v="8"/>
    <n v="0.93617021276595747"/>
    <n v="1.0909090909090908"/>
    <n v="1"/>
  </r>
  <r>
    <d v="2020-12-13T00:00:00"/>
    <x v="7"/>
    <n v="323"/>
    <n v="5560"/>
    <n v="310"/>
    <n v="55"/>
    <n v="1312"/>
    <n v="371"/>
    <n v="13"/>
    <n v="3"/>
    <n v="326"/>
    <x v="8"/>
    <n v="1.0437710437710437"/>
    <n v="1.0576923076923077"/>
    <n v="6"/>
  </r>
  <r>
    <d v="2020-12-14T00:00:00"/>
    <x v="0"/>
    <n v="17"/>
    <n v="929"/>
    <n v="72"/>
    <n v="14"/>
    <n v="300"/>
    <n v="21"/>
    <n v="-3"/>
    <n v="1"/>
    <n v="45"/>
    <x v="9"/>
    <n v="0.96"/>
    <n v="1.0769230769230769"/>
    <n v="2"/>
  </r>
  <r>
    <d v="2020-12-14T00:00:00"/>
    <x v="1"/>
    <n v="18"/>
    <n v="562"/>
    <n v="30"/>
    <n v="5"/>
    <n v="84"/>
    <n v="18"/>
    <n v="0"/>
    <n v="1"/>
    <n v="19"/>
    <x v="9"/>
    <n v="1"/>
    <n v="1.25"/>
    <n v="0"/>
  </r>
  <r>
    <d v="2020-12-14T00:00:00"/>
    <x v="2"/>
    <n v="10"/>
    <n v="470"/>
    <n v="20"/>
    <n v="6"/>
    <n v="140"/>
    <n v="13"/>
    <n v="-1"/>
    <n v="0"/>
    <n v="28"/>
    <x v="9"/>
    <n v="0.95238095238095233"/>
    <n v="1"/>
    <n v="1"/>
  </r>
  <r>
    <d v="2020-12-14T00:00:00"/>
    <x v="3"/>
    <n v="9"/>
    <n v="436"/>
    <n v="38"/>
    <n v="1"/>
    <n v="303"/>
    <n v="12"/>
    <n v="2"/>
    <n v="0"/>
    <n v="27"/>
    <x v="9"/>
    <n v="1.0555555555555556"/>
    <n v="1"/>
    <n v="1"/>
  </r>
  <r>
    <d v="2020-12-14T00:00:00"/>
    <x v="4"/>
    <n v="70"/>
    <n v="867"/>
    <n v="44"/>
    <n v="8"/>
    <n v="71"/>
    <n v="82"/>
    <n v="2"/>
    <n v="0"/>
    <n v="63"/>
    <x v="9"/>
    <n v="1.0476190476190477"/>
    <n v="1"/>
    <n v="1"/>
  </r>
  <r>
    <d v="2020-12-14T00:00:00"/>
    <x v="5"/>
    <n v="56"/>
    <n v="1005"/>
    <n v="67"/>
    <n v="8"/>
    <n v="175"/>
    <n v="78"/>
    <n v="5"/>
    <n v="-3"/>
    <n v="24"/>
    <x v="9"/>
    <n v="1.0806451612903225"/>
    <n v="0.72727272727272729"/>
    <n v="1"/>
  </r>
  <r>
    <d v="2020-12-14T00:00:00"/>
    <x v="6"/>
    <n v="47"/>
    <n v="1329"/>
    <n v="48"/>
    <n v="14"/>
    <n v="246"/>
    <n v="50"/>
    <n v="4"/>
    <n v="2"/>
    <n v="24"/>
    <x v="9"/>
    <n v="1.0909090909090908"/>
    <n v="1.1666666666666667"/>
    <n v="1"/>
  </r>
  <r>
    <d v="2020-12-14T00:00:00"/>
    <x v="7"/>
    <n v="227"/>
    <n v="5598"/>
    <n v="319"/>
    <n v="56"/>
    <n v="1319"/>
    <n v="274"/>
    <n v="9"/>
    <n v="1"/>
    <n v="230"/>
    <x v="9"/>
    <n v="1.0290322580645161"/>
    <n v="1.0181818181818181"/>
    <n v="7"/>
  </r>
  <r>
    <d v="2020-12-15T00:00:00"/>
    <x v="0"/>
    <n v="40"/>
    <n v="907"/>
    <n v="63"/>
    <n v="13"/>
    <n v="301"/>
    <n v="45"/>
    <n v="-9"/>
    <n v="-1"/>
    <n v="66"/>
    <x v="10"/>
    <n v="0.875"/>
    <n v="0.9285714285714286"/>
    <n v="1"/>
  </r>
  <r>
    <d v="2020-12-15T00:00:00"/>
    <x v="1"/>
    <n v="32"/>
    <n v="570"/>
    <n v="30"/>
    <n v="4"/>
    <n v="84"/>
    <n v="34"/>
    <n v="0"/>
    <n v="-1"/>
    <n v="26"/>
    <x v="10"/>
    <n v="1"/>
    <n v="0.8"/>
    <n v="0"/>
  </r>
  <r>
    <d v="2020-12-15T00:00:00"/>
    <x v="2"/>
    <n v="34"/>
    <n v="462"/>
    <n v="18"/>
    <n v="6"/>
    <n v="140"/>
    <n v="33"/>
    <n v="-2"/>
    <n v="0"/>
    <n v="41"/>
    <x v="10"/>
    <n v="0.9"/>
    <n v="1"/>
    <n v="0"/>
  </r>
  <r>
    <d v="2020-12-15T00:00:00"/>
    <x v="3"/>
    <n v="28"/>
    <n v="448"/>
    <n v="35"/>
    <n v="2"/>
    <n v="303"/>
    <n v="28"/>
    <n v="-3"/>
    <n v="1"/>
    <n v="16"/>
    <x v="10"/>
    <n v="0.92105263157894735"/>
    <n v="2"/>
    <n v="0"/>
  </r>
  <r>
    <d v="2020-12-15T00:00:00"/>
    <x v="4"/>
    <n v="29"/>
    <n v="869"/>
    <n v="44"/>
    <n v="8"/>
    <n v="72"/>
    <n v="45"/>
    <n v="0"/>
    <n v="0"/>
    <n v="42"/>
    <x v="10"/>
    <n v="1"/>
    <n v="1"/>
    <n v="1"/>
  </r>
  <r>
    <d v="2020-12-15T00:00:00"/>
    <x v="5"/>
    <n v="101"/>
    <n v="1054"/>
    <n v="64"/>
    <n v="7"/>
    <n v="175"/>
    <n v="118"/>
    <n v="-3"/>
    <n v="-1"/>
    <n v="69"/>
    <x v="10"/>
    <n v="0.95522388059701491"/>
    <n v="0.875"/>
    <n v="0"/>
  </r>
  <r>
    <d v="2020-12-15T00:00:00"/>
    <x v="6"/>
    <n v="116"/>
    <n v="1343"/>
    <n v="47"/>
    <n v="13"/>
    <n v="248"/>
    <n v="121"/>
    <n v="-1"/>
    <n v="-1"/>
    <n v="105"/>
    <x v="10"/>
    <n v="0.97916666666666663"/>
    <n v="0.9285714285714286"/>
    <n v="2"/>
  </r>
  <r>
    <d v="2020-12-15T00:00:00"/>
    <x v="7"/>
    <n v="380"/>
    <n v="5653"/>
    <n v="301"/>
    <n v="53"/>
    <n v="1323"/>
    <n v="424"/>
    <n v="-18"/>
    <n v="-3"/>
    <n v="365"/>
    <x v="10"/>
    <n v="0.94357366771159878"/>
    <n v="0.9464285714285714"/>
    <n v="4"/>
  </r>
  <r>
    <d v="2020-12-16T00:00:00"/>
    <x v="0"/>
    <n v="53"/>
    <n v="899"/>
    <n v="69"/>
    <n v="12"/>
    <n v="303"/>
    <n v="61"/>
    <n v="6"/>
    <n v="-1"/>
    <n v="67"/>
    <x v="11"/>
    <n v="1.0952380952380953"/>
    <n v="0.92307692307692313"/>
    <n v="2"/>
  </r>
  <r>
    <d v="2020-12-16T00:00:00"/>
    <x v="1"/>
    <n v="15"/>
    <n v="555"/>
    <n v="28"/>
    <n v="4"/>
    <n v="84"/>
    <n v="16"/>
    <n v="-2"/>
    <n v="0"/>
    <n v="31"/>
    <x v="11"/>
    <n v="0.93333333333333335"/>
    <n v="1"/>
    <n v="0"/>
  </r>
  <r>
    <d v="2020-12-16T00:00:00"/>
    <x v="2"/>
    <n v="15"/>
    <n v="433"/>
    <n v="18"/>
    <n v="5"/>
    <n v="141"/>
    <n v="23"/>
    <n v="0"/>
    <n v="-1"/>
    <n v="51"/>
    <x v="11"/>
    <n v="1"/>
    <n v="0.83333333333333337"/>
    <n v="1"/>
  </r>
  <r>
    <d v="2020-12-16T00:00:00"/>
    <x v="3"/>
    <n v="42"/>
    <n v="458"/>
    <n v="36"/>
    <n v="1"/>
    <n v="303"/>
    <n v="41"/>
    <n v="1"/>
    <n v="-1"/>
    <n v="32"/>
    <x v="11"/>
    <n v="1.0285714285714285"/>
    <n v="0.5"/>
    <n v="0"/>
  </r>
  <r>
    <d v="2020-12-16T00:00:00"/>
    <x v="4"/>
    <n v="49"/>
    <n v="865"/>
    <n v="44"/>
    <n v="9"/>
    <n v="72"/>
    <n v="61"/>
    <n v="0"/>
    <n v="1"/>
    <n v="65"/>
    <x v="11"/>
    <n v="1"/>
    <n v="1.125"/>
    <n v="0"/>
  </r>
  <r>
    <d v="2020-12-16T00:00:00"/>
    <x v="5"/>
    <n v="91"/>
    <n v="1100"/>
    <n v="62"/>
    <n v="6"/>
    <n v="175"/>
    <n v="110"/>
    <n v="-2"/>
    <n v="-1"/>
    <n v="63"/>
    <x v="11"/>
    <n v="0.96875"/>
    <n v="0.8571428571428571"/>
    <n v="0"/>
  </r>
  <r>
    <d v="2020-12-16T00:00:00"/>
    <x v="6"/>
    <n v="92"/>
    <n v="1308"/>
    <n v="45"/>
    <n v="13"/>
    <n v="249"/>
    <n v="95"/>
    <n v="-2"/>
    <n v="0"/>
    <n v="129"/>
    <x v="11"/>
    <n v="0.95744680851063835"/>
    <n v="1"/>
    <n v="1"/>
  </r>
  <r>
    <d v="2020-12-16T00:00:00"/>
    <x v="7"/>
    <n v="357"/>
    <n v="5618"/>
    <n v="302"/>
    <n v="50"/>
    <n v="1327"/>
    <n v="407"/>
    <n v="1"/>
    <n v="-3"/>
    <n v="438"/>
    <x v="11"/>
    <n v="1.0033222591362125"/>
    <n v="0.94339622641509435"/>
    <n v="4"/>
  </r>
  <r>
    <d v="2020-12-17T00:00:00"/>
    <x v="0"/>
    <n v="46"/>
    <n v="861"/>
    <n v="64"/>
    <n v="14"/>
    <n v="305"/>
    <n v="44"/>
    <n v="-5"/>
    <n v="2"/>
    <n v="80"/>
    <x v="12"/>
    <n v="0.92753623188405798"/>
    <n v="1.1666666666666667"/>
    <n v="2"/>
  </r>
  <r>
    <d v="2020-12-17T00:00:00"/>
    <x v="1"/>
    <n v="29"/>
    <n v="556"/>
    <n v="30"/>
    <n v="5"/>
    <n v="84"/>
    <n v="29"/>
    <n v="2"/>
    <n v="1"/>
    <n v="28"/>
    <x v="12"/>
    <n v="1.0714285714285714"/>
    <n v="1.25"/>
    <n v="0"/>
  </r>
  <r>
    <d v="2020-12-17T00:00:00"/>
    <x v="2"/>
    <n v="7"/>
    <n v="401"/>
    <n v="17"/>
    <n v="6"/>
    <n v="141"/>
    <n v="13"/>
    <n v="-1"/>
    <n v="1"/>
    <n v="44"/>
    <x v="12"/>
    <n v="0.94444444444444442"/>
    <n v="1.2"/>
    <n v="0"/>
  </r>
  <r>
    <d v="2020-12-17T00:00:00"/>
    <x v="3"/>
    <n v="49"/>
    <n v="480"/>
    <n v="36"/>
    <n v="2"/>
    <n v="304"/>
    <n v="51"/>
    <n v="0"/>
    <n v="1"/>
    <n v="28"/>
    <x v="12"/>
    <n v="1"/>
    <n v="2"/>
    <n v="1"/>
  </r>
  <r>
    <d v="2020-12-17T00:00:00"/>
    <x v="4"/>
    <n v="62"/>
    <n v="897"/>
    <n v="46"/>
    <n v="9"/>
    <n v="72"/>
    <n v="72"/>
    <n v="2"/>
    <n v="0"/>
    <n v="40"/>
    <x v="12"/>
    <n v="1.0454545454545454"/>
    <n v="1"/>
    <n v="0"/>
  </r>
  <r>
    <d v="2020-12-17T00:00:00"/>
    <x v="5"/>
    <n v="84"/>
    <n v="1144"/>
    <n v="63"/>
    <n v="6"/>
    <n v="176"/>
    <n v="104"/>
    <n v="1"/>
    <n v="0"/>
    <n v="60"/>
    <x v="12"/>
    <n v="1.0161290322580645"/>
    <n v="1"/>
    <n v="1"/>
  </r>
  <r>
    <d v="2020-12-17T00:00:00"/>
    <x v="6"/>
    <n v="90"/>
    <n v="1302"/>
    <n v="53"/>
    <n v="13"/>
    <n v="250"/>
    <n v="95"/>
    <n v="8"/>
    <n v="0"/>
    <n v="100"/>
    <x v="12"/>
    <n v="1.1777777777777778"/>
    <n v="1"/>
    <n v="1"/>
  </r>
  <r>
    <d v="2020-12-17T00:00:00"/>
    <x v="7"/>
    <n v="367"/>
    <n v="5641"/>
    <n v="309"/>
    <n v="55"/>
    <n v="1332"/>
    <n v="408"/>
    <n v="7"/>
    <n v="5"/>
    <n v="380"/>
    <x v="12"/>
    <n v="1.0231788079470199"/>
    <n v="1.1000000000000001"/>
    <n v="5"/>
  </r>
  <r>
    <d v="2020-12-18T00:00:00"/>
    <x v="0"/>
    <n v="69"/>
    <n v="870"/>
    <n v="58"/>
    <n v="14"/>
    <n v="305"/>
    <n v="77"/>
    <n v="-6"/>
    <n v="0"/>
    <n v="68"/>
    <x v="13"/>
    <n v="0.90625"/>
    <n v="1"/>
    <n v="0"/>
  </r>
  <r>
    <d v="2020-12-18T00:00:00"/>
    <x v="1"/>
    <n v="9"/>
    <n v="534"/>
    <n v="31"/>
    <n v="6"/>
    <n v="84"/>
    <n v="10"/>
    <n v="1"/>
    <n v="1"/>
    <n v="32"/>
    <x v="13"/>
    <n v="1.0333333333333334"/>
    <n v="1.2"/>
    <n v="0"/>
  </r>
  <r>
    <d v="2020-12-18T00:00:00"/>
    <x v="2"/>
    <n v="32"/>
    <n v="404"/>
    <n v="12"/>
    <n v="7"/>
    <n v="141"/>
    <n v="31"/>
    <n v="-5"/>
    <n v="1"/>
    <n v="28"/>
    <x v="13"/>
    <n v="0.70588235294117652"/>
    <n v="1.1666666666666667"/>
    <n v="0"/>
  </r>
  <r>
    <d v="2020-12-18T00:00:00"/>
    <x v="3"/>
    <n v="18"/>
    <n v="478"/>
    <n v="32"/>
    <n v="3"/>
    <n v="306"/>
    <n v="23"/>
    <n v="-4"/>
    <n v="1"/>
    <n v="23"/>
    <x v="13"/>
    <n v="0.88888888888888884"/>
    <n v="1.5"/>
    <n v="2"/>
  </r>
  <r>
    <d v="2020-12-18T00:00:00"/>
    <x v="4"/>
    <n v="62"/>
    <n v="925"/>
    <n v="37"/>
    <n v="8"/>
    <n v="73"/>
    <n v="64"/>
    <n v="-9"/>
    <n v="-1"/>
    <n v="35"/>
    <x v="13"/>
    <n v="0.80434782608695654"/>
    <n v="0.88888888888888884"/>
    <n v="1"/>
  </r>
  <r>
    <d v="2020-12-18T00:00:00"/>
    <x v="5"/>
    <n v="74"/>
    <n v="1195"/>
    <n v="66"/>
    <n v="6"/>
    <n v="176"/>
    <n v="101"/>
    <n v="3"/>
    <n v="0"/>
    <n v="50"/>
    <x v="13"/>
    <n v="1.0476190476190477"/>
    <n v="1"/>
    <n v="0"/>
  </r>
  <r>
    <d v="2020-12-18T00:00:00"/>
    <x v="6"/>
    <n v="75"/>
    <n v="1247"/>
    <n v="45"/>
    <n v="12"/>
    <n v="251"/>
    <n v="83"/>
    <n v="-8"/>
    <n v="-1"/>
    <n v="137"/>
    <x v="13"/>
    <n v="0.84905660377358494"/>
    <n v="0.92307692307692313"/>
    <n v="1"/>
  </r>
  <r>
    <d v="2020-12-18T00:00:00"/>
    <x v="7"/>
    <n v="339"/>
    <n v="5653"/>
    <n v="281"/>
    <n v="56"/>
    <n v="1336"/>
    <n v="389"/>
    <n v="-28"/>
    <n v="1"/>
    <n v="373"/>
    <x v="13"/>
    <n v="0.90938511326860838"/>
    <n v="1.0181818181818181"/>
    <n v="4"/>
  </r>
  <r>
    <d v="2020-12-19T00:00:00"/>
    <x v="0"/>
    <n v="64"/>
    <n v="887"/>
    <n v="59"/>
    <n v="14"/>
    <n v="305"/>
    <n v="67"/>
    <n v="1"/>
    <n v="0"/>
    <n v="50"/>
    <x v="14"/>
    <n v="1.0172413793103448"/>
    <n v="1"/>
    <n v="0"/>
  </r>
  <r>
    <d v="2020-12-19T00:00:00"/>
    <x v="1"/>
    <n v="12"/>
    <n v="486"/>
    <n v="29"/>
    <n v="5"/>
    <n v="84"/>
    <n v="11"/>
    <n v="-2"/>
    <n v="-1"/>
    <n v="59"/>
    <x v="14"/>
    <n v="0.93548387096774188"/>
    <n v="0.83333333333333337"/>
    <n v="0"/>
  </r>
  <r>
    <d v="2020-12-19T00:00:00"/>
    <x v="2"/>
    <n v="26"/>
    <n v="371"/>
    <n v="13"/>
    <n v="6"/>
    <n v="141"/>
    <n v="29"/>
    <n v="1"/>
    <n v="-1"/>
    <n v="62"/>
    <x v="14"/>
    <n v="1.0833333333333333"/>
    <n v="0.8571428571428571"/>
    <n v="0"/>
  </r>
  <r>
    <d v="2020-12-19T00:00:00"/>
    <x v="3"/>
    <n v="13"/>
    <n v="470"/>
    <n v="32"/>
    <n v="3"/>
    <n v="306"/>
    <n v="15"/>
    <n v="0"/>
    <n v="0"/>
    <n v="23"/>
    <x v="14"/>
    <n v="1"/>
    <n v="1"/>
    <n v="0"/>
  </r>
  <r>
    <d v="2020-12-19T00:00:00"/>
    <x v="4"/>
    <n v="57"/>
    <n v="936"/>
    <n v="40"/>
    <n v="8"/>
    <n v="75"/>
    <n v="58"/>
    <n v="3"/>
    <n v="0"/>
    <n v="45"/>
    <x v="14"/>
    <n v="1.0810810810810811"/>
    <n v="1"/>
    <n v="2"/>
  </r>
  <r>
    <d v="2020-12-19T00:00:00"/>
    <x v="5"/>
    <n v="77"/>
    <n v="1216"/>
    <n v="73"/>
    <n v="5"/>
    <n v="176"/>
    <n v="81"/>
    <n v="7"/>
    <n v="-1"/>
    <n v="60"/>
    <x v="14"/>
    <n v="1.106060606060606"/>
    <n v="0.83333333333333337"/>
    <n v="0"/>
  </r>
  <r>
    <d v="2020-12-19T00:00:00"/>
    <x v="6"/>
    <n v="79"/>
    <n v="1243"/>
    <n v="47"/>
    <n v="12"/>
    <n v="251"/>
    <n v="76"/>
    <n v="2"/>
    <n v="0"/>
    <n v="80"/>
    <x v="14"/>
    <n v="1.0444444444444445"/>
    <n v="1"/>
    <n v="0"/>
  </r>
  <r>
    <d v="2020-12-19T00:00:00"/>
    <x v="7"/>
    <n v="328"/>
    <n v="5609"/>
    <n v="293"/>
    <n v="53"/>
    <n v="1338"/>
    <n v="337"/>
    <n v="12"/>
    <n v="-3"/>
    <n v="379"/>
    <x v="14"/>
    <n v="1.0427046263345197"/>
    <n v="0.9464285714285714"/>
    <n v="2"/>
  </r>
  <r>
    <d v="2020-12-20T00:00:00"/>
    <x v="0"/>
    <n v="46"/>
    <n v="882"/>
    <n v="60"/>
    <n v="14"/>
    <n v="305"/>
    <n v="53"/>
    <n v="1"/>
    <n v="0"/>
    <n v="58"/>
    <x v="15"/>
    <n v="1.0169491525423728"/>
    <n v="1"/>
    <n v="0"/>
  </r>
  <r>
    <d v="2020-12-20T00:00:00"/>
    <x v="1"/>
    <n v="13"/>
    <n v="458"/>
    <n v="30"/>
    <n v="4"/>
    <n v="84"/>
    <n v="13"/>
    <n v="1"/>
    <n v="-1"/>
    <n v="41"/>
    <x v="15"/>
    <n v="1.0344827586206897"/>
    <n v="0.8"/>
    <n v="0"/>
  </r>
  <r>
    <d v="2020-12-20T00:00:00"/>
    <x v="2"/>
    <n v="17"/>
    <n v="369"/>
    <n v="14"/>
    <n v="6"/>
    <n v="141"/>
    <n v="17"/>
    <n v="1"/>
    <n v="0"/>
    <n v="19"/>
    <x v="15"/>
    <n v="1.0769230769230769"/>
    <n v="1"/>
    <n v="0"/>
  </r>
  <r>
    <d v="2020-12-20T00:00:00"/>
    <x v="3"/>
    <n v="42"/>
    <n v="489"/>
    <n v="30"/>
    <n v="4"/>
    <n v="307"/>
    <n v="44"/>
    <n v="-2"/>
    <n v="1"/>
    <n v="24"/>
    <x v="15"/>
    <n v="0.9375"/>
    <n v="1.3333333333333333"/>
    <n v="1"/>
  </r>
  <r>
    <d v="2020-12-20T00:00:00"/>
    <x v="4"/>
    <n v="21"/>
    <n v="917"/>
    <n v="42"/>
    <n v="7"/>
    <n v="76"/>
    <n v="26"/>
    <n v="2"/>
    <n v="-1"/>
    <n v="44"/>
    <x v="15"/>
    <n v="1.05"/>
    <n v="0.875"/>
    <n v="1"/>
  </r>
  <r>
    <d v="2020-12-20T00:00:00"/>
    <x v="5"/>
    <n v="61"/>
    <n v="1235"/>
    <n v="76"/>
    <n v="6"/>
    <n v="177"/>
    <n v="64"/>
    <n v="3"/>
    <n v="1"/>
    <n v="44"/>
    <x v="15"/>
    <n v="1.0410958904109588"/>
    <n v="1.2"/>
    <n v="1"/>
  </r>
  <r>
    <d v="2020-12-20T00:00:00"/>
    <x v="6"/>
    <n v="68"/>
    <n v="1246"/>
    <n v="49"/>
    <n v="12"/>
    <n v="251"/>
    <n v="69"/>
    <n v="2"/>
    <n v="0"/>
    <n v="66"/>
    <x v="15"/>
    <n v="1.0425531914893618"/>
    <n v="1"/>
    <n v="0"/>
  </r>
  <r>
    <d v="2020-12-20T00:00:00"/>
    <x v="7"/>
    <n v="268"/>
    <n v="5596"/>
    <n v="301"/>
    <n v="53"/>
    <n v="1341"/>
    <n v="286"/>
    <n v="8"/>
    <n v="0"/>
    <n v="296"/>
    <x v="15"/>
    <n v="1.0273037542662116"/>
    <n v="1"/>
    <n v="3"/>
  </r>
  <r>
    <d v="2020-12-21T00:00:00"/>
    <x v="0"/>
    <n v="10"/>
    <n v="866"/>
    <n v="63"/>
    <n v="15"/>
    <n v="305"/>
    <n v="23"/>
    <n v="3"/>
    <n v="1"/>
    <n v="39"/>
    <x v="16"/>
    <n v="1.05"/>
    <n v="1.0714285714285714"/>
    <n v="0"/>
  </r>
  <r>
    <d v="2020-12-21T00:00:00"/>
    <x v="1"/>
    <n v="12"/>
    <n v="446"/>
    <n v="33"/>
    <n v="4"/>
    <n v="85"/>
    <n v="12"/>
    <n v="3"/>
    <n v="0"/>
    <n v="23"/>
    <x v="16"/>
    <n v="1.1000000000000001"/>
    <n v="1"/>
    <n v="1"/>
  </r>
  <r>
    <d v="2020-12-21T00:00:00"/>
    <x v="2"/>
    <n v="14"/>
    <n v="360"/>
    <n v="14"/>
    <n v="4"/>
    <n v="143"/>
    <n v="17"/>
    <n v="0"/>
    <n v="-2"/>
    <n v="24"/>
    <x v="16"/>
    <n v="1"/>
    <n v="0.66666666666666663"/>
    <n v="2"/>
  </r>
  <r>
    <d v="2020-12-21T00:00:00"/>
    <x v="3"/>
    <n v="44"/>
    <n v="519"/>
    <n v="30"/>
    <n v="4"/>
    <n v="307"/>
    <n v="51"/>
    <n v="0"/>
    <n v="0"/>
    <n v="21"/>
    <x v="16"/>
    <n v="1"/>
    <n v="1"/>
    <n v="0"/>
  </r>
  <r>
    <d v="2020-12-21T00:00:00"/>
    <x v="4"/>
    <n v="39"/>
    <n v="922"/>
    <n v="42"/>
    <n v="8"/>
    <n v="76"/>
    <n v="45"/>
    <n v="0"/>
    <n v="1"/>
    <n v="40"/>
    <x v="16"/>
    <n v="1"/>
    <n v="1.1428571428571428"/>
    <n v="0"/>
  </r>
  <r>
    <d v="2020-12-21T00:00:00"/>
    <x v="5"/>
    <n v="42"/>
    <n v="1248"/>
    <n v="73"/>
    <n v="7"/>
    <n v="177"/>
    <n v="55"/>
    <n v="-3"/>
    <n v="1"/>
    <n v="42"/>
    <x v="16"/>
    <n v="0.96052631578947367"/>
    <n v="1.1666666666666667"/>
    <n v="0"/>
  </r>
  <r>
    <d v="2020-12-21T00:00:00"/>
    <x v="6"/>
    <n v="41"/>
    <n v="1242"/>
    <n v="51"/>
    <n v="9"/>
    <n v="253"/>
    <n v="46"/>
    <n v="2"/>
    <n v="-3"/>
    <n v="48"/>
    <x v="16"/>
    <n v="1.0408163265306123"/>
    <n v="0.75"/>
    <n v="2"/>
  </r>
  <r>
    <d v="2020-12-21T00:00:00"/>
    <x v="7"/>
    <n v="202"/>
    <n v="5603"/>
    <n v="306"/>
    <n v="51"/>
    <n v="1346"/>
    <n v="249"/>
    <n v="5"/>
    <n v="-2"/>
    <n v="237"/>
    <x v="16"/>
    <n v="1.0166112956810631"/>
    <n v="0.96226415094339623"/>
    <n v="5"/>
  </r>
  <r>
    <d v="2020-12-22T00:00:00"/>
    <x v="0"/>
    <n v="68"/>
    <n v="880"/>
    <n v="56"/>
    <n v="15"/>
    <n v="305"/>
    <n v="64"/>
    <n v="-7"/>
    <n v="0"/>
    <n v="50"/>
    <x v="17"/>
    <n v="0.88888888888888884"/>
    <n v="1"/>
    <n v="0"/>
  </r>
  <r>
    <d v="2020-12-22T00:00:00"/>
    <x v="1"/>
    <n v="15"/>
    <n v="426"/>
    <n v="30"/>
    <n v="3"/>
    <n v="85"/>
    <n v="17"/>
    <n v="-3"/>
    <n v="-1"/>
    <n v="37"/>
    <x v="17"/>
    <n v="0.90909090909090906"/>
    <n v="0.75"/>
    <n v="0"/>
  </r>
  <r>
    <d v="2020-12-22T00:00:00"/>
    <x v="2"/>
    <n v="26"/>
    <n v="356"/>
    <n v="9"/>
    <n v="4"/>
    <n v="144"/>
    <n v="26"/>
    <n v="-5"/>
    <n v="0"/>
    <n v="29"/>
    <x v="17"/>
    <n v="0.6428571428571429"/>
    <n v="1"/>
    <n v="1"/>
  </r>
  <r>
    <d v="2020-12-22T00:00:00"/>
    <x v="3"/>
    <n v="22"/>
    <n v="506"/>
    <n v="24"/>
    <n v="4"/>
    <n v="307"/>
    <n v="27"/>
    <n v="-6"/>
    <n v="0"/>
    <n v="40"/>
    <x v="17"/>
    <n v="0.8"/>
    <n v="1"/>
    <n v="0"/>
  </r>
  <r>
    <d v="2020-12-22T00:00:00"/>
    <x v="4"/>
    <n v="25"/>
    <n v="911"/>
    <n v="42"/>
    <n v="6"/>
    <n v="76"/>
    <n v="36"/>
    <n v="0"/>
    <n v="-2"/>
    <n v="47"/>
    <x v="17"/>
    <n v="1"/>
    <n v="0.75"/>
    <n v="0"/>
  </r>
  <r>
    <d v="2020-12-22T00:00:00"/>
    <x v="5"/>
    <n v="61"/>
    <n v="1270"/>
    <n v="76"/>
    <n v="5"/>
    <n v="179"/>
    <n v="80"/>
    <n v="3"/>
    <n v="-2"/>
    <n v="56"/>
    <x v="17"/>
    <n v="1.0410958904109588"/>
    <n v="0.7142857142857143"/>
    <n v="2"/>
  </r>
  <r>
    <d v="2020-12-22T00:00:00"/>
    <x v="6"/>
    <n v="82"/>
    <n v="1216"/>
    <n v="56"/>
    <n v="11"/>
    <n v="254"/>
    <n v="92"/>
    <n v="5"/>
    <n v="2"/>
    <n v="117"/>
    <x v="17"/>
    <n v="1.0980392156862746"/>
    <n v="1.2222222222222223"/>
    <n v="1"/>
  </r>
  <r>
    <d v="2020-12-22T00:00:00"/>
    <x v="7"/>
    <n v="299"/>
    <n v="5565"/>
    <n v="293"/>
    <n v="48"/>
    <n v="1350"/>
    <n v="342"/>
    <n v="-13"/>
    <n v="-3"/>
    <n v="376"/>
    <x v="17"/>
    <n v="0.95751633986928109"/>
    <n v="0.94117647058823528"/>
    <n v="4"/>
  </r>
  <r>
    <d v="2020-12-23T00:00:00"/>
    <x v="0"/>
    <n v="41"/>
    <n v="878"/>
    <n v="55"/>
    <n v="17"/>
    <n v="305"/>
    <n v="60"/>
    <n v="-1"/>
    <n v="2"/>
    <n v="62"/>
    <x v="18"/>
    <n v="0.9821428571428571"/>
    <n v="1.1333333333333333"/>
    <n v="0"/>
  </r>
  <r>
    <d v="2020-12-23T00:00:00"/>
    <x v="1"/>
    <n v="18"/>
    <n v="395"/>
    <n v="30"/>
    <n v="2"/>
    <n v="85"/>
    <n v="20"/>
    <n v="0"/>
    <n v="-1"/>
    <n v="51"/>
    <x v="18"/>
    <n v="1"/>
    <n v="0.66666666666666663"/>
    <n v="0"/>
  </r>
  <r>
    <d v="2020-12-23T00:00:00"/>
    <x v="2"/>
    <n v="34"/>
    <n v="370"/>
    <n v="10"/>
    <n v="3"/>
    <n v="144"/>
    <n v="35"/>
    <n v="1"/>
    <n v="-1"/>
    <n v="21"/>
    <x v="18"/>
    <n v="1.1111111111111112"/>
    <n v="0.75"/>
    <n v="0"/>
  </r>
  <r>
    <d v="2020-12-23T00:00:00"/>
    <x v="3"/>
    <n v="34"/>
    <n v="522"/>
    <n v="27"/>
    <n v="4"/>
    <n v="308"/>
    <n v="45"/>
    <n v="3"/>
    <n v="0"/>
    <n v="28"/>
    <x v="18"/>
    <n v="1.125"/>
    <n v="1"/>
    <n v="1"/>
  </r>
  <r>
    <d v="2020-12-23T00:00:00"/>
    <x v="4"/>
    <n v="53"/>
    <n v="904"/>
    <n v="40"/>
    <n v="8"/>
    <n v="76"/>
    <n v="60"/>
    <n v="-2"/>
    <n v="2"/>
    <n v="67"/>
    <x v="18"/>
    <n v="0.95238095238095233"/>
    <n v="1.3333333333333333"/>
    <n v="0"/>
  </r>
  <r>
    <d v="2020-12-23T00:00:00"/>
    <x v="5"/>
    <n v="103"/>
    <n v="1321"/>
    <n v="70"/>
    <n v="6"/>
    <n v="179"/>
    <n v="114"/>
    <n v="-6"/>
    <n v="1"/>
    <n v="63"/>
    <x v="18"/>
    <n v="0.92105263157894735"/>
    <n v="1.2"/>
    <n v="0"/>
  </r>
  <r>
    <d v="2020-12-23T00:00:00"/>
    <x v="6"/>
    <n v="111"/>
    <n v="1265"/>
    <n v="54"/>
    <n v="11"/>
    <n v="257"/>
    <n v="117"/>
    <n v="-2"/>
    <n v="0"/>
    <n v="65"/>
    <x v="18"/>
    <n v="0.9642857142857143"/>
    <n v="1"/>
    <n v="3"/>
  </r>
  <r>
    <d v="2020-12-23T00:00:00"/>
    <x v="7"/>
    <n v="394"/>
    <n v="5655"/>
    <n v="286"/>
    <n v="51"/>
    <n v="1354"/>
    <n v="451"/>
    <n v="-7"/>
    <n v="3"/>
    <n v="357"/>
    <x v="18"/>
    <n v="0.97610921501706482"/>
    <n v="1.0625"/>
    <n v="4"/>
  </r>
  <r>
    <d v="2020-12-24T00:00:00"/>
    <x v="0"/>
    <n v="64"/>
    <n v="899"/>
    <n v="56"/>
    <n v="18"/>
    <n v="305"/>
    <n v="67"/>
    <n v="1"/>
    <n v="1"/>
    <n v="46"/>
    <x v="19"/>
    <n v="1.0181818181818181"/>
    <n v="1.0588235294117647"/>
    <n v="0"/>
  </r>
  <r>
    <d v="2020-12-24T00:00:00"/>
    <x v="1"/>
    <n v="20"/>
    <n v="398"/>
    <n v="29"/>
    <n v="1"/>
    <n v="85"/>
    <n v="22"/>
    <n v="-1"/>
    <n v="-1"/>
    <n v="19"/>
    <x v="19"/>
    <n v="0.96666666666666667"/>
    <n v="0.5"/>
    <n v="0"/>
  </r>
  <r>
    <d v="2020-12-24T00:00:00"/>
    <x v="2"/>
    <n v="23"/>
    <n v="382"/>
    <n v="10"/>
    <n v="3"/>
    <n v="144"/>
    <n v="28"/>
    <n v="0"/>
    <n v="0"/>
    <n v="16"/>
    <x v="19"/>
    <n v="1"/>
    <n v="1"/>
    <n v="0"/>
  </r>
  <r>
    <d v="2020-12-24T00:00:00"/>
    <x v="3"/>
    <n v="38"/>
    <n v="551"/>
    <n v="18"/>
    <n v="4"/>
    <n v="308"/>
    <n v="52"/>
    <n v="-9"/>
    <n v="0"/>
    <n v="23"/>
    <x v="19"/>
    <n v="0.66666666666666663"/>
    <n v="1"/>
    <n v="0"/>
  </r>
  <r>
    <d v="2020-12-24T00:00:00"/>
    <x v="4"/>
    <n v="49"/>
    <n v="922"/>
    <n v="39"/>
    <n v="9"/>
    <n v="76"/>
    <n v="58"/>
    <n v="-1"/>
    <n v="1"/>
    <n v="40"/>
    <x v="19"/>
    <n v="0.97499999999999998"/>
    <n v="1.125"/>
    <n v="0"/>
  </r>
  <r>
    <d v="2020-12-24T00:00:00"/>
    <x v="5"/>
    <n v="63"/>
    <n v="1323"/>
    <n v="63"/>
    <n v="7"/>
    <n v="179"/>
    <n v="78"/>
    <n v="-7"/>
    <n v="1"/>
    <n v="76"/>
    <x v="19"/>
    <n v="0.9"/>
    <n v="1.1666666666666667"/>
    <n v="0"/>
  </r>
  <r>
    <d v="2020-12-24T00:00:00"/>
    <x v="6"/>
    <n v="52"/>
    <n v="1279"/>
    <n v="50"/>
    <n v="12"/>
    <n v="257"/>
    <n v="65"/>
    <n v="-4"/>
    <n v="1"/>
    <n v="51"/>
    <x v="19"/>
    <n v="0.92592592592592593"/>
    <n v="1.0909090909090908"/>
    <n v="0"/>
  </r>
  <r>
    <d v="2020-12-24T00:00:00"/>
    <x v="7"/>
    <n v="309"/>
    <n v="5754"/>
    <n v="265"/>
    <n v="54"/>
    <n v="1354"/>
    <n v="370"/>
    <n v="-21"/>
    <n v="3"/>
    <n v="271"/>
    <x v="19"/>
    <n v="0.92657342657342656"/>
    <n v="1.0588235294117647"/>
    <n v="0"/>
  </r>
  <r>
    <d v="2020-12-25T00:00:00"/>
    <x v="0"/>
    <n v="61"/>
    <n v="901"/>
    <n v="56"/>
    <n v="17"/>
    <n v="307"/>
    <n v="59"/>
    <n v="0"/>
    <n v="-1"/>
    <n v="55"/>
    <x v="20"/>
    <n v="1"/>
    <n v="0.94444444444444442"/>
    <n v="2"/>
  </r>
  <r>
    <d v="2020-12-25T00:00:00"/>
    <x v="1"/>
    <n v="12"/>
    <n v="382"/>
    <n v="26"/>
    <n v="2"/>
    <n v="87"/>
    <n v="12"/>
    <n v="-3"/>
    <n v="1"/>
    <n v="26"/>
    <x v="20"/>
    <n v="0.89655172413793105"/>
    <n v="2"/>
    <n v="2"/>
  </r>
  <r>
    <d v="2020-12-25T00:00:00"/>
    <x v="2"/>
    <n v="33"/>
    <n v="381"/>
    <n v="10"/>
    <n v="4"/>
    <n v="144"/>
    <n v="35"/>
    <n v="0"/>
    <n v="1"/>
    <n v="36"/>
    <x v="20"/>
    <n v="1"/>
    <n v="1.3333333333333333"/>
    <n v="0"/>
  </r>
  <r>
    <d v="2020-12-25T00:00:00"/>
    <x v="3"/>
    <n v="39"/>
    <n v="558"/>
    <n v="20"/>
    <n v="3"/>
    <n v="308"/>
    <n v="42"/>
    <n v="2"/>
    <n v="-1"/>
    <n v="35"/>
    <x v="20"/>
    <n v="1.1111111111111112"/>
    <n v="0.75"/>
    <n v="0"/>
  </r>
  <r>
    <d v="2020-12-25T00:00:00"/>
    <x v="4"/>
    <n v="38"/>
    <n v="907"/>
    <n v="45"/>
    <n v="9"/>
    <n v="77"/>
    <n v="39"/>
    <n v="6"/>
    <n v="0"/>
    <n v="53"/>
    <x v="20"/>
    <n v="1.1538461538461537"/>
    <n v="1"/>
    <n v="1"/>
  </r>
  <r>
    <d v="2020-12-25T00:00:00"/>
    <x v="5"/>
    <n v="96"/>
    <n v="1355"/>
    <n v="65"/>
    <n v="7"/>
    <n v="182"/>
    <n v="99"/>
    <n v="2"/>
    <n v="0"/>
    <n v="64"/>
    <x v="20"/>
    <n v="1.0317460317460319"/>
    <n v="1"/>
    <n v="3"/>
  </r>
  <r>
    <d v="2020-12-25T00:00:00"/>
    <x v="6"/>
    <n v="94"/>
    <n v="1232"/>
    <n v="51"/>
    <n v="13"/>
    <n v="258"/>
    <n v="88"/>
    <n v="1"/>
    <n v="1"/>
    <n v="134"/>
    <x v="20"/>
    <n v="1.02"/>
    <n v="1.0833333333333333"/>
    <n v="1"/>
  </r>
  <r>
    <d v="2020-12-25T00:00:00"/>
    <x v="7"/>
    <n v="373"/>
    <n v="5716"/>
    <n v="273"/>
    <n v="55"/>
    <n v="1363"/>
    <n v="374"/>
    <n v="8"/>
    <n v="1"/>
    <n v="403"/>
    <x v="20"/>
    <n v="1.030188679245283"/>
    <n v="1.0185185185185186"/>
    <n v="9"/>
  </r>
  <r>
    <d v="2020-12-26T00:00:00"/>
    <x v="0"/>
    <n v="32"/>
    <n v="873"/>
    <n v="61"/>
    <n v="18"/>
    <n v="307"/>
    <n v="36"/>
    <n v="5"/>
    <n v="1"/>
    <n v="64"/>
    <x v="21"/>
    <n v="1.0892857142857142"/>
    <n v="1.0588235294117647"/>
    <n v="0"/>
  </r>
  <r>
    <d v="2020-12-26T00:00:00"/>
    <x v="1"/>
    <n v="8"/>
    <n v="348"/>
    <n v="25"/>
    <n v="3"/>
    <n v="87"/>
    <n v="9"/>
    <n v="-1"/>
    <n v="1"/>
    <n v="43"/>
    <x v="21"/>
    <n v="0.96153846153846156"/>
    <n v="1.5"/>
    <n v="0"/>
  </r>
  <r>
    <d v="2020-12-26T00:00:00"/>
    <x v="2"/>
    <n v="7"/>
    <n v="374"/>
    <n v="9"/>
    <n v="4"/>
    <n v="145"/>
    <n v="11"/>
    <n v="-1"/>
    <n v="0"/>
    <n v="17"/>
    <x v="21"/>
    <n v="0.9"/>
    <n v="1"/>
    <n v="1"/>
  </r>
  <r>
    <d v="2020-12-26T00:00:00"/>
    <x v="3"/>
    <n v="13"/>
    <n v="540"/>
    <n v="19"/>
    <n v="4"/>
    <n v="308"/>
    <n v="16"/>
    <n v="-1"/>
    <n v="1"/>
    <n v="34"/>
    <x v="21"/>
    <n v="0.95"/>
    <n v="1.3333333333333333"/>
    <n v="0"/>
  </r>
  <r>
    <d v="2020-12-26T00:00:00"/>
    <x v="4"/>
    <n v="47"/>
    <n v="896"/>
    <n v="45"/>
    <n v="11"/>
    <n v="77"/>
    <n v="46"/>
    <n v="0"/>
    <n v="2"/>
    <n v="57"/>
    <x v="21"/>
    <n v="1"/>
    <n v="1.2222222222222223"/>
    <n v="0"/>
  </r>
  <r>
    <d v="2020-12-26T00:00:00"/>
    <x v="5"/>
    <n v="68"/>
    <n v="1352"/>
    <n v="69"/>
    <n v="7"/>
    <n v="184"/>
    <n v="79"/>
    <n v="4"/>
    <n v="0"/>
    <n v="80"/>
    <x v="21"/>
    <n v="1.0615384615384615"/>
    <n v="1"/>
    <n v="2"/>
  </r>
  <r>
    <d v="2020-12-26T00:00:00"/>
    <x v="6"/>
    <n v="38"/>
    <n v="1226"/>
    <n v="50"/>
    <n v="11"/>
    <n v="261"/>
    <n v="39"/>
    <n v="-1"/>
    <n v="-2"/>
    <n v="42"/>
    <x v="21"/>
    <n v="0.98039215686274506"/>
    <n v="0.84615384615384615"/>
    <n v="3"/>
  </r>
  <r>
    <d v="2020-12-26T00:00:00"/>
    <x v="7"/>
    <n v="213"/>
    <n v="5609"/>
    <n v="278"/>
    <n v="58"/>
    <n v="1369"/>
    <n v="236"/>
    <n v="5"/>
    <n v="3"/>
    <n v="337"/>
    <x v="21"/>
    <n v="1.0183150183150182"/>
    <n v="1.0545454545454545"/>
    <n v="6"/>
  </r>
  <r>
    <d v="2020-12-27T00:00:00"/>
    <x v="0"/>
    <n v="50"/>
    <n v="860"/>
    <n v="66"/>
    <n v="17"/>
    <n v="307"/>
    <n v="48"/>
    <n v="5"/>
    <n v="-1"/>
    <n v="61"/>
    <x v="22"/>
    <n v="1.0819672131147542"/>
    <n v="0.94444444444444442"/>
    <n v="0"/>
  </r>
  <r>
    <d v="2020-12-27T00:00:00"/>
    <x v="1"/>
    <n v="14"/>
    <n v="336"/>
    <n v="24"/>
    <n v="4"/>
    <n v="87"/>
    <n v="16"/>
    <n v="-1"/>
    <n v="1"/>
    <n v="28"/>
    <x v="22"/>
    <n v="0.96"/>
    <n v="1.3333333333333333"/>
    <n v="0"/>
  </r>
  <r>
    <d v="2020-12-27T00:00:00"/>
    <x v="2"/>
    <n v="41"/>
    <n v="397"/>
    <n v="11"/>
    <n v="3"/>
    <n v="145"/>
    <n v="43"/>
    <n v="2"/>
    <n v="-1"/>
    <n v="20"/>
    <x v="22"/>
    <n v="1.2222222222222223"/>
    <n v="0.75"/>
    <n v="0"/>
  </r>
  <r>
    <d v="2020-12-27T00:00:00"/>
    <x v="3"/>
    <n v="18"/>
    <n v="525"/>
    <n v="22"/>
    <n v="4"/>
    <n v="308"/>
    <n v="21"/>
    <n v="3"/>
    <n v="0"/>
    <n v="36"/>
    <x v="22"/>
    <n v="1.1578947368421053"/>
    <n v="1"/>
    <n v="0"/>
  </r>
  <r>
    <d v="2020-12-27T00:00:00"/>
    <x v="4"/>
    <n v="33"/>
    <n v="866"/>
    <n v="50"/>
    <n v="11"/>
    <n v="77"/>
    <n v="37"/>
    <n v="5"/>
    <n v="0"/>
    <n v="67"/>
    <x v="22"/>
    <n v="1.1111111111111112"/>
    <n v="1"/>
    <n v="0"/>
  </r>
  <r>
    <d v="2020-12-27T00:00:00"/>
    <x v="5"/>
    <n v="70"/>
    <n v="1347"/>
    <n v="71"/>
    <n v="7"/>
    <n v="184"/>
    <n v="76"/>
    <n v="2"/>
    <n v="0"/>
    <n v="81"/>
    <x v="22"/>
    <n v="1.0289855072463767"/>
    <n v="1"/>
    <n v="0"/>
  </r>
  <r>
    <d v="2020-12-27T00:00:00"/>
    <x v="6"/>
    <n v="51"/>
    <n v="1177"/>
    <n v="51"/>
    <n v="12"/>
    <n v="262"/>
    <n v="52"/>
    <n v="1"/>
    <n v="1"/>
    <n v="100"/>
    <x v="22"/>
    <n v="1.02"/>
    <n v="1.0909090909090908"/>
    <n v="1"/>
  </r>
  <r>
    <d v="2020-12-27T00:00:00"/>
    <x v="7"/>
    <n v="277"/>
    <n v="5508"/>
    <n v="295"/>
    <n v="58"/>
    <n v="1370"/>
    <n v="293"/>
    <n v="17"/>
    <n v="0"/>
    <n v="393"/>
    <x v="22"/>
    <n v="1.0611510791366907"/>
    <n v="1"/>
    <n v="1"/>
  </r>
  <r>
    <d v="2020-12-28T00:00:00"/>
    <x v="0"/>
    <n v="42"/>
    <n v="884"/>
    <n v="71"/>
    <n v="18"/>
    <n v="311"/>
    <n v="54"/>
    <n v="5"/>
    <n v="1"/>
    <n v="26"/>
    <x v="23"/>
    <n v="1.0757575757575757"/>
    <n v="1.0588235294117647"/>
    <n v="4"/>
  </r>
  <r>
    <d v="2020-12-28T00:00:00"/>
    <x v="1"/>
    <n v="30"/>
    <n v="337"/>
    <n v="27"/>
    <n v="4"/>
    <n v="88"/>
    <n v="29"/>
    <n v="3"/>
    <n v="0"/>
    <n v="27"/>
    <x v="23"/>
    <n v="1.125"/>
    <n v="1"/>
    <n v="1"/>
  </r>
  <r>
    <d v="2020-12-28T00:00:00"/>
    <x v="2"/>
    <n v="13"/>
    <n v="397"/>
    <n v="10"/>
    <n v="3"/>
    <n v="145"/>
    <n v="16"/>
    <n v="-1"/>
    <n v="0"/>
    <n v="16"/>
    <x v="23"/>
    <n v="0.90909090909090906"/>
    <n v="1"/>
    <n v="0"/>
  </r>
  <r>
    <d v="2020-12-28T00:00:00"/>
    <x v="3"/>
    <n v="20"/>
    <n v="525"/>
    <n v="21"/>
    <n v="4"/>
    <n v="308"/>
    <n v="27"/>
    <n v="-1"/>
    <n v="0"/>
    <n v="27"/>
    <x v="23"/>
    <n v="0.95454545454545459"/>
    <n v="1"/>
    <n v="0"/>
  </r>
  <r>
    <d v="2020-12-28T00:00:00"/>
    <x v="4"/>
    <n v="32"/>
    <n v="852"/>
    <n v="44"/>
    <n v="10"/>
    <n v="77"/>
    <n v="39"/>
    <n v="-6"/>
    <n v="-1"/>
    <n v="53"/>
    <x v="23"/>
    <n v="0.88"/>
    <n v="0.90909090909090906"/>
    <n v="0"/>
  </r>
  <r>
    <d v="2020-12-28T00:00:00"/>
    <x v="5"/>
    <n v="54"/>
    <n v="1336"/>
    <n v="74"/>
    <n v="5"/>
    <n v="188"/>
    <n v="72"/>
    <n v="3"/>
    <n v="-2"/>
    <n v="79"/>
    <x v="23"/>
    <n v="1.0422535211267605"/>
    <n v="0.7142857142857143"/>
    <n v="4"/>
  </r>
  <r>
    <d v="2020-12-28T00:00:00"/>
    <x v="6"/>
    <n v="70"/>
    <n v="1192"/>
    <n v="44"/>
    <n v="12"/>
    <n v="263"/>
    <n v="77"/>
    <n v="-7"/>
    <n v="0"/>
    <n v="61"/>
    <x v="23"/>
    <n v="0.86274509803921573"/>
    <n v="1"/>
    <n v="1"/>
  </r>
  <r>
    <d v="2020-12-28T00:00:00"/>
    <x v="7"/>
    <n v="261"/>
    <n v="5523"/>
    <n v="291"/>
    <n v="56"/>
    <n v="1380"/>
    <n v="314"/>
    <n v="-4"/>
    <n v="-2"/>
    <n v="289"/>
    <x v="23"/>
    <n v="0.98644067796610169"/>
    <n v="0.96551724137931039"/>
    <n v="10"/>
  </r>
  <r>
    <d v="2020-12-29T00:00:00"/>
    <x v="0"/>
    <n v="118"/>
    <n v="956"/>
    <n v="71"/>
    <n v="18"/>
    <n v="311"/>
    <n v="121"/>
    <n v="0"/>
    <n v="0"/>
    <n v="49"/>
    <x v="24"/>
    <n v="1"/>
    <n v="1"/>
    <n v="0"/>
  </r>
  <r>
    <d v="2020-12-29T00:00:00"/>
    <x v="1"/>
    <n v="13"/>
    <n v="327"/>
    <n v="31"/>
    <n v="3"/>
    <n v="89"/>
    <n v="15"/>
    <n v="4"/>
    <n v="-1"/>
    <n v="24"/>
    <x v="24"/>
    <n v="1.1481481481481481"/>
    <n v="0.75"/>
    <n v="1"/>
  </r>
  <r>
    <d v="2020-12-29T00:00:00"/>
    <x v="2"/>
    <n v="50"/>
    <n v="430"/>
    <n v="12"/>
    <n v="2"/>
    <n v="145"/>
    <n v="50"/>
    <n v="2"/>
    <n v="-1"/>
    <n v="17"/>
    <x v="24"/>
    <n v="1.2"/>
    <n v="0.66666666666666663"/>
    <n v="0"/>
  </r>
  <r>
    <d v="2020-12-29T00:00:00"/>
    <x v="3"/>
    <n v="36"/>
    <n v="545"/>
    <n v="22"/>
    <n v="3"/>
    <n v="308"/>
    <n v="49"/>
    <n v="1"/>
    <n v="-1"/>
    <n v="29"/>
    <x v="24"/>
    <n v="1.0476190476190477"/>
    <n v="0.75"/>
    <n v="0"/>
  </r>
  <r>
    <d v="2020-12-29T00:00:00"/>
    <x v="4"/>
    <n v="48"/>
    <n v="821"/>
    <n v="41"/>
    <n v="11"/>
    <n v="77"/>
    <n v="53"/>
    <n v="-3"/>
    <n v="1"/>
    <n v="84"/>
    <x v="24"/>
    <n v="0.93181818181818177"/>
    <n v="1.1000000000000001"/>
    <n v="0"/>
  </r>
  <r>
    <d v="2020-12-29T00:00:00"/>
    <x v="5"/>
    <n v="103"/>
    <n v="1373"/>
    <n v="65"/>
    <n v="7"/>
    <n v="189"/>
    <n v="121"/>
    <n v="-9"/>
    <n v="2"/>
    <n v="83"/>
    <x v="24"/>
    <n v="0.8783783783783784"/>
    <n v="1.4"/>
    <n v="1"/>
  </r>
  <r>
    <d v="2020-12-29T00:00:00"/>
    <x v="6"/>
    <n v="73"/>
    <n v="1173"/>
    <n v="40"/>
    <n v="11"/>
    <n v="267"/>
    <n v="75"/>
    <n v="-4"/>
    <n v="-1"/>
    <n v="90"/>
    <x v="24"/>
    <n v="0.90909090909090906"/>
    <n v="0.91666666666666663"/>
    <n v="4"/>
  </r>
  <r>
    <d v="2020-12-29T00:00:00"/>
    <x v="7"/>
    <n v="441"/>
    <n v="5625"/>
    <n v="282"/>
    <n v="55"/>
    <n v="1386"/>
    <n v="484"/>
    <n v="-9"/>
    <n v="-1"/>
    <n v="376"/>
    <x v="24"/>
    <n v="0.96907216494845361"/>
    <n v="0.9821428571428571"/>
    <n v="6"/>
  </r>
  <r>
    <d v="2020-12-30T00:00:00"/>
    <x v="0"/>
    <n v="115"/>
    <n v="1029"/>
    <n v="70"/>
    <n v="19"/>
    <n v="311"/>
    <n v="134"/>
    <n v="-1"/>
    <n v="1"/>
    <n v="61"/>
    <x v="25"/>
    <n v="0.9859154929577465"/>
    <n v="1.0555555555555556"/>
    <n v="0"/>
  </r>
  <r>
    <d v="2020-12-30T00:00:00"/>
    <x v="1"/>
    <n v="26"/>
    <n v="312"/>
    <n v="33"/>
    <n v="3"/>
    <n v="90"/>
    <n v="24"/>
    <n v="2"/>
    <n v="0"/>
    <n v="38"/>
    <x v="25"/>
    <n v="1.064516129032258"/>
    <n v="1"/>
    <n v="1"/>
  </r>
  <r>
    <d v="2020-12-30T00:00:00"/>
    <x v="2"/>
    <n v="45"/>
    <n v="444"/>
    <n v="16"/>
    <n v="2"/>
    <n v="145"/>
    <n v="49"/>
    <n v="4"/>
    <n v="0"/>
    <n v="35"/>
    <x v="25"/>
    <n v="1.3333333333333333"/>
    <n v="1"/>
    <n v="0"/>
  </r>
  <r>
    <d v="2020-12-30T00:00:00"/>
    <x v="3"/>
    <n v="60"/>
    <n v="573"/>
    <n v="24"/>
    <n v="3"/>
    <n v="308"/>
    <n v="69"/>
    <n v="2"/>
    <n v="0"/>
    <n v="41"/>
    <x v="25"/>
    <n v="1.0909090909090908"/>
    <n v="1"/>
    <n v="0"/>
  </r>
  <r>
    <d v="2020-12-30T00:00:00"/>
    <x v="4"/>
    <n v="25"/>
    <n v="816"/>
    <n v="42"/>
    <n v="10"/>
    <n v="78"/>
    <n v="30"/>
    <n v="1"/>
    <n v="-1"/>
    <n v="34"/>
    <x v="25"/>
    <n v="1.024390243902439"/>
    <n v="0.90909090909090906"/>
    <n v="1"/>
  </r>
  <r>
    <d v="2020-12-30T00:00:00"/>
    <x v="5"/>
    <n v="89"/>
    <n v="1369"/>
    <n v="69"/>
    <n v="7"/>
    <n v="191"/>
    <n v="115"/>
    <n v="4"/>
    <n v="0"/>
    <n v="117"/>
    <x v="25"/>
    <n v="1.0615384615384615"/>
    <n v="1"/>
    <n v="2"/>
  </r>
  <r>
    <d v="2020-12-30T00:00:00"/>
    <x v="6"/>
    <n v="78"/>
    <n v="1137"/>
    <n v="42"/>
    <n v="11"/>
    <n v="270"/>
    <n v="91"/>
    <n v="2"/>
    <n v="0"/>
    <n v="124"/>
    <x v="25"/>
    <n v="1.05"/>
    <n v="1"/>
    <n v="3"/>
  </r>
  <r>
    <d v="2020-12-30T00:00:00"/>
    <x v="7"/>
    <n v="438"/>
    <n v="5680"/>
    <n v="296"/>
    <n v="55"/>
    <n v="1393"/>
    <n v="512"/>
    <n v="14"/>
    <n v="0"/>
    <n v="450"/>
    <x v="25"/>
    <n v="1.0496453900709219"/>
    <n v="1"/>
    <n v="7"/>
  </r>
  <r>
    <d v="2020-12-31T00:00:00"/>
    <x v="0"/>
    <n v="97"/>
    <n v="1091"/>
    <n v="67"/>
    <n v="20"/>
    <n v="312"/>
    <n v="107"/>
    <n v="-3"/>
    <n v="1"/>
    <n v="44"/>
    <x v="26"/>
    <n v="0.95714285714285718"/>
    <n v="1.0526315789473684"/>
    <n v="1"/>
  </r>
  <r>
    <d v="2020-12-31T00:00:00"/>
    <x v="1"/>
    <n v="19"/>
    <n v="307"/>
    <n v="35"/>
    <n v="2"/>
    <n v="90"/>
    <n v="24"/>
    <n v="2"/>
    <n v="-1"/>
    <n v="29"/>
    <x v="26"/>
    <n v="1.0606060606060606"/>
    <n v="0.66666666666666663"/>
    <n v="0"/>
  </r>
  <r>
    <d v="2020-12-31T00:00:00"/>
    <x v="2"/>
    <n v="32"/>
    <n v="463"/>
    <n v="13"/>
    <n v="2"/>
    <n v="145"/>
    <n v="47"/>
    <n v="-3"/>
    <n v="0"/>
    <n v="28"/>
    <x v="26"/>
    <n v="0.8125"/>
    <n v="1"/>
    <n v="0"/>
  </r>
  <r>
    <d v="2020-12-31T00:00:00"/>
    <x v="3"/>
    <n v="52"/>
    <n v="600"/>
    <n v="21"/>
    <n v="2"/>
    <n v="309"/>
    <n v="69"/>
    <n v="-3"/>
    <n v="-1"/>
    <n v="41"/>
    <x v="26"/>
    <n v="0.875"/>
    <n v="0.66666666666666663"/>
    <n v="1"/>
  </r>
  <r>
    <d v="2020-12-31T00:00:00"/>
    <x v="4"/>
    <n v="48"/>
    <n v="789"/>
    <n v="39"/>
    <n v="12"/>
    <n v="80"/>
    <n v="51"/>
    <n v="-3"/>
    <n v="2"/>
    <n v="76"/>
    <x v="26"/>
    <n v="0.9285714285714286"/>
    <n v="1.2"/>
    <n v="2"/>
  </r>
  <r>
    <d v="2020-12-31T00:00:00"/>
    <x v="5"/>
    <n v="83"/>
    <n v="1346"/>
    <n v="75"/>
    <n v="8"/>
    <n v="193"/>
    <n v="103"/>
    <n v="6"/>
    <n v="1"/>
    <n v="124"/>
    <x v="26"/>
    <n v="1.0869565217391304"/>
    <n v="1.1428571428571428"/>
    <n v="2"/>
  </r>
  <r>
    <d v="2020-12-31T00:00:00"/>
    <x v="6"/>
    <n v="110"/>
    <n v="1181"/>
    <n v="40"/>
    <n v="9"/>
    <n v="271"/>
    <n v="131"/>
    <n v="-2"/>
    <n v="-2"/>
    <n v="86"/>
    <x v="26"/>
    <n v="0.95238095238095233"/>
    <n v="0.81818181818181823"/>
    <n v="1"/>
  </r>
  <r>
    <d v="2020-12-31T00:00:00"/>
    <x v="7"/>
    <n v="441"/>
    <n v="5777"/>
    <n v="290"/>
    <n v="55"/>
    <n v="1400"/>
    <n v="532"/>
    <n v="-6"/>
    <n v="0"/>
    <n v="428"/>
    <x v="26"/>
    <n v="0.97972972972972971"/>
    <n v="1"/>
    <n v="7"/>
  </r>
  <r>
    <d v="2021-01-01T00:00:00"/>
    <x v="0"/>
    <n v="116"/>
    <n v="1150"/>
    <n v="72"/>
    <n v="20"/>
    <n v="314"/>
    <n v="118"/>
    <n v="5"/>
    <n v="0"/>
    <n v="57"/>
    <x v="27"/>
    <n v="1.0746268656716418"/>
    <n v="1"/>
    <n v="2"/>
  </r>
  <r>
    <d v="2021-01-01T00:00:00"/>
    <x v="1"/>
    <n v="21"/>
    <n v="309"/>
    <n v="37"/>
    <n v="2"/>
    <n v="90"/>
    <n v="21"/>
    <n v="2"/>
    <n v="0"/>
    <n v="19"/>
    <x v="27"/>
    <n v="1.0571428571428572"/>
    <n v="1"/>
    <n v="0"/>
  </r>
  <r>
    <d v="2021-01-01T00:00:00"/>
    <x v="2"/>
    <n v="39"/>
    <n v="475"/>
    <n v="14"/>
    <n v="2"/>
    <n v="145"/>
    <n v="35"/>
    <n v="1"/>
    <n v="0"/>
    <n v="23"/>
    <x v="27"/>
    <n v="1.0769230769230769"/>
    <n v="1"/>
    <n v="0"/>
  </r>
  <r>
    <d v="2021-01-01T00:00:00"/>
    <x v="3"/>
    <n v="14"/>
    <n v="595"/>
    <n v="22"/>
    <n v="2"/>
    <n v="309"/>
    <n v="31"/>
    <n v="1"/>
    <n v="0"/>
    <n v="36"/>
    <x v="27"/>
    <n v="1.0476190476190477"/>
    <n v="1"/>
    <n v="0"/>
  </r>
  <r>
    <d v="2021-01-01T00:00:00"/>
    <x v="4"/>
    <n v="42"/>
    <n v="773"/>
    <n v="32"/>
    <n v="12"/>
    <n v="81"/>
    <n v="46"/>
    <n v="-7"/>
    <n v="0"/>
    <n v="62"/>
    <x v="27"/>
    <n v="0.82051282051282048"/>
    <n v="1"/>
    <n v="1"/>
  </r>
  <r>
    <d v="2021-01-01T00:00:00"/>
    <x v="5"/>
    <n v="115"/>
    <n v="1356"/>
    <n v="79"/>
    <n v="8"/>
    <n v="193"/>
    <n v="122"/>
    <n v="4"/>
    <n v="0"/>
    <n v="112"/>
    <x v="27"/>
    <n v="1.0533333333333332"/>
    <n v="1"/>
    <n v="0"/>
  </r>
  <r>
    <d v="2021-01-01T00:00:00"/>
    <x v="6"/>
    <n v="65"/>
    <n v="1175"/>
    <n v="41"/>
    <n v="11"/>
    <n v="271"/>
    <n v="71"/>
    <n v="1"/>
    <n v="2"/>
    <n v="77"/>
    <x v="27"/>
    <n v="1.0249999999999999"/>
    <n v="1.2222222222222223"/>
    <n v="0"/>
  </r>
  <r>
    <d v="2021-01-01T00:00:00"/>
    <x v="7"/>
    <n v="412"/>
    <n v="5833"/>
    <n v="297"/>
    <n v="57"/>
    <n v="1403"/>
    <n v="444"/>
    <n v="7"/>
    <n v="2"/>
    <n v="386"/>
    <x v="27"/>
    <n v="1.0241379310344827"/>
    <n v="1.0363636363636364"/>
    <n v="3"/>
  </r>
  <r>
    <d v="2021-01-02T00:00:00"/>
    <x v="0"/>
    <n v="43"/>
    <n v="1134"/>
    <n v="77"/>
    <n v="18"/>
    <n v="314"/>
    <n v="46"/>
    <n v="5"/>
    <n v="-2"/>
    <n v="62"/>
    <x v="28"/>
    <n v="1.0694444444444444"/>
    <n v="0.9"/>
    <n v="0"/>
  </r>
  <r>
    <d v="2021-01-02T00:00:00"/>
    <x v="1"/>
    <n v="9"/>
    <n v="295"/>
    <n v="41"/>
    <n v="2"/>
    <n v="90"/>
    <n v="11"/>
    <n v="4"/>
    <n v="0"/>
    <n v="25"/>
    <x v="28"/>
    <n v="1.1081081081081081"/>
    <n v="1"/>
    <n v="0"/>
  </r>
  <r>
    <d v="2021-01-02T00:00:00"/>
    <x v="2"/>
    <n v="29"/>
    <n v="483"/>
    <n v="16"/>
    <n v="2"/>
    <n v="145"/>
    <n v="33"/>
    <n v="2"/>
    <n v="0"/>
    <n v="25"/>
    <x v="28"/>
    <n v="1.1428571428571428"/>
    <n v="1"/>
    <n v="0"/>
  </r>
  <r>
    <d v="2021-01-02T00:00:00"/>
    <x v="3"/>
    <n v="28"/>
    <n v="605"/>
    <n v="23"/>
    <n v="3"/>
    <n v="309"/>
    <n v="30"/>
    <n v="1"/>
    <n v="1"/>
    <n v="20"/>
    <x v="28"/>
    <n v="1.0454545454545454"/>
    <n v="1.5"/>
    <n v="0"/>
  </r>
  <r>
    <d v="2021-01-02T00:00:00"/>
    <x v="4"/>
    <n v="16"/>
    <n v="710"/>
    <n v="35"/>
    <n v="9"/>
    <n v="83"/>
    <n v="26"/>
    <n v="3"/>
    <n v="-3"/>
    <n v="86"/>
    <x v="28"/>
    <n v="1.09375"/>
    <n v="0.75"/>
    <n v="2"/>
  </r>
  <r>
    <d v="2021-01-02T00:00:00"/>
    <x v="5"/>
    <n v="57"/>
    <n v="1332"/>
    <n v="76"/>
    <n v="11"/>
    <n v="197"/>
    <n v="66"/>
    <n v="-3"/>
    <n v="3"/>
    <n v="86"/>
    <x v="28"/>
    <n v="0.96202531645569622"/>
    <n v="1.375"/>
    <n v="4"/>
  </r>
  <r>
    <d v="2021-01-02T00:00:00"/>
    <x v="6"/>
    <n v="87"/>
    <n v="1173"/>
    <n v="43"/>
    <n v="12"/>
    <n v="271"/>
    <n v="85"/>
    <n v="2"/>
    <n v="1"/>
    <n v="87"/>
    <x v="28"/>
    <n v="1.0487804878048781"/>
    <n v="1.0909090909090908"/>
    <n v="0"/>
  </r>
  <r>
    <d v="2021-01-02T00:00:00"/>
    <x v="7"/>
    <n v="269"/>
    <n v="5732"/>
    <n v="311"/>
    <n v="57"/>
    <n v="1409"/>
    <n v="297"/>
    <n v="14"/>
    <n v="0"/>
    <n v="391"/>
    <x v="28"/>
    <n v="1.0471380471380471"/>
    <n v="1"/>
    <n v="6"/>
  </r>
  <r>
    <d v="2021-01-03T00:00:00"/>
    <x v="0"/>
    <n v="103"/>
    <n v="1193"/>
    <n v="83"/>
    <n v="19"/>
    <n v="315"/>
    <n v="118"/>
    <n v="6"/>
    <n v="1"/>
    <n v="58"/>
    <x v="29"/>
    <n v="1.0779220779220779"/>
    <n v="1.0555555555555556"/>
    <n v="1"/>
  </r>
  <r>
    <d v="2021-01-03T00:00:00"/>
    <x v="1"/>
    <n v="54"/>
    <n v="343"/>
    <n v="45"/>
    <n v="1"/>
    <n v="90"/>
    <n v="54"/>
    <n v="4"/>
    <n v="-1"/>
    <n v="6"/>
    <x v="29"/>
    <n v="1.0975609756097562"/>
    <n v="0.5"/>
    <n v="0"/>
  </r>
  <r>
    <d v="2021-01-03T00:00:00"/>
    <x v="2"/>
    <n v="57"/>
    <n v="507"/>
    <n v="17"/>
    <n v="0"/>
    <n v="145"/>
    <n v="60"/>
    <n v="1"/>
    <n v="-2"/>
    <n v="36"/>
    <x v="29"/>
    <n v="1.0625"/>
    <n v="0"/>
    <n v="0"/>
  </r>
  <r>
    <d v="2021-01-03T00:00:00"/>
    <x v="3"/>
    <n v="81"/>
    <n v="670"/>
    <n v="25"/>
    <n v="3"/>
    <n v="309"/>
    <n v="87"/>
    <n v="2"/>
    <n v="0"/>
    <n v="22"/>
    <x v="29"/>
    <n v="1.0869565217391304"/>
    <n v="1"/>
    <n v="0"/>
  </r>
  <r>
    <d v="2021-01-03T00:00:00"/>
    <x v="4"/>
    <n v="56"/>
    <n v="731"/>
    <n v="39"/>
    <n v="8"/>
    <n v="83"/>
    <n v="59"/>
    <n v="4"/>
    <n v="-1"/>
    <n v="38"/>
    <x v="29"/>
    <n v="1.1142857142857143"/>
    <n v="0.88888888888888884"/>
    <n v="0"/>
  </r>
  <r>
    <d v="2021-01-03T00:00:00"/>
    <x v="5"/>
    <n v="43"/>
    <n v="1327"/>
    <n v="74"/>
    <n v="12"/>
    <n v="200"/>
    <n v="53"/>
    <n v="-2"/>
    <n v="1"/>
    <n v="55"/>
    <x v="29"/>
    <n v="0.97368421052631582"/>
    <n v="1.0909090909090908"/>
    <n v="3"/>
  </r>
  <r>
    <d v="2021-01-03T00:00:00"/>
    <x v="6"/>
    <n v="28"/>
    <n v="1134"/>
    <n v="51"/>
    <n v="11"/>
    <n v="272"/>
    <n v="33"/>
    <n v="8"/>
    <n v="-1"/>
    <n v="71"/>
    <x v="29"/>
    <n v="1.1860465116279071"/>
    <n v="0.91666666666666663"/>
    <n v="1"/>
  </r>
  <r>
    <d v="2021-01-03T00:00:00"/>
    <x v="7"/>
    <n v="422"/>
    <n v="5905"/>
    <n v="334"/>
    <n v="54"/>
    <n v="1414"/>
    <n v="464"/>
    <n v="23"/>
    <n v="-3"/>
    <n v="286"/>
    <x v="29"/>
    <n v="1.0739549839228295"/>
    <n v="0.94736842105263153"/>
    <n v="5"/>
  </r>
  <r>
    <d v="2021-01-04T00:00:00"/>
    <x v="0"/>
    <n v="71"/>
    <n v="1224"/>
    <n v="81"/>
    <n v="17"/>
    <n v="321"/>
    <n v="86"/>
    <n v="-2"/>
    <n v="-2"/>
    <n v="50"/>
    <x v="30"/>
    <n v="0.97590361445783136"/>
    <n v="0.89473684210526316"/>
    <n v="6"/>
  </r>
  <r>
    <d v="2021-01-04T00:00:00"/>
    <x v="1"/>
    <n v="23"/>
    <n v="348"/>
    <n v="50"/>
    <n v="1"/>
    <n v="90"/>
    <n v="22"/>
    <n v="5"/>
    <n v="0"/>
    <n v="17"/>
    <x v="30"/>
    <n v="1.1111111111111112"/>
    <n v="1"/>
    <n v="0"/>
  </r>
  <r>
    <d v="2021-01-04T00:00:00"/>
    <x v="2"/>
    <n v="46"/>
    <n v="531"/>
    <n v="17"/>
    <n v="0"/>
    <n v="145"/>
    <n v="45"/>
    <n v="0"/>
    <n v="0"/>
    <n v="20"/>
    <x v="30"/>
    <n v="1"/>
    <e v="#NUM!"/>
    <n v="0"/>
  </r>
  <r>
    <d v="2021-01-04T00:00:00"/>
    <x v="3"/>
    <n v="52"/>
    <n v="688"/>
    <n v="28"/>
    <n v="2"/>
    <n v="310"/>
    <n v="62"/>
    <n v="3"/>
    <n v="-1"/>
    <n v="44"/>
    <x v="30"/>
    <n v="1.1200000000000001"/>
    <n v="0.66666666666666663"/>
    <n v="1"/>
  </r>
  <r>
    <d v="2021-01-04T00:00:00"/>
    <x v="4"/>
    <n v="40"/>
    <n v="751"/>
    <n v="37"/>
    <n v="11"/>
    <n v="83"/>
    <n v="44"/>
    <n v="-2"/>
    <n v="3"/>
    <n v="24"/>
    <x v="30"/>
    <n v="0.94871794871794868"/>
    <n v="1.375"/>
    <n v="0"/>
  </r>
  <r>
    <d v="2021-01-04T00:00:00"/>
    <x v="5"/>
    <n v="37"/>
    <n v="1336"/>
    <n v="80"/>
    <n v="13"/>
    <n v="200"/>
    <n v="60"/>
    <n v="6"/>
    <n v="1"/>
    <n v="51"/>
    <x v="30"/>
    <n v="1.0810810810810811"/>
    <n v="1.0833333333333333"/>
    <n v="0"/>
  </r>
  <r>
    <d v="2021-01-04T00:00:00"/>
    <x v="6"/>
    <n v="29"/>
    <n v="1113"/>
    <n v="49"/>
    <n v="12"/>
    <n v="272"/>
    <n v="32"/>
    <n v="-2"/>
    <n v="1"/>
    <n v="53"/>
    <x v="30"/>
    <n v="0.96078431372549022"/>
    <n v="1.0909090909090908"/>
    <n v="0"/>
  </r>
  <r>
    <d v="2021-01-04T00:00:00"/>
    <x v="7"/>
    <n v="298"/>
    <n v="5991"/>
    <n v="342"/>
    <n v="56"/>
    <n v="1421"/>
    <n v="351"/>
    <n v="8"/>
    <n v="2"/>
    <n v="259"/>
    <x v="30"/>
    <n v="1.0239520958083832"/>
    <n v="1.037037037037037"/>
    <n v="7"/>
  </r>
  <r>
    <d v="2021-01-05T00:00:00"/>
    <x v="0"/>
    <n v="166"/>
    <n v="1377"/>
    <n v="79"/>
    <n v="18"/>
    <n v="322"/>
    <n v="187"/>
    <n v="-2"/>
    <n v="1"/>
    <n v="33"/>
    <x v="31"/>
    <n v="0.97530864197530864"/>
    <n v="1.0588235294117647"/>
    <n v="1"/>
  </r>
  <r>
    <d v="2021-01-05T00:00:00"/>
    <x v="1"/>
    <n v="52"/>
    <n v="387"/>
    <n v="46"/>
    <n v="1"/>
    <n v="91"/>
    <n v="55"/>
    <n v="-4"/>
    <n v="0"/>
    <n v="15"/>
    <x v="31"/>
    <n v="0.92"/>
    <n v="1"/>
    <n v="1"/>
  </r>
  <r>
    <d v="2021-01-05T00:00:00"/>
    <x v="2"/>
    <n v="53"/>
    <n v="575"/>
    <n v="18"/>
    <n v="0"/>
    <n v="145"/>
    <n v="63"/>
    <n v="1"/>
    <n v="0"/>
    <n v="19"/>
    <x v="31"/>
    <n v="1.0588235294117647"/>
    <e v="#NUM!"/>
    <n v="0"/>
  </r>
  <r>
    <d v="2021-01-05T00:00:00"/>
    <x v="3"/>
    <n v="67"/>
    <n v="734"/>
    <n v="31"/>
    <n v="1"/>
    <n v="312"/>
    <n v="95"/>
    <n v="3"/>
    <n v="-1"/>
    <n v="47"/>
    <x v="31"/>
    <n v="1.1071428571428572"/>
    <n v="0.5"/>
    <n v="2"/>
  </r>
  <r>
    <d v="2021-01-05T00:00:00"/>
    <x v="4"/>
    <n v="29"/>
    <n v="743"/>
    <n v="44"/>
    <n v="11"/>
    <n v="83"/>
    <n v="33"/>
    <n v="7"/>
    <n v="0"/>
    <n v="41"/>
    <x v="31"/>
    <n v="1.1891891891891893"/>
    <n v="1"/>
    <n v="0"/>
  </r>
  <r>
    <d v="2021-01-05T00:00:00"/>
    <x v="5"/>
    <n v="133"/>
    <n v="1442"/>
    <n v="83"/>
    <n v="13"/>
    <n v="201"/>
    <n v="156"/>
    <n v="3"/>
    <n v="0"/>
    <n v="49"/>
    <x v="31"/>
    <n v="1.0375000000000001"/>
    <n v="1"/>
    <n v="1"/>
  </r>
  <r>
    <d v="2021-01-05T00:00:00"/>
    <x v="6"/>
    <n v="90"/>
    <n v="1146"/>
    <n v="41"/>
    <n v="13"/>
    <n v="273"/>
    <n v="95"/>
    <n v="-8"/>
    <n v="1"/>
    <n v="61"/>
    <x v="31"/>
    <n v="0.83673469387755106"/>
    <n v="1.0833333333333333"/>
    <n v="1"/>
  </r>
  <r>
    <d v="2021-01-05T00:00:00"/>
    <x v="7"/>
    <n v="590"/>
    <n v="6404"/>
    <n v="342"/>
    <n v="57"/>
    <n v="1427"/>
    <n v="684"/>
    <n v="0"/>
    <n v="1"/>
    <n v="265"/>
    <x v="31"/>
    <n v="1"/>
    <n v="1.0178571428571428"/>
    <n v="6"/>
  </r>
  <r>
    <d v="2021-01-06T00:00:00"/>
    <x v="0"/>
    <n v="157"/>
    <n v="1470"/>
    <n v="85"/>
    <n v="19"/>
    <n v="324"/>
    <n v="158"/>
    <n v="6"/>
    <n v="1"/>
    <n v="63"/>
    <x v="32"/>
    <n v="1.0759493670886076"/>
    <n v="1.0555555555555556"/>
    <n v="2"/>
  </r>
  <r>
    <d v="2021-01-06T00:00:00"/>
    <x v="1"/>
    <n v="29"/>
    <n v="399"/>
    <n v="44"/>
    <n v="3"/>
    <n v="92"/>
    <n v="31"/>
    <n v="-2"/>
    <n v="2"/>
    <n v="18"/>
    <x v="32"/>
    <n v="0.95652173913043481"/>
    <n v="3"/>
    <n v="1"/>
  </r>
  <r>
    <d v="2021-01-06T00:00:00"/>
    <x v="2"/>
    <n v="63"/>
    <n v="619"/>
    <n v="19"/>
    <n v="0"/>
    <n v="145"/>
    <n v="69"/>
    <n v="1"/>
    <n v="0"/>
    <n v="25"/>
    <x v="32"/>
    <n v="1.0555555555555556"/>
    <e v="#NUM!"/>
    <n v="0"/>
  </r>
  <r>
    <d v="2021-01-06T00:00:00"/>
    <x v="3"/>
    <n v="71"/>
    <n v="764"/>
    <n v="32"/>
    <n v="2"/>
    <n v="312"/>
    <n v="80"/>
    <n v="1"/>
    <n v="1"/>
    <n v="50"/>
    <x v="32"/>
    <n v="1.032258064516129"/>
    <n v="2"/>
    <n v="0"/>
  </r>
  <r>
    <d v="2021-01-06T00:00:00"/>
    <x v="4"/>
    <n v="45"/>
    <n v="735"/>
    <n v="46"/>
    <n v="10"/>
    <n v="83"/>
    <n v="50"/>
    <n v="2"/>
    <n v="-1"/>
    <n v="58"/>
    <x v="32"/>
    <n v="1.0454545454545454"/>
    <n v="0.90909090909090906"/>
    <n v="0"/>
  </r>
  <r>
    <d v="2021-01-06T00:00:00"/>
    <x v="5"/>
    <n v="93"/>
    <n v="1453"/>
    <n v="91"/>
    <n v="9"/>
    <n v="202"/>
    <n v="106"/>
    <n v="8"/>
    <n v="-4"/>
    <n v="94"/>
    <x v="32"/>
    <n v="1.0963855421686748"/>
    <n v="0.69230769230769229"/>
    <n v="1"/>
  </r>
  <r>
    <d v="2021-01-06T00:00:00"/>
    <x v="6"/>
    <n v="181"/>
    <n v="1260"/>
    <n v="45"/>
    <n v="14"/>
    <n v="273"/>
    <n v="184"/>
    <n v="4"/>
    <n v="1"/>
    <n v="70"/>
    <x v="32"/>
    <n v="1.0975609756097562"/>
    <n v="1.0769230769230769"/>
    <n v="0"/>
  </r>
  <r>
    <d v="2021-01-06T00:00:00"/>
    <x v="7"/>
    <n v="639"/>
    <n v="6700"/>
    <n v="362"/>
    <n v="57"/>
    <n v="1431"/>
    <n v="678"/>
    <n v="20"/>
    <n v="0"/>
    <n v="378"/>
    <x v="32"/>
    <n v="1.0584795321637428"/>
    <n v="1"/>
    <n v="4"/>
  </r>
  <r>
    <d v="2021-01-07T00:00:00"/>
    <x v="0"/>
    <n v="124"/>
    <n v="1557"/>
    <n v="88"/>
    <n v="21"/>
    <n v="324"/>
    <n v="151"/>
    <n v="3"/>
    <n v="2"/>
    <n v="64"/>
    <x v="33"/>
    <n v="1.0352941176470589"/>
    <n v="1.1052631578947369"/>
    <n v="0"/>
  </r>
  <r>
    <d v="2021-01-07T00:00:00"/>
    <x v="1"/>
    <n v="46"/>
    <n v="432"/>
    <n v="43"/>
    <n v="3"/>
    <n v="92"/>
    <n v="50"/>
    <n v="-1"/>
    <n v="0"/>
    <n v="17"/>
    <x v="33"/>
    <n v="0.97727272727272729"/>
    <n v="1"/>
    <n v="0"/>
  </r>
  <r>
    <d v="2021-01-07T00:00:00"/>
    <x v="2"/>
    <n v="34"/>
    <n v="626"/>
    <n v="17"/>
    <n v="0"/>
    <n v="145"/>
    <n v="42"/>
    <n v="-2"/>
    <n v="0"/>
    <n v="35"/>
    <x v="33"/>
    <n v="0.89473684210526316"/>
    <e v="#NUM!"/>
    <n v="0"/>
  </r>
  <r>
    <d v="2021-01-07T00:00:00"/>
    <x v="3"/>
    <n v="75"/>
    <n v="818"/>
    <n v="32"/>
    <n v="2"/>
    <n v="313"/>
    <n v="102"/>
    <n v="0"/>
    <n v="0"/>
    <n v="47"/>
    <x v="33"/>
    <n v="1"/>
    <n v="1"/>
    <n v="1"/>
  </r>
  <r>
    <d v="2021-01-07T00:00:00"/>
    <x v="4"/>
    <n v="51"/>
    <n v="717"/>
    <n v="39"/>
    <n v="12"/>
    <n v="84"/>
    <n v="55"/>
    <n v="-7"/>
    <n v="2"/>
    <n v="72"/>
    <x v="33"/>
    <n v="0.84782608695652173"/>
    <n v="1.2"/>
    <n v="1"/>
  </r>
  <r>
    <d v="2021-01-07T00:00:00"/>
    <x v="5"/>
    <n v="139"/>
    <n v="1517"/>
    <n v="92"/>
    <n v="9"/>
    <n v="202"/>
    <n v="179"/>
    <n v="1"/>
    <n v="0"/>
    <n v="115"/>
    <x v="33"/>
    <n v="1.0109890109890109"/>
    <n v="1"/>
    <n v="0"/>
  </r>
  <r>
    <d v="2021-01-07T00:00:00"/>
    <x v="6"/>
    <n v="66"/>
    <n v="1222"/>
    <n v="39"/>
    <n v="16"/>
    <n v="276"/>
    <n v="78"/>
    <n v="-6"/>
    <n v="2"/>
    <n v="113"/>
    <x v="33"/>
    <n v="0.8666666666666667"/>
    <n v="1.1428571428571428"/>
    <n v="3"/>
  </r>
  <r>
    <d v="2021-01-07T00:00:00"/>
    <x v="7"/>
    <n v="535"/>
    <n v="6889"/>
    <n v="350"/>
    <n v="63"/>
    <n v="1436"/>
    <n v="657"/>
    <n v="-12"/>
    <n v="6"/>
    <n v="463"/>
    <x v="33"/>
    <n v="0.96685082872928174"/>
    <n v="1.1052631578947369"/>
    <n v="5"/>
  </r>
  <r>
    <d v="2021-01-08T00:00:00"/>
    <x v="0"/>
    <n v="171"/>
    <n v="1696"/>
    <n v="84"/>
    <n v="18"/>
    <n v="326"/>
    <n v="199"/>
    <n v="-4"/>
    <n v="-3"/>
    <n v="58"/>
    <x v="34"/>
    <n v="0.95454545454545459"/>
    <n v="0.8571428571428571"/>
    <n v="2"/>
  </r>
  <r>
    <d v="2021-01-08T00:00:00"/>
    <x v="1"/>
    <n v="28"/>
    <n v="437"/>
    <n v="35"/>
    <n v="4"/>
    <n v="93"/>
    <n v="33"/>
    <n v="-8"/>
    <n v="1"/>
    <n v="27"/>
    <x v="34"/>
    <n v="0.81395348837209303"/>
    <n v="1.3333333333333333"/>
    <n v="1"/>
  </r>
  <r>
    <d v="2021-01-08T00:00:00"/>
    <x v="2"/>
    <n v="87"/>
    <n v="699"/>
    <n v="18"/>
    <n v="0"/>
    <n v="146"/>
    <n v="96"/>
    <n v="1"/>
    <n v="0"/>
    <n v="22"/>
    <x v="34"/>
    <n v="1.0588235294117647"/>
    <e v="#NUM!"/>
    <n v="1"/>
  </r>
  <r>
    <d v="2021-01-08T00:00:00"/>
    <x v="3"/>
    <n v="79"/>
    <n v="856"/>
    <n v="30"/>
    <n v="3"/>
    <n v="313"/>
    <n v="100"/>
    <n v="-2"/>
    <n v="1"/>
    <n v="62"/>
    <x v="34"/>
    <n v="0.9375"/>
    <n v="1.5"/>
    <n v="0"/>
  </r>
  <r>
    <d v="2021-01-08T00:00:00"/>
    <x v="4"/>
    <n v="55"/>
    <n v="724"/>
    <n v="40"/>
    <n v="12"/>
    <n v="84"/>
    <n v="63"/>
    <n v="1"/>
    <n v="0"/>
    <n v="56"/>
    <x v="34"/>
    <n v="1.0256410256410255"/>
    <n v="1"/>
    <n v="0"/>
  </r>
  <r>
    <d v="2021-01-08T00:00:00"/>
    <x v="5"/>
    <n v="169"/>
    <n v="1650"/>
    <n v="94"/>
    <n v="8"/>
    <n v="202"/>
    <n v="203"/>
    <n v="2"/>
    <n v="-1"/>
    <n v="70"/>
    <x v="34"/>
    <n v="1.0217391304347827"/>
    <n v="0.88888888888888884"/>
    <n v="0"/>
  </r>
  <r>
    <d v="2021-01-08T00:00:00"/>
    <x v="6"/>
    <n v="209"/>
    <n v="1330"/>
    <n v="41"/>
    <n v="18"/>
    <n v="277"/>
    <n v="220"/>
    <n v="2"/>
    <n v="2"/>
    <n v="111"/>
    <x v="34"/>
    <n v="1.0512820512820513"/>
    <n v="1.125"/>
    <n v="1"/>
  </r>
  <r>
    <d v="2021-01-08T00:00:00"/>
    <x v="7"/>
    <n v="798"/>
    <n v="7392"/>
    <n v="342"/>
    <n v="63"/>
    <n v="1441"/>
    <n v="914"/>
    <n v="-8"/>
    <n v="0"/>
    <n v="406"/>
    <x v="34"/>
    <n v="0.97714285714285709"/>
    <n v="1"/>
    <n v="5"/>
  </r>
  <r>
    <d v="2021-01-09T00:00:00"/>
    <x v="0"/>
    <n v="177"/>
    <n v="1831"/>
    <n v="83"/>
    <n v="18"/>
    <n v="327"/>
    <n v="184"/>
    <n v="-1"/>
    <n v="0"/>
    <n v="49"/>
    <x v="35"/>
    <n v="0.98809523809523814"/>
    <n v="1"/>
    <n v="1"/>
  </r>
  <r>
    <d v="2021-01-09T00:00:00"/>
    <x v="1"/>
    <n v="61"/>
    <n v="491"/>
    <n v="43"/>
    <n v="3"/>
    <n v="93"/>
    <n v="64"/>
    <n v="8"/>
    <n v="-1"/>
    <n v="10"/>
    <x v="35"/>
    <n v="1.2285714285714286"/>
    <n v="0.75"/>
    <n v="0"/>
  </r>
  <r>
    <d v="2021-01-09T00:00:00"/>
    <x v="2"/>
    <n v="71"/>
    <n v="751"/>
    <n v="20"/>
    <n v="2"/>
    <n v="146"/>
    <n v="75"/>
    <n v="2"/>
    <n v="2"/>
    <n v="23"/>
    <x v="35"/>
    <n v="1.1111111111111112"/>
    <e v="#NUM!"/>
    <n v="0"/>
  </r>
  <r>
    <d v="2021-01-09T00:00:00"/>
    <x v="3"/>
    <n v="88"/>
    <n v="947"/>
    <n v="37"/>
    <n v="3"/>
    <n v="314"/>
    <n v="110"/>
    <n v="7"/>
    <n v="0"/>
    <n v="18"/>
    <x v="35"/>
    <n v="1.2333333333333334"/>
    <n v="1"/>
    <n v="1"/>
  </r>
  <r>
    <d v="2021-01-09T00:00:00"/>
    <x v="4"/>
    <n v="43"/>
    <n v="736"/>
    <n v="38"/>
    <n v="12"/>
    <n v="86"/>
    <n v="50"/>
    <n v="-2"/>
    <n v="0"/>
    <n v="36"/>
    <x v="35"/>
    <n v="0.95"/>
    <n v="1"/>
    <n v="2"/>
  </r>
  <r>
    <d v="2021-01-09T00:00:00"/>
    <x v="5"/>
    <n v="88"/>
    <n v="1642"/>
    <n v="98"/>
    <n v="7"/>
    <n v="202"/>
    <n v="98"/>
    <n v="4"/>
    <n v="-1"/>
    <n v="106"/>
    <x v="35"/>
    <n v="1.0425531914893618"/>
    <n v="0.875"/>
    <n v="0"/>
  </r>
  <r>
    <d v="2021-01-09T00:00:00"/>
    <x v="6"/>
    <n v="133"/>
    <n v="1397"/>
    <n v="41"/>
    <n v="16"/>
    <n v="277"/>
    <n v="136"/>
    <n v="0"/>
    <n v="-2"/>
    <n v="69"/>
    <x v="35"/>
    <n v="1"/>
    <n v="0.88888888888888884"/>
    <n v="0"/>
  </r>
  <r>
    <d v="2021-01-09T00:00:00"/>
    <x v="7"/>
    <n v="661"/>
    <n v="7795"/>
    <n v="360"/>
    <n v="61"/>
    <n v="1445"/>
    <n v="717"/>
    <n v="18"/>
    <n v="-2"/>
    <n v="311"/>
    <x v="35"/>
    <n v="1.0526315789473684"/>
    <n v="0.96825396825396826"/>
    <n v="4"/>
  </r>
  <r>
    <d v="2021-01-10T00:00:00"/>
    <x v="0"/>
    <n v="151"/>
    <n v="1944"/>
    <n v="93"/>
    <n v="21"/>
    <n v="327"/>
    <n v="158"/>
    <n v="10"/>
    <n v="3"/>
    <n v="45"/>
    <x v="36"/>
    <n v="1.1204819277108433"/>
    <n v="1.1666666666666667"/>
    <n v="0"/>
  </r>
  <r>
    <d v="2021-01-10T00:00:00"/>
    <x v="1"/>
    <n v="86"/>
    <n v="567"/>
    <n v="54"/>
    <n v="6"/>
    <n v="93"/>
    <n v="87"/>
    <n v="11"/>
    <n v="3"/>
    <n v="11"/>
    <x v="36"/>
    <n v="1.2558139534883721"/>
    <n v="2"/>
    <n v="0"/>
  </r>
  <r>
    <d v="2021-01-10T00:00:00"/>
    <x v="2"/>
    <n v="50"/>
    <n v="778"/>
    <n v="21"/>
    <n v="3"/>
    <n v="147"/>
    <n v="57"/>
    <n v="1"/>
    <n v="1"/>
    <n v="29"/>
    <x v="36"/>
    <n v="1.05"/>
    <n v="1.5"/>
    <n v="1"/>
  </r>
  <r>
    <d v="2021-01-10T00:00:00"/>
    <x v="3"/>
    <n v="89"/>
    <n v="1040"/>
    <n v="42"/>
    <n v="3"/>
    <n v="315"/>
    <n v="114"/>
    <n v="5"/>
    <n v="0"/>
    <n v="20"/>
    <x v="36"/>
    <n v="1.1351351351351351"/>
    <n v="1"/>
    <n v="1"/>
  </r>
  <r>
    <d v="2021-01-10T00:00:00"/>
    <x v="4"/>
    <n v="66"/>
    <n v="758"/>
    <n v="44"/>
    <n v="11"/>
    <n v="87"/>
    <n v="67"/>
    <n v="6"/>
    <n v="-1"/>
    <n v="45"/>
    <x v="36"/>
    <n v="1.1578947368421053"/>
    <n v="0.91666666666666663"/>
    <n v="1"/>
  </r>
  <r>
    <d v="2021-01-10T00:00:00"/>
    <x v="5"/>
    <n v="74"/>
    <n v="1679"/>
    <n v="101"/>
    <n v="8"/>
    <n v="204"/>
    <n v="99"/>
    <n v="3"/>
    <n v="1"/>
    <n v="60"/>
    <x v="36"/>
    <n v="1.0306122448979591"/>
    <n v="1.1428571428571428"/>
    <n v="2"/>
  </r>
  <r>
    <d v="2021-01-10T00:00:00"/>
    <x v="6"/>
    <n v="111"/>
    <n v="1484"/>
    <n v="42"/>
    <n v="19"/>
    <n v="277"/>
    <n v="120"/>
    <n v="1"/>
    <n v="3"/>
    <n v="32"/>
    <x v="36"/>
    <n v="1.024390243902439"/>
    <n v="1.1875"/>
    <n v="0"/>
  </r>
  <r>
    <d v="2021-01-10T00:00:00"/>
    <x v="7"/>
    <n v="627"/>
    <n v="8250"/>
    <n v="397"/>
    <n v="71"/>
    <n v="1450"/>
    <n v="702"/>
    <n v="37"/>
    <n v="10"/>
    <n v="242"/>
    <x v="36"/>
    <n v="1.1027777777777779"/>
    <n v="1.1639344262295082"/>
    <n v="5"/>
  </r>
  <r>
    <d v="2021-01-11T00:00:00"/>
    <x v="0"/>
    <n v="144"/>
    <n v="2064"/>
    <n v="95"/>
    <n v="22"/>
    <n v="329"/>
    <n v="179"/>
    <n v="2"/>
    <n v="1"/>
    <n v="57"/>
    <x v="37"/>
    <n v="1.021505376344086"/>
    <n v="1.0476190476190477"/>
    <n v="2"/>
  </r>
  <r>
    <d v="2021-01-11T00:00:00"/>
    <x v="1"/>
    <n v="49"/>
    <n v="598"/>
    <n v="62"/>
    <n v="5"/>
    <n v="96"/>
    <n v="51"/>
    <n v="8"/>
    <n v="-1"/>
    <n v="17"/>
    <x v="37"/>
    <n v="1.1481481481481481"/>
    <n v="0.83333333333333337"/>
    <n v="3"/>
  </r>
  <r>
    <d v="2021-01-11T00:00:00"/>
    <x v="2"/>
    <n v="38"/>
    <n v="810"/>
    <n v="25"/>
    <n v="2"/>
    <n v="148"/>
    <n v="47"/>
    <n v="4"/>
    <n v="-1"/>
    <n v="13"/>
    <x v="37"/>
    <n v="1.1904761904761905"/>
    <n v="0.66666666666666663"/>
    <n v="1"/>
  </r>
  <r>
    <d v="2021-01-11T00:00:00"/>
    <x v="3"/>
    <n v="98"/>
    <n v="1140"/>
    <n v="44"/>
    <n v="4"/>
    <n v="316"/>
    <n v="124"/>
    <n v="2"/>
    <n v="1"/>
    <n v="23"/>
    <x v="37"/>
    <n v="1.0476190476190477"/>
    <n v="1.3333333333333333"/>
    <n v="1"/>
  </r>
  <r>
    <d v="2021-01-11T00:00:00"/>
    <x v="4"/>
    <n v="79"/>
    <n v="809"/>
    <n v="45"/>
    <n v="10"/>
    <n v="88"/>
    <n v="95"/>
    <n v="1"/>
    <n v="-1"/>
    <n v="43"/>
    <x v="37"/>
    <n v="1.0227272727272727"/>
    <n v="0.90909090909090906"/>
    <n v="1"/>
  </r>
  <r>
    <d v="2021-01-11T00:00:00"/>
    <x v="5"/>
    <n v="171"/>
    <n v="1810"/>
    <n v="105"/>
    <n v="7"/>
    <n v="206"/>
    <n v="200"/>
    <n v="4"/>
    <n v="-1"/>
    <n v="68"/>
    <x v="37"/>
    <n v="1.0396039603960396"/>
    <n v="0.875"/>
    <n v="2"/>
  </r>
  <r>
    <d v="2021-01-11T00:00:00"/>
    <x v="6"/>
    <n v="140"/>
    <n v="1579"/>
    <n v="45"/>
    <n v="20"/>
    <n v="279"/>
    <n v="148"/>
    <n v="3"/>
    <n v="1"/>
    <n v="51"/>
    <x v="37"/>
    <n v="1.0714285714285714"/>
    <n v="1.0526315789473684"/>
    <n v="2"/>
  </r>
  <r>
    <d v="2021-01-11T00:00:00"/>
    <x v="7"/>
    <n v="719"/>
    <n v="8810"/>
    <n v="421"/>
    <n v="70"/>
    <n v="1462"/>
    <n v="844"/>
    <n v="24"/>
    <n v="-1"/>
    <n v="272"/>
    <x v="37"/>
    <n v="1.0604534005037782"/>
    <n v="0.9859154929577465"/>
    <n v="12"/>
  </r>
  <r>
    <d v="2021-01-12T00:00:00"/>
    <x v="0"/>
    <n v="229"/>
    <n v="2260"/>
    <n v="108"/>
    <n v="22"/>
    <n v="331"/>
    <n v="256"/>
    <n v="13"/>
    <n v="0"/>
    <n v="58"/>
    <x v="38"/>
    <n v="1.1368421052631579"/>
    <n v="1"/>
    <n v="2"/>
  </r>
  <r>
    <d v="2021-01-12T00:00:00"/>
    <x v="1"/>
    <n v="71"/>
    <n v="659"/>
    <n v="74"/>
    <n v="5"/>
    <n v="96"/>
    <n v="74"/>
    <n v="12"/>
    <n v="0"/>
    <n v="13"/>
    <x v="38"/>
    <n v="1.1935483870967742"/>
    <n v="1"/>
    <n v="0"/>
  </r>
  <r>
    <d v="2021-01-12T00:00:00"/>
    <x v="2"/>
    <n v="90"/>
    <n v="890"/>
    <n v="28"/>
    <n v="4"/>
    <n v="148"/>
    <n v="104"/>
    <n v="3"/>
    <n v="2"/>
    <n v="23"/>
    <x v="38"/>
    <n v="1.1200000000000001"/>
    <n v="2"/>
    <n v="0"/>
  </r>
  <r>
    <d v="2021-01-12T00:00:00"/>
    <x v="3"/>
    <n v="118"/>
    <n v="1232"/>
    <n v="44"/>
    <n v="4"/>
    <n v="316"/>
    <n v="135"/>
    <n v="0"/>
    <n v="0"/>
    <n v="43"/>
    <x v="38"/>
    <n v="1"/>
    <n v="1"/>
    <n v="0"/>
  </r>
  <r>
    <d v="2021-01-12T00:00:00"/>
    <x v="4"/>
    <n v="61"/>
    <n v="832"/>
    <n v="47"/>
    <n v="10"/>
    <n v="88"/>
    <n v="62"/>
    <n v="2"/>
    <n v="0"/>
    <n v="39"/>
    <x v="38"/>
    <n v="1.0444444444444445"/>
    <n v="1"/>
    <n v="0"/>
  </r>
  <r>
    <d v="2021-01-12T00:00:00"/>
    <x v="5"/>
    <n v="149"/>
    <n v="1886"/>
    <n v="93"/>
    <n v="6"/>
    <n v="215"/>
    <n v="195"/>
    <n v="-12"/>
    <n v="-1"/>
    <n v="111"/>
    <x v="38"/>
    <n v="0.88571428571428568"/>
    <n v="0.8571428571428571"/>
    <n v="9"/>
  </r>
  <r>
    <d v="2021-01-12T00:00:00"/>
    <x v="6"/>
    <n v="210"/>
    <n v="1720"/>
    <n v="44"/>
    <n v="22"/>
    <n v="280"/>
    <n v="221"/>
    <n v="-1"/>
    <n v="2"/>
    <n v="79"/>
    <x v="38"/>
    <n v="0.97777777777777775"/>
    <n v="1.1000000000000001"/>
    <n v="1"/>
  </r>
  <r>
    <d v="2021-01-12T00:00:00"/>
    <x v="7"/>
    <n v="928"/>
    <n v="9479"/>
    <n v="438"/>
    <n v="73"/>
    <n v="1474"/>
    <n v="1047"/>
    <n v="17"/>
    <n v="3"/>
    <n v="366"/>
    <x v="38"/>
    <n v="1.0403800475059382"/>
    <n v="1.0428571428571429"/>
    <n v="12"/>
  </r>
  <r>
    <d v="2021-01-13T00:00:00"/>
    <x v="0"/>
    <n v="256"/>
    <n v="2469"/>
    <n v="123"/>
    <n v="27"/>
    <n v="333"/>
    <n v="298"/>
    <n v="15"/>
    <n v="5"/>
    <n v="88"/>
    <x v="39"/>
    <n v="1.1388888888888888"/>
    <n v="1.2272727272727273"/>
    <n v="2"/>
  </r>
  <r>
    <d v="2021-01-13T00:00:00"/>
    <x v="1"/>
    <n v="61"/>
    <n v="710"/>
    <n v="73"/>
    <n v="6"/>
    <n v="96"/>
    <n v="68"/>
    <n v="-1"/>
    <n v="1"/>
    <n v="17"/>
    <x v="39"/>
    <n v="0.98648648648648651"/>
    <n v="1.2"/>
    <n v="0"/>
  </r>
  <r>
    <d v="2021-01-13T00:00:00"/>
    <x v="2"/>
    <n v="97"/>
    <n v="945"/>
    <n v="31"/>
    <n v="3"/>
    <n v="149"/>
    <n v="99"/>
    <n v="3"/>
    <n v="-1"/>
    <n v="43"/>
    <x v="39"/>
    <n v="1.1071428571428572"/>
    <n v="0.75"/>
    <n v="1"/>
  </r>
  <r>
    <d v="2021-01-13T00:00:00"/>
    <x v="3"/>
    <n v="125"/>
    <n v="1348"/>
    <n v="46"/>
    <n v="7"/>
    <n v="317"/>
    <n v="164"/>
    <n v="2"/>
    <n v="3"/>
    <n v="47"/>
    <x v="39"/>
    <n v="1.0454545454545454"/>
    <n v="1.75"/>
    <n v="1"/>
  </r>
  <r>
    <d v="2021-01-13T00:00:00"/>
    <x v="4"/>
    <n v="75"/>
    <n v="867"/>
    <n v="51"/>
    <n v="9"/>
    <n v="89"/>
    <n v="85"/>
    <n v="4"/>
    <n v="-1"/>
    <n v="49"/>
    <x v="39"/>
    <n v="1.0851063829787233"/>
    <n v="0.9"/>
    <n v="1"/>
  </r>
  <r>
    <d v="2021-01-13T00:00:00"/>
    <x v="5"/>
    <n v="197"/>
    <n v="1983"/>
    <n v="92"/>
    <n v="8"/>
    <n v="215"/>
    <n v="231"/>
    <n v="-1"/>
    <n v="2"/>
    <n v="134"/>
    <x v="39"/>
    <n v="0.989247311827957"/>
    <n v="1.3333333333333333"/>
    <n v="0"/>
  </r>
  <r>
    <d v="2021-01-13T00:00:00"/>
    <x v="6"/>
    <n v="214"/>
    <n v="1893"/>
    <n v="47"/>
    <n v="22"/>
    <n v="281"/>
    <n v="244"/>
    <n v="3"/>
    <n v="0"/>
    <n v="70"/>
    <x v="39"/>
    <n v="1.0681818181818181"/>
    <n v="1"/>
    <n v="1"/>
  </r>
  <r>
    <d v="2021-01-13T00:00:00"/>
    <x v="7"/>
    <n v="1025"/>
    <n v="10215"/>
    <n v="463"/>
    <n v="82"/>
    <n v="1480"/>
    <n v="1189"/>
    <n v="25"/>
    <n v="9"/>
    <n v="448"/>
    <x v="39"/>
    <n v="1.0570776255707763"/>
    <n v="1.1232876712328768"/>
    <n v="6"/>
  </r>
  <r>
    <d v="2021-01-14T00:00:00"/>
    <x v="0"/>
    <n v="251"/>
    <n v="2635"/>
    <n v="138"/>
    <n v="26"/>
    <n v="333"/>
    <n v="295"/>
    <n v="15"/>
    <n v="-1"/>
    <n v="129"/>
    <x v="40"/>
    <n v="1.1219512195121952"/>
    <n v="0.96296296296296291"/>
    <n v="0"/>
  </r>
  <r>
    <d v="2021-01-14T00:00:00"/>
    <x v="1"/>
    <n v="108"/>
    <n v="796"/>
    <n v="77"/>
    <n v="9"/>
    <n v="98"/>
    <n v="113"/>
    <n v="4"/>
    <n v="3"/>
    <n v="25"/>
    <x v="40"/>
    <n v="1.0547945205479452"/>
    <n v="1.5"/>
    <n v="2"/>
  </r>
  <r>
    <d v="2021-01-14T00:00:00"/>
    <x v="2"/>
    <n v="75"/>
    <n v="992"/>
    <n v="32"/>
    <n v="3"/>
    <n v="150"/>
    <n v="85"/>
    <n v="1"/>
    <n v="0"/>
    <n v="37"/>
    <x v="40"/>
    <n v="1.032258064516129"/>
    <n v="1"/>
    <n v="1"/>
  </r>
  <r>
    <d v="2021-01-14T00:00:00"/>
    <x v="3"/>
    <n v="160"/>
    <n v="1459"/>
    <n v="54"/>
    <n v="9"/>
    <n v="318"/>
    <n v="194"/>
    <n v="8"/>
    <n v="2"/>
    <n v="82"/>
    <x v="40"/>
    <n v="1.173913043478261"/>
    <n v="1.2857142857142858"/>
    <n v="1"/>
  </r>
  <r>
    <d v="2021-01-14T00:00:00"/>
    <x v="4"/>
    <n v="75"/>
    <n v="907"/>
    <n v="54"/>
    <n v="11"/>
    <n v="89"/>
    <n v="81"/>
    <n v="3"/>
    <n v="2"/>
    <n v="41"/>
    <x v="40"/>
    <n v="1.0588235294117647"/>
    <n v="1.2222222222222223"/>
    <n v="0"/>
  </r>
  <r>
    <d v="2021-01-14T00:00:00"/>
    <x v="5"/>
    <n v="163"/>
    <n v="2081"/>
    <n v="94"/>
    <n v="10"/>
    <n v="216"/>
    <n v="210"/>
    <n v="2"/>
    <n v="2"/>
    <n v="111"/>
    <x v="40"/>
    <n v="1.0217391304347827"/>
    <n v="1.25"/>
    <n v="1"/>
  </r>
  <r>
    <d v="2021-01-14T00:00:00"/>
    <x v="6"/>
    <n v="181"/>
    <n v="1994"/>
    <n v="56"/>
    <n v="22"/>
    <n v="281"/>
    <n v="191"/>
    <n v="9"/>
    <n v="0"/>
    <n v="90"/>
    <x v="40"/>
    <n v="1.1914893617021276"/>
    <n v="1"/>
    <n v="0"/>
  </r>
  <r>
    <d v="2021-01-14T00:00:00"/>
    <x v="7"/>
    <n v="1013"/>
    <n v="10864"/>
    <n v="505"/>
    <n v="90"/>
    <n v="1485"/>
    <n v="1169"/>
    <n v="42"/>
    <n v="8"/>
    <n v="515"/>
    <x v="40"/>
    <n v="1.0907127429805616"/>
    <n v="1.0975609756097562"/>
    <n v="5"/>
  </r>
  <r>
    <d v="2021-01-15T00:00:00"/>
    <x v="0"/>
    <n v="261"/>
    <n v="2843"/>
    <n v="130"/>
    <n v="26"/>
    <n v="337"/>
    <n v="330"/>
    <n v="-8"/>
    <n v="0"/>
    <n v="118"/>
    <x v="41"/>
    <n v="0.94202898550724634"/>
    <n v="1"/>
    <n v="4"/>
  </r>
  <r>
    <d v="2021-01-15T00:00:00"/>
    <x v="1"/>
    <n v="140"/>
    <n v="909"/>
    <n v="80"/>
    <n v="9"/>
    <n v="99"/>
    <n v="146"/>
    <n v="3"/>
    <n v="0"/>
    <n v="32"/>
    <x v="41"/>
    <n v="1.0389610389610389"/>
    <n v="1"/>
    <n v="1"/>
  </r>
  <r>
    <d v="2021-01-15T00:00:00"/>
    <x v="2"/>
    <n v="84"/>
    <n v="1031"/>
    <n v="35"/>
    <n v="4"/>
    <n v="151"/>
    <n v="91"/>
    <n v="3"/>
    <n v="1"/>
    <n v="50"/>
    <x v="41"/>
    <n v="1.09375"/>
    <n v="1.3333333333333333"/>
    <n v="1"/>
  </r>
  <r>
    <d v="2021-01-15T00:00:00"/>
    <x v="3"/>
    <n v="151"/>
    <n v="1605"/>
    <n v="60"/>
    <n v="9"/>
    <n v="319"/>
    <n v="187"/>
    <n v="6"/>
    <n v="0"/>
    <n v="40"/>
    <x v="41"/>
    <n v="1.1111111111111112"/>
    <n v="1"/>
    <n v="1"/>
  </r>
  <r>
    <d v="2021-01-15T00:00:00"/>
    <x v="4"/>
    <n v="82"/>
    <n v="954"/>
    <n v="54"/>
    <n v="12"/>
    <n v="89"/>
    <n v="100"/>
    <n v="0"/>
    <n v="1"/>
    <n v="53"/>
    <x v="41"/>
    <n v="1"/>
    <n v="1.0909090909090908"/>
    <n v="0"/>
  </r>
  <r>
    <d v="2021-01-15T00:00:00"/>
    <x v="5"/>
    <n v="162"/>
    <n v="2157"/>
    <n v="97"/>
    <n v="12"/>
    <n v="220"/>
    <n v="211"/>
    <n v="3"/>
    <n v="2"/>
    <n v="132"/>
    <x v="41"/>
    <n v="1.0319148936170213"/>
    <n v="1.2"/>
    <n v="4"/>
  </r>
  <r>
    <d v="2021-01-15T00:00:00"/>
    <x v="6"/>
    <n v="255"/>
    <n v="2167"/>
    <n v="50"/>
    <n v="19"/>
    <n v="284"/>
    <n v="278"/>
    <n v="-6"/>
    <n v="-3"/>
    <n v="102"/>
    <x v="41"/>
    <n v="0.8928571428571429"/>
    <n v="0.86363636363636365"/>
    <n v="3"/>
  </r>
  <r>
    <d v="2021-01-15T00:00:00"/>
    <x v="7"/>
    <n v="1135"/>
    <n v="11666"/>
    <n v="506"/>
    <n v="91"/>
    <n v="1499"/>
    <n v="1343"/>
    <n v="1"/>
    <n v="1"/>
    <n v="527"/>
    <x v="41"/>
    <n v="1.001980198019802"/>
    <n v="1.0111111111111111"/>
    <n v="14"/>
  </r>
  <r>
    <d v="2021-01-16T00:00:00"/>
    <x v="0"/>
    <n v="337"/>
    <n v="3129"/>
    <n v="145"/>
    <n v="28"/>
    <n v="337"/>
    <n v="360"/>
    <n v="15"/>
    <n v="2"/>
    <n v="74"/>
    <x v="42"/>
    <n v="1.1153846153846154"/>
    <n v="1.0769230769230769"/>
    <n v="0"/>
  </r>
  <r>
    <d v="2021-01-16T00:00:00"/>
    <x v="1"/>
    <n v="70"/>
    <n v="981"/>
    <n v="83"/>
    <n v="13"/>
    <n v="99"/>
    <n v="84"/>
    <n v="3"/>
    <n v="4"/>
    <n v="12"/>
    <x v="42"/>
    <n v="1.0375000000000001"/>
    <n v="1.4444444444444444"/>
    <n v="0"/>
  </r>
  <r>
    <d v="2021-01-16T00:00:00"/>
    <x v="2"/>
    <n v="88"/>
    <n v="1098"/>
    <n v="37"/>
    <n v="6"/>
    <n v="151"/>
    <n v="108"/>
    <n v="2"/>
    <n v="2"/>
    <n v="41"/>
    <x v="42"/>
    <n v="1.0571428571428572"/>
    <n v="1.5"/>
    <n v="0"/>
  </r>
  <r>
    <d v="2021-01-16T00:00:00"/>
    <x v="3"/>
    <n v="148"/>
    <n v="1739"/>
    <n v="75"/>
    <n v="7"/>
    <n v="320"/>
    <n v="167"/>
    <n v="15"/>
    <n v="-2"/>
    <n v="32"/>
    <x v="42"/>
    <n v="1.25"/>
    <n v="0.77777777777777779"/>
    <n v="1"/>
  </r>
  <r>
    <d v="2021-01-16T00:00:00"/>
    <x v="4"/>
    <n v="84"/>
    <n v="983"/>
    <n v="56"/>
    <n v="12"/>
    <n v="90"/>
    <n v="92"/>
    <n v="2"/>
    <n v="0"/>
    <n v="62"/>
    <x v="42"/>
    <n v="1.037037037037037"/>
    <n v="1"/>
    <n v="1"/>
  </r>
  <r>
    <d v="2021-01-16T00:00:00"/>
    <x v="5"/>
    <n v="145"/>
    <n v="2245"/>
    <n v="95"/>
    <n v="14"/>
    <n v="222"/>
    <n v="177"/>
    <n v="-2"/>
    <n v="2"/>
    <n v="87"/>
    <x v="42"/>
    <n v="0.97938144329896903"/>
    <n v="1.1666666666666667"/>
    <n v="2"/>
  </r>
  <r>
    <d v="2021-01-16T00:00:00"/>
    <x v="6"/>
    <n v="252"/>
    <n v="2333"/>
    <n v="66"/>
    <n v="18"/>
    <n v="284"/>
    <n v="256"/>
    <n v="16"/>
    <n v="-1"/>
    <n v="90"/>
    <x v="42"/>
    <n v="1.32"/>
    <n v="0.94736842105263153"/>
    <n v="0"/>
  </r>
  <r>
    <d v="2021-01-16T00:00:00"/>
    <x v="7"/>
    <n v="1124"/>
    <n v="12508"/>
    <n v="557"/>
    <n v="98"/>
    <n v="1503"/>
    <n v="1244"/>
    <n v="51"/>
    <n v="7"/>
    <n v="398"/>
    <x v="42"/>
    <n v="1.1007905138339922"/>
    <n v="1.0769230769230769"/>
    <n v="4"/>
  </r>
  <r>
    <d v="2021-01-17T00:00:00"/>
    <x v="0"/>
    <n v="242"/>
    <n v="3346"/>
    <n v="163"/>
    <n v="31"/>
    <n v="340"/>
    <n v="282"/>
    <n v="18"/>
    <n v="3"/>
    <n v="62"/>
    <x v="43"/>
    <n v="1.1241379310344828"/>
    <n v="1.1071428571428572"/>
    <n v="3"/>
  </r>
  <r>
    <d v="2021-01-17T00:00:00"/>
    <x v="1"/>
    <n v="94"/>
    <n v="1049"/>
    <n v="89"/>
    <n v="11"/>
    <n v="101"/>
    <n v="99"/>
    <n v="6"/>
    <n v="-2"/>
    <n v="29"/>
    <x v="43"/>
    <n v="1.072289156626506"/>
    <n v="0.84615384615384615"/>
    <n v="2"/>
  </r>
  <r>
    <d v="2021-01-17T00:00:00"/>
    <x v="2"/>
    <n v="82"/>
    <n v="1146"/>
    <n v="43"/>
    <n v="7"/>
    <n v="151"/>
    <n v="93"/>
    <n v="6"/>
    <n v="1"/>
    <n v="45"/>
    <x v="43"/>
    <n v="1.1621621621621621"/>
    <n v="1.1666666666666667"/>
    <n v="0"/>
  </r>
  <r>
    <d v="2021-01-17T00:00:00"/>
    <x v="3"/>
    <n v="110"/>
    <n v="1830"/>
    <n v="92"/>
    <n v="6"/>
    <n v="320"/>
    <n v="131"/>
    <n v="17"/>
    <n v="-1"/>
    <n v="40"/>
    <x v="43"/>
    <n v="1.2266666666666666"/>
    <n v="0.8571428571428571"/>
    <n v="0"/>
  </r>
  <r>
    <d v="2021-01-17T00:00:00"/>
    <x v="4"/>
    <n v="112"/>
    <n v="1088"/>
    <n v="64"/>
    <n v="13"/>
    <n v="91"/>
    <n v="126"/>
    <n v="8"/>
    <n v="1"/>
    <n v="20"/>
    <x v="43"/>
    <n v="1.1428571428571428"/>
    <n v="1.0833333333333333"/>
    <n v="1"/>
  </r>
  <r>
    <d v="2021-01-17T00:00:00"/>
    <x v="5"/>
    <n v="117"/>
    <n v="2341"/>
    <n v="99"/>
    <n v="16"/>
    <n v="224"/>
    <n v="140"/>
    <n v="4"/>
    <n v="2"/>
    <n v="42"/>
    <x v="43"/>
    <n v="1.0421052631578946"/>
    <n v="1.1428571428571428"/>
    <n v="2"/>
  </r>
  <r>
    <d v="2021-01-17T00:00:00"/>
    <x v="6"/>
    <n v="133"/>
    <n v="2452"/>
    <n v="85"/>
    <n v="20"/>
    <n v="285"/>
    <n v="154"/>
    <n v="19"/>
    <n v="2"/>
    <n v="34"/>
    <x v="43"/>
    <n v="1.2878787878787878"/>
    <n v="1.1111111111111112"/>
    <n v="1"/>
  </r>
  <r>
    <d v="2021-01-17T00:00:00"/>
    <x v="7"/>
    <n v="890"/>
    <n v="13252"/>
    <n v="635"/>
    <n v="104"/>
    <n v="1512"/>
    <n v="1025"/>
    <n v="78"/>
    <n v="6"/>
    <n v="272"/>
    <x v="43"/>
    <n v="1.1400359066427288"/>
    <n v="1.0612244897959184"/>
    <n v="9"/>
  </r>
  <r>
    <d v="2021-01-18T00:00:00"/>
    <x v="0"/>
    <n v="205"/>
    <n v="3533"/>
    <n v="167"/>
    <n v="36"/>
    <n v="347"/>
    <n v="277"/>
    <n v="4"/>
    <n v="5"/>
    <n v="82"/>
    <x v="44"/>
    <n v="1.0245398773006136"/>
    <n v="1.1612903225806452"/>
    <n v="7"/>
  </r>
  <r>
    <d v="2021-01-18T00:00:00"/>
    <x v="1"/>
    <n v="99"/>
    <n v="1124"/>
    <n v="96"/>
    <n v="11"/>
    <n v="105"/>
    <n v="104"/>
    <n v="7"/>
    <n v="0"/>
    <n v="25"/>
    <x v="44"/>
    <n v="1.0786516853932584"/>
    <n v="1"/>
    <n v="4"/>
  </r>
  <r>
    <d v="2021-01-18T00:00:00"/>
    <x v="2"/>
    <n v="86"/>
    <n v="1210"/>
    <n v="39"/>
    <n v="7"/>
    <n v="152"/>
    <n v="102"/>
    <n v="-4"/>
    <n v="0"/>
    <n v="36"/>
    <x v="44"/>
    <n v="0.90697674418604646"/>
    <n v="1"/>
    <n v="1"/>
  </r>
  <r>
    <d v="2021-01-18T00:00:00"/>
    <x v="3"/>
    <n v="163"/>
    <n v="1960"/>
    <n v="105"/>
    <n v="8"/>
    <n v="321"/>
    <n v="207"/>
    <n v="13"/>
    <n v="2"/>
    <n v="76"/>
    <x v="44"/>
    <n v="1.1413043478260869"/>
    <n v="1.3333333333333333"/>
    <n v="1"/>
  </r>
  <r>
    <d v="2021-01-18T00:00:00"/>
    <x v="4"/>
    <n v="82"/>
    <n v="1145"/>
    <n v="67"/>
    <n v="11"/>
    <n v="92"/>
    <n v="100"/>
    <n v="3"/>
    <n v="-2"/>
    <n v="42"/>
    <x v="44"/>
    <n v="1.046875"/>
    <n v="0.84615384615384615"/>
    <n v="1"/>
  </r>
  <r>
    <d v="2021-01-18T00:00:00"/>
    <x v="5"/>
    <n v="166"/>
    <n v="2507"/>
    <n v="100"/>
    <n v="20"/>
    <n v="230"/>
    <n v="206"/>
    <n v="1"/>
    <n v="4"/>
    <n v="36"/>
    <x v="44"/>
    <n v="1.0101010101010102"/>
    <n v="1.25"/>
    <n v="6"/>
  </r>
  <r>
    <d v="2021-01-18T00:00:00"/>
    <x v="6"/>
    <n v="169"/>
    <n v="2596"/>
    <n v="90"/>
    <n v="21"/>
    <n v="289"/>
    <n v="187"/>
    <n v="5"/>
    <n v="1"/>
    <n v="39"/>
    <x v="44"/>
    <n v="1.0588235294117647"/>
    <n v="1.05"/>
    <n v="4"/>
  </r>
  <r>
    <d v="2021-01-18T00:00:00"/>
    <x v="7"/>
    <n v="970"/>
    <n v="14075"/>
    <n v="664"/>
    <n v="114"/>
    <n v="1536"/>
    <n v="1183"/>
    <n v="29"/>
    <n v="10"/>
    <n v="336"/>
    <x v="44"/>
    <n v="1.0456692913385828"/>
    <n v="1.0961538461538463"/>
    <n v="24"/>
  </r>
  <r>
    <d v="2021-01-19T00:00:00"/>
    <x v="0"/>
    <n v="348"/>
    <n v="3839"/>
    <n v="179"/>
    <n v="39"/>
    <n v="349"/>
    <n v="435"/>
    <n v="12"/>
    <n v="3"/>
    <n v="127"/>
    <x v="45"/>
    <n v="1.0718562874251496"/>
    <n v="1.0833333333333333"/>
    <n v="2"/>
  </r>
  <r>
    <d v="2021-01-19T00:00:00"/>
    <x v="1"/>
    <n v="88"/>
    <n v="1192"/>
    <n v="97"/>
    <n v="13"/>
    <n v="106"/>
    <n v="98"/>
    <n v="1"/>
    <n v="2"/>
    <n v="29"/>
    <x v="45"/>
    <n v="1.0104166666666667"/>
    <n v="1.1818181818181819"/>
    <n v="1"/>
  </r>
  <r>
    <d v="2021-01-19T00:00:00"/>
    <x v="2"/>
    <n v="104"/>
    <n v="1273"/>
    <n v="37"/>
    <n v="8"/>
    <n v="157"/>
    <n v="117"/>
    <n v="-2"/>
    <n v="1"/>
    <n v="48"/>
    <x v="45"/>
    <n v="0.94871794871794868"/>
    <n v="1.1428571428571428"/>
    <n v="5"/>
  </r>
  <r>
    <d v="2021-01-19T00:00:00"/>
    <x v="3"/>
    <n v="159"/>
    <n v="2107"/>
    <n v="103"/>
    <n v="10"/>
    <n v="321"/>
    <n v="205"/>
    <n v="-2"/>
    <n v="2"/>
    <n v="58"/>
    <x v="45"/>
    <n v="0.98095238095238091"/>
    <n v="1.25"/>
    <n v="0"/>
  </r>
  <r>
    <d v="2021-01-19T00:00:00"/>
    <x v="4"/>
    <n v="76"/>
    <n v="1195"/>
    <n v="62"/>
    <n v="14"/>
    <n v="92"/>
    <n v="88"/>
    <n v="-5"/>
    <n v="3"/>
    <n v="38"/>
    <x v="45"/>
    <n v="0.92537313432835822"/>
    <n v="1.2727272727272727"/>
    <n v="0"/>
  </r>
  <r>
    <d v="2021-01-19T00:00:00"/>
    <x v="5"/>
    <n v="126"/>
    <n v="2593"/>
    <n v="106"/>
    <n v="26"/>
    <n v="234"/>
    <n v="190"/>
    <n v="6"/>
    <n v="6"/>
    <n v="101"/>
    <x v="45"/>
    <n v="1.06"/>
    <n v="1.3"/>
    <n v="4"/>
  </r>
  <r>
    <d v="2021-01-19T00:00:00"/>
    <x v="6"/>
    <n v="203"/>
    <n v="2776"/>
    <n v="112"/>
    <n v="22"/>
    <n v="291"/>
    <n v="239"/>
    <n v="22"/>
    <n v="1"/>
    <n v="57"/>
    <x v="45"/>
    <n v="1.2444444444444445"/>
    <n v="1.0476190476190477"/>
    <n v="2"/>
  </r>
  <r>
    <d v="2021-01-19T00:00:00"/>
    <x v="7"/>
    <n v="1104"/>
    <n v="14975"/>
    <n v="696"/>
    <n v="132"/>
    <n v="1550"/>
    <n v="1372"/>
    <n v="32"/>
    <n v="18"/>
    <n v="458"/>
    <x v="45"/>
    <n v="1.0481927710843373"/>
    <n v="1.1578947368421053"/>
    <n v="14"/>
  </r>
  <r>
    <d v="2021-01-20T00:00:00"/>
    <x v="0"/>
    <n v="281"/>
    <n v="4124"/>
    <n v="188"/>
    <n v="38"/>
    <n v="350"/>
    <n v="442"/>
    <n v="9"/>
    <n v="-1"/>
    <n v="156"/>
    <x v="46"/>
    <n v="1.0502793296089385"/>
    <n v="0.97435897435897434"/>
    <n v="1"/>
  </r>
  <r>
    <d v="2021-01-20T00:00:00"/>
    <x v="1"/>
    <n v="128"/>
    <n v="1284"/>
    <n v="104"/>
    <n v="14"/>
    <n v="106"/>
    <n v="141"/>
    <n v="7"/>
    <n v="1"/>
    <n v="49"/>
    <x v="46"/>
    <n v="1.0721649484536082"/>
    <n v="1.0769230769230769"/>
    <n v="0"/>
  </r>
  <r>
    <d v="2021-01-20T00:00:00"/>
    <x v="2"/>
    <n v="109"/>
    <n v="1361"/>
    <n v="39"/>
    <n v="9"/>
    <n v="158"/>
    <n v="132"/>
    <n v="2"/>
    <n v="1"/>
    <n v="43"/>
    <x v="46"/>
    <n v="1.0540540540540539"/>
    <n v="1.125"/>
    <n v="1"/>
  </r>
  <r>
    <d v="2021-01-20T00:00:00"/>
    <x v="3"/>
    <n v="182"/>
    <n v="2251"/>
    <n v="114"/>
    <n v="10"/>
    <n v="325"/>
    <n v="242"/>
    <n v="11"/>
    <n v="0"/>
    <n v="94"/>
    <x v="46"/>
    <n v="1.1067961165048543"/>
    <n v="1"/>
    <n v="4"/>
  </r>
  <r>
    <d v="2021-01-20T00:00:00"/>
    <x v="4"/>
    <n v="192"/>
    <n v="1374"/>
    <n v="74"/>
    <n v="14"/>
    <n v="94"/>
    <n v="214"/>
    <n v="12"/>
    <n v="0"/>
    <n v="33"/>
    <x v="46"/>
    <n v="1.1935483870967742"/>
    <n v="1"/>
    <n v="2"/>
  </r>
  <r>
    <d v="2021-01-20T00:00:00"/>
    <x v="5"/>
    <n v="173"/>
    <n v="2694"/>
    <n v="108"/>
    <n v="28"/>
    <n v="237"/>
    <n v="233"/>
    <n v="2"/>
    <n v="2"/>
    <n v="129"/>
    <x v="46"/>
    <n v="1.0188679245283019"/>
    <n v="1.0769230769230769"/>
    <n v="3"/>
  </r>
  <r>
    <d v="2021-01-20T00:00:00"/>
    <x v="6"/>
    <n v="289"/>
    <n v="2942"/>
    <n v="117"/>
    <n v="22"/>
    <n v="296"/>
    <n v="323"/>
    <n v="5"/>
    <n v="0"/>
    <n v="152"/>
    <x v="46"/>
    <n v="1.0446428571428572"/>
    <n v="1"/>
    <n v="5"/>
  </r>
  <r>
    <d v="2021-01-20T00:00:00"/>
    <x v="7"/>
    <n v="1354"/>
    <n v="16030"/>
    <n v="744"/>
    <n v="135"/>
    <n v="1566"/>
    <n v="1727"/>
    <n v="48"/>
    <n v="3"/>
    <n v="656"/>
    <x v="46"/>
    <n v="1.0689655172413792"/>
    <n v="1.0227272727272727"/>
    <n v="16"/>
  </r>
  <r>
    <d v="2021-01-21T00:00:00"/>
    <x v="0"/>
    <n v="346"/>
    <n v="4414"/>
    <n v="210"/>
    <n v="38"/>
    <n v="353"/>
    <n v="446"/>
    <n v="22"/>
    <n v="0"/>
    <n v="152"/>
    <x v="47"/>
    <n v="1.1170212765957446"/>
    <n v="1"/>
    <n v="3"/>
  </r>
  <r>
    <d v="2021-01-21T00:00:00"/>
    <x v="1"/>
    <n v="120"/>
    <n v="1368"/>
    <n v="117"/>
    <n v="16"/>
    <n v="109"/>
    <n v="129"/>
    <n v="13"/>
    <n v="2"/>
    <n v="42"/>
    <x v="47"/>
    <n v="1.125"/>
    <n v="1.1428571428571428"/>
    <n v="3"/>
  </r>
  <r>
    <d v="2021-01-21T00:00:00"/>
    <x v="2"/>
    <n v="151"/>
    <n v="1449"/>
    <n v="36"/>
    <n v="10"/>
    <n v="158"/>
    <n v="163"/>
    <n v="-3"/>
    <n v="1"/>
    <n v="75"/>
    <x v="47"/>
    <n v="0.92307692307692313"/>
    <n v="1.1111111111111112"/>
    <n v="0"/>
  </r>
  <r>
    <d v="2021-01-21T00:00:00"/>
    <x v="3"/>
    <n v="193"/>
    <n v="2413"/>
    <n v="119"/>
    <n v="10"/>
    <n v="327"/>
    <n v="253"/>
    <n v="5"/>
    <n v="0"/>
    <n v="89"/>
    <x v="47"/>
    <n v="1.0438596491228069"/>
    <n v="1"/>
    <n v="2"/>
  </r>
  <r>
    <d v="2021-01-21T00:00:00"/>
    <x v="4"/>
    <n v="138"/>
    <n v="1485"/>
    <n v="83"/>
    <n v="14"/>
    <n v="96"/>
    <n v="162"/>
    <n v="9"/>
    <n v="0"/>
    <n v="48"/>
    <x v="47"/>
    <n v="1.1216216216216217"/>
    <n v="1"/>
    <n v="2"/>
  </r>
  <r>
    <d v="2021-01-21T00:00:00"/>
    <x v="5"/>
    <n v="225"/>
    <n v="2843"/>
    <n v="114"/>
    <n v="28"/>
    <n v="240"/>
    <n v="295"/>
    <n v="6"/>
    <n v="0"/>
    <n v="144"/>
    <x v="47"/>
    <n v="1.0555555555555556"/>
    <n v="1"/>
    <n v="3"/>
  </r>
  <r>
    <d v="2021-01-21T00:00:00"/>
    <x v="6"/>
    <n v="332"/>
    <n v="3153"/>
    <n v="116"/>
    <n v="21"/>
    <n v="301"/>
    <n v="354"/>
    <n v="-1"/>
    <n v="-1"/>
    <n v="139"/>
    <x v="47"/>
    <n v="0.99145299145299148"/>
    <n v="0.95454545454545459"/>
    <n v="5"/>
  </r>
  <r>
    <d v="2021-01-21T00:00:00"/>
    <x v="7"/>
    <n v="1505"/>
    <n v="17125"/>
    <n v="795"/>
    <n v="137"/>
    <n v="1584"/>
    <n v="1802"/>
    <n v="51"/>
    <n v="2"/>
    <n v="689"/>
    <x v="47"/>
    <n v="1.0685483870967742"/>
    <n v="1.0148148148148148"/>
    <n v="18"/>
  </r>
  <r>
    <d v="2021-01-22T00:00:00"/>
    <x v="0"/>
    <n v="433"/>
    <n v="4826"/>
    <n v="226"/>
    <n v="38"/>
    <n v="358"/>
    <n v="549"/>
    <n v="16"/>
    <n v="0"/>
    <n v="132"/>
    <x v="48"/>
    <n v="1.0761904761904761"/>
    <n v="1"/>
    <n v="5"/>
  </r>
  <r>
    <d v="2021-01-22T00:00:00"/>
    <x v="1"/>
    <n v="138"/>
    <n v="1472"/>
    <n v="113"/>
    <n v="19"/>
    <n v="111"/>
    <n v="149"/>
    <n v="-4"/>
    <n v="3"/>
    <n v="43"/>
    <x v="48"/>
    <n v="0.96581196581196582"/>
    <n v="1.1875"/>
    <n v="2"/>
  </r>
  <r>
    <d v="2021-01-22T00:00:00"/>
    <x v="2"/>
    <n v="170"/>
    <n v="1545"/>
    <n v="41"/>
    <n v="11"/>
    <n v="158"/>
    <n v="188"/>
    <n v="5"/>
    <n v="1"/>
    <n v="92"/>
    <x v="48"/>
    <n v="1.1388888888888888"/>
    <n v="1.1000000000000001"/>
    <n v="0"/>
  </r>
  <r>
    <d v="2021-01-22T00:00:00"/>
    <x v="3"/>
    <n v="179"/>
    <n v="2568"/>
    <n v="129"/>
    <n v="12"/>
    <n v="328"/>
    <n v="264"/>
    <n v="10"/>
    <n v="2"/>
    <n v="108"/>
    <x v="48"/>
    <n v="1.0840336134453781"/>
    <n v="1.2"/>
    <n v="1"/>
  </r>
  <r>
    <d v="2021-01-22T00:00:00"/>
    <x v="4"/>
    <n v="124"/>
    <n v="1579"/>
    <n v="84"/>
    <n v="13"/>
    <n v="97"/>
    <n v="154"/>
    <n v="1"/>
    <n v="-1"/>
    <n v="59"/>
    <x v="48"/>
    <n v="1.0120481927710843"/>
    <n v="0.9285714285714286"/>
    <n v="1"/>
  </r>
  <r>
    <d v="2021-01-22T00:00:00"/>
    <x v="5"/>
    <n v="172"/>
    <n v="2947"/>
    <n v="106"/>
    <n v="27"/>
    <n v="243"/>
    <n v="253"/>
    <n v="-8"/>
    <n v="-1"/>
    <n v="147"/>
    <x v="48"/>
    <n v="0.92982456140350878"/>
    <n v="0.9642857142857143"/>
    <n v="3"/>
  </r>
  <r>
    <d v="2021-01-22T00:00:00"/>
    <x v="6"/>
    <n v="299"/>
    <n v="3349"/>
    <n v="126"/>
    <n v="22"/>
    <n v="304"/>
    <n v="331"/>
    <n v="10"/>
    <n v="1"/>
    <n v="132"/>
    <x v="48"/>
    <n v="1.0862068965517242"/>
    <n v="1.0476190476190477"/>
    <n v="3"/>
  </r>
  <r>
    <d v="2021-01-22T00:00:00"/>
    <x v="7"/>
    <n v="1515"/>
    <n v="18286"/>
    <n v="825"/>
    <n v="142"/>
    <n v="1599"/>
    <n v="1888"/>
    <n v="30"/>
    <n v="5"/>
    <n v="713"/>
    <x v="48"/>
    <n v="1.0377358490566038"/>
    <n v="1.0364963503649636"/>
    <n v="15"/>
  </r>
  <r>
    <d v="2021-01-23T00:00:00"/>
    <x v="0"/>
    <n v="390"/>
    <n v="5057"/>
    <n v="248"/>
    <n v="39"/>
    <n v="359"/>
    <n v="449"/>
    <n v="22"/>
    <n v="1"/>
    <n v="217"/>
    <x v="49"/>
    <n v="1.0973451327433628"/>
    <n v="1.0263157894736843"/>
    <n v="1"/>
  </r>
  <r>
    <d v="2021-01-23T00:00:00"/>
    <x v="1"/>
    <n v="98"/>
    <n v="1544"/>
    <n v="124"/>
    <n v="21"/>
    <n v="113"/>
    <n v="107"/>
    <n v="11"/>
    <n v="2"/>
    <n v="33"/>
    <x v="49"/>
    <n v="1.0973451327433628"/>
    <n v="1.1052631578947369"/>
    <n v="2"/>
  </r>
  <r>
    <d v="2021-01-23T00:00:00"/>
    <x v="2"/>
    <n v="157"/>
    <n v="1666"/>
    <n v="48"/>
    <n v="11"/>
    <n v="160"/>
    <n v="173"/>
    <n v="7"/>
    <n v="0"/>
    <n v="50"/>
    <x v="49"/>
    <n v="1.1707317073170731"/>
    <n v="1"/>
    <n v="2"/>
  </r>
  <r>
    <d v="2021-01-23T00:00:00"/>
    <x v="3"/>
    <n v="183"/>
    <n v="2691"/>
    <n v="143"/>
    <n v="12"/>
    <n v="328"/>
    <n v="231"/>
    <n v="14"/>
    <n v="0"/>
    <n v="108"/>
    <x v="49"/>
    <n v="1.1085271317829457"/>
    <n v="1"/>
    <n v="0"/>
  </r>
  <r>
    <d v="2021-01-23T00:00:00"/>
    <x v="4"/>
    <n v="111"/>
    <n v="1650"/>
    <n v="102"/>
    <n v="15"/>
    <n v="98"/>
    <n v="134"/>
    <n v="18"/>
    <n v="2"/>
    <n v="62"/>
    <x v="49"/>
    <n v="1.2142857142857142"/>
    <n v="1.1538461538461537"/>
    <n v="1"/>
  </r>
  <r>
    <d v="2021-01-23T00:00:00"/>
    <x v="5"/>
    <n v="118"/>
    <n v="2924"/>
    <n v="112"/>
    <n v="29"/>
    <n v="243"/>
    <n v="159"/>
    <n v="6"/>
    <n v="2"/>
    <n v="182"/>
    <x v="49"/>
    <n v="1.0566037735849056"/>
    <n v="1.0740740740740742"/>
    <n v="0"/>
  </r>
  <r>
    <d v="2021-01-23T00:00:00"/>
    <x v="6"/>
    <n v="268"/>
    <n v="3460"/>
    <n v="139"/>
    <n v="23"/>
    <n v="307"/>
    <n v="275"/>
    <n v="13"/>
    <n v="1"/>
    <n v="161"/>
    <x v="49"/>
    <n v="1.1031746031746033"/>
    <n v="1.0454545454545454"/>
    <n v="3"/>
  </r>
  <r>
    <d v="2021-01-23T00:00:00"/>
    <x v="7"/>
    <n v="1325"/>
    <n v="18992"/>
    <n v="916"/>
    <n v="150"/>
    <n v="1608"/>
    <n v="1528"/>
    <n v="91"/>
    <n v="8"/>
    <n v="813"/>
    <x v="49"/>
    <n v="1.1103030303030303"/>
    <n v="1.056338028169014"/>
    <n v="9"/>
  </r>
  <r>
    <d v="2021-01-24T00:00:00"/>
    <x v="0"/>
    <n v="251"/>
    <n v="5225"/>
    <n v="272"/>
    <n v="43"/>
    <n v="367"/>
    <n v="300"/>
    <n v="24"/>
    <n v="4"/>
    <n v="124"/>
    <x v="50"/>
    <n v="1.096774193548387"/>
    <n v="1.1025641025641026"/>
    <n v="8"/>
  </r>
  <r>
    <d v="2021-01-24T00:00:00"/>
    <x v="1"/>
    <n v="98"/>
    <n v="1573"/>
    <n v="131"/>
    <n v="23"/>
    <n v="113"/>
    <n v="106"/>
    <n v="7"/>
    <n v="2"/>
    <n v="77"/>
    <x v="50"/>
    <n v="1.0564516129032258"/>
    <n v="1.0952380952380953"/>
    <n v="0"/>
  </r>
  <r>
    <d v="2021-01-24T00:00:00"/>
    <x v="2"/>
    <n v="111"/>
    <n v="1731"/>
    <n v="51"/>
    <n v="15"/>
    <n v="160"/>
    <n v="121"/>
    <n v="3"/>
    <n v="4"/>
    <n v="56"/>
    <x v="50"/>
    <n v="1.0625"/>
    <n v="1.3636363636363635"/>
    <n v="0"/>
  </r>
  <r>
    <d v="2021-01-24T00:00:00"/>
    <x v="3"/>
    <n v="116"/>
    <n v="2761"/>
    <n v="156"/>
    <n v="12"/>
    <n v="330"/>
    <n v="150"/>
    <n v="13"/>
    <n v="0"/>
    <n v="78"/>
    <x v="50"/>
    <n v="1.0909090909090908"/>
    <n v="1"/>
    <n v="2"/>
  </r>
  <r>
    <d v="2021-01-24T00:00:00"/>
    <x v="4"/>
    <n v="186"/>
    <n v="1818"/>
    <n v="107"/>
    <n v="15"/>
    <n v="101"/>
    <n v="201"/>
    <n v="5"/>
    <n v="0"/>
    <n v="30"/>
    <x v="50"/>
    <n v="1.0490196078431373"/>
    <n v="1"/>
    <n v="3"/>
  </r>
  <r>
    <d v="2021-01-24T00:00:00"/>
    <x v="5"/>
    <n v="251"/>
    <n v="3118"/>
    <n v="122"/>
    <n v="32"/>
    <n v="243"/>
    <n v="294"/>
    <n v="10"/>
    <n v="3"/>
    <n v="99"/>
    <x v="50"/>
    <n v="1.0892857142857142"/>
    <n v="1.103448275862069"/>
    <n v="0"/>
  </r>
  <r>
    <d v="2021-01-24T00:00:00"/>
    <x v="6"/>
    <n v="221"/>
    <n v="3542"/>
    <n v="154"/>
    <n v="21"/>
    <n v="308"/>
    <n v="230"/>
    <n v="15"/>
    <n v="-2"/>
    <n v="148"/>
    <x v="50"/>
    <n v="1.1079136690647482"/>
    <n v="0.91304347826086951"/>
    <n v="1"/>
  </r>
  <r>
    <d v="2021-01-24T00:00:00"/>
    <x v="7"/>
    <n v="1234"/>
    <n v="19768"/>
    <n v="993"/>
    <n v="161"/>
    <n v="1622"/>
    <n v="1402"/>
    <n v="77"/>
    <n v="11"/>
    <n v="612"/>
    <x v="50"/>
    <n v="1.0840611353711791"/>
    <n v="1.0733333333333333"/>
    <n v="14"/>
  </r>
  <r>
    <d v="2021-01-25T00:00:00"/>
    <x v="0"/>
    <n v="252"/>
    <n v="5389"/>
    <n v="282"/>
    <n v="47"/>
    <n v="376"/>
    <n v="347"/>
    <n v="10"/>
    <n v="4"/>
    <n v="176"/>
    <x v="51"/>
    <n v="1.036764705882353"/>
    <n v="1.0930232558139534"/>
    <n v="9"/>
  </r>
  <r>
    <d v="2021-01-25T00:00:00"/>
    <x v="1"/>
    <n v="95"/>
    <n v="1616"/>
    <n v="132"/>
    <n v="24"/>
    <n v="118"/>
    <n v="105"/>
    <n v="1"/>
    <n v="1"/>
    <n v="57"/>
    <x v="51"/>
    <n v="1.0076335877862594"/>
    <n v="1.0434782608695652"/>
    <n v="5"/>
  </r>
  <r>
    <d v="2021-01-25T00:00:00"/>
    <x v="2"/>
    <n v="91"/>
    <n v="1798"/>
    <n v="57"/>
    <n v="15"/>
    <n v="162"/>
    <n v="116"/>
    <n v="6"/>
    <n v="0"/>
    <n v="47"/>
    <x v="51"/>
    <n v="1.1176470588235294"/>
    <n v="1"/>
    <n v="2"/>
  </r>
  <r>
    <d v="2021-01-25T00:00:00"/>
    <x v="3"/>
    <n v="118"/>
    <n v="2866"/>
    <n v="164"/>
    <n v="12"/>
    <n v="333"/>
    <n v="211"/>
    <n v="8"/>
    <n v="0"/>
    <n v="103"/>
    <x v="51"/>
    <n v="1.0512820512820513"/>
    <n v="1"/>
    <n v="3"/>
  </r>
  <r>
    <d v="2021-01-25T00:00:00"/>
    <x v="4"/>
    <n v="187"/>
    <n v="1940"/>
    <n v="113"/>
    <n v="15"/>
    <n v="101"/>
    <n v="216"/>
    <n v="6"/>
    <n v="0"/>
    <n v="94"/>
    <x v="51"/>
    <n v="1.0560747663551402"/>
    <n v="1"/>
    <n v="0"/>
  </r>
  <r>
    <d v="2021-01-25T00:00:00"/>
    <x v="5"/>
    <n v="174"/>
    <n v="3242"/>
    <n v="124"/>
    <n v="34"/>
    <n v="248"/>
    <n v="239"/>
    <n v="2"/>
    <n v="2"/>
    <n v="110"/>
    <x v="51"/>
    <n v="1.0163934426229508"/>
    <n v="1.0625"/>
    <n v="5"/>
  </r>
  <r>
    <d v="2021-01-25T00:00:00"/>
    <x v="6"/>
    <n v="151"/>
    <n v="3630"/>
    <n v="159"/>
    <n v="23"/>
    <n v="311"/>
    <n v="177"/>
    <n v="5"/>
    <n v="2"/>
    <n v="86"/>
    <x v="51"/>
    <n v="1.0324675324675325"/>
    <n v="1.0952380952380953"/>
    <n v="3"/>
  </r>
  <r>
    <d v="2021-01-25T00:00:00"/>
    <x v="7"/>
    <n v="1068"/>
    <n v="20481"/>
    <n v="1031"/>
    <n v="170"/>
    <n v="1649"/>
    <n v="1411"/>
    <n v="38"/>
    <n v="9"/>
    <n v="673"/>
    <x v="51"/>
    <n v="1.0382678751258811"/>
    <n v="1.0559006211180124"/>
    <n v="27"/>
  </r>
  <r>
    <d v="2021-01-26T00:00:00"/>
    <x v="0"/>
    <n v="366"/>
    <n v="5679"/>
    <n v="305"/>
    <n v="48"/>
    <n v="379"/>
    <n v="446"/>
    <n v="23"/>
    <n v="1"/>
    <n v="153"/>
    <x v="52"/>
    <n v="1.0815602836879432"/>
    <n v="1.0212765957446808"/>
    <n v="3"/>
  </r>
  <r>
    <d v="2021-01-26T00:00:00"/>
    <x v="1"/>
    <n v="85"/>
    <n v="1669"/>
    <n v="136"/>
    <n v="26"/>
    <n v="120"/>
    <n v="96"/>
    <n v="4"/>
    <n v="2"/>
    <n v="41"/>
    <x v="52"/>
    <n v="1.0303030303030303"/>
    <n v="1.0833333333333333"/>
    <n v="2"/>
  </r>
  <r>
    <d v="2021-01-26T00:00:00"/>
    <x v="2"/>
    <n v="184"/>
    <n v="1954"/>
    <n v="58"/>
    <n v="15"/>
    <n v="162"/>
    <n v="211"/>
    <n v="1"/>
    <n v="0"/>
    <n v="55"/>
    <x v="52"/>
    <n v="1.0175438596491229"/>
    <n v="1"/>
    <n v="0"/>
  </r>
  <r>
    <d v="2021-01-26T00:00:00"/>
    <x v="3"/>
    <n v="160"/>
    <n v="2980"/>
    <n v="172"/>
    <n v="14"/>
    <n v="335"/>
    <n v="218"/>
    <n v="8"/>
    <n v="2"/>
    <n v="101"/>
    <x v="52"/>
    <n v="1.0487804878048781"/>
    <n v="1.1666666666666667"/>
    <n v="2"/>
  </r>
  <r>
    <d v="2021-01-26T00:00:00"/>
    <x v="4"/>
    <n v="133"/>
    <n v="2022"/>
    <n v="118"/>
    <n v="16"/>
    <n v="101"/>
    <n v="165"/>
    <n v="5"/>
    <n v="1"/>
    <n v="83"/>
    <x v="52"/>
    <n v="1.0442477876106195"/>
    <n v="1.0666666666666667"/>
    <n v="0"/>
  </r>
  <r>
    <d v="2021-01-26T00:00:00"/>
    <x v="5"/>
    <n v="159"/>
    <n v="3309"/>
    <n v="126"/>
    <n v="36"/>
    <n v="250"/>
    <n v="225"/>
    <n v="2"/>
    <n v="2"/>
    <n v="156"/>
    <x v="52"/>
    <n v="1.0161290322580645"/>
    <n v="1.0588235294117647"/>
    <n v="2"/>
  </r>
  <r>
    <d v="2021-01-26T00:00:00"/>
    <x v="6"/>
    <n v="210"/>
    <n v="3680"/>
    <n v="178"/>
    <n v="23"/>
    <n v="312"/>
    <n v="225"/>
    <n v="19"/>
    <n v="0"/>
    <n v="175"/>
    <x v="52"/>
    <n v="1.1194968553459119"/>
    <n v="1"/>
    <n v="1"/>
  </r>
  <r>
    <d v="2021-01-26T00:00:00"/>
    <x v="7"/>
    <n v="1297"/>
    <n v="21293"/>
    <n v="1093"/>
    <n v="178"/>
    <n v="1659"/>
    <n v="1586"/>
    <n v="62"/>
    <n v="8"/>
    <n v="764"/>
    <x v="52"/>
    <n v="1.0601357904946653"/>
    <n v="1.0470588235294118"/>
    <n v="10"/>
  </r>
  <r>
    <d v="2021-01-27T00:00:00"/>
    <x v="0"/>
    <n v="277"/>
    <n v="5855"/>
    <n v="310"/>
    <n v="59"/>
    <n v="391"/>
    <n v="409"/>
    <n v="5"/>
    <n v="11"/>
    <n v="222"/>
    <x v="53"/>
    <n v="1.0163934426229508"/>
    <n v="1.2291666666666667"/>
    <n v="12"/>
  </r>
  <r>
    <d v="2021-01-27T00:00:00"/>
    <x v="1"/>
    <n v="101"/>
    <n v="1706"/>
    <n v="135"/>
    <n v="30"/>
    <n v="120"/>
    <n v="115"/>
    <n v="-1"/>
    <n v="4"/>
    <n v="78"/>
    <x v="53"/>
    <n v="0.99264705882352944"/>
    <n v="1.1538461538461537"/>
    <n v="0"/>
  </r>
  <r>
    <d v="2021-01-27T00:00:00"/>
    <x v="2"/>
    <n v="130"/>
    <n v="1978"/>
    <n v="57"/>
    <n v="15"/>
    <n v="163"/>
    <n v="134"/>
    <n v="-1"/>
    <n v="0"/>
    <n v="109"/>
    <x v="53"/>
    <n v="0.98275862068965514"/>
    <n v="1"/>
    <n v="1"/>
  </r>
  <r>
    <d v="2021-01-27T00:00:00"/>
    <x v="3"/>
    <n v="137"/>
    <n v="2968"/>
    <n v="177"/>
    <n v="14"/>
    <n v="340"/>
    <n v="171"/>
    <n v="5"/>
    <n v="0"/>
    <n v="178"/>
    <x v="53"/>
    <n v="1.0290697674418605"/>
    <n v="1"/>
    <n v="5"/>
  </r>
  <r>
    <d v="2021-01-27T00:00:00"/>
    <x v="4"/>
    <n v="151"/>
    <n v="2154"/>
    <n v="116"/>
    <n v="17"/>
    <n v="105"/>
    <n v="187"/>
    <n v="-2"/>
    <n v="1"/>
    <n v="51"/>
    <x v="53"/>
    <n v="0.98305084745762716"/>
    <n v="1.0625"/>
    <n v="4"/>
  </r>
  <r>
    <d v="2021-01-27T00:00:00"/>
    <x v="5"/>
    <n v="124"/>
    <n v="3271"/>
    <n v="119"/>
    <n v="35"/>
    <n v="253"/>
    <n v="197"/>
    <n v="-7"/>
    <n v="-1"/>
    <n v="231"/>
    <x v="53"/>
    <n v="0.94444444444444442"/>
    <n v="0.97222222222222221"/>
    <n v="3"/>
  </r>
  <r>
    <d v="2021-01-27T00:00:00"/>
    <x v="6"/>
    <n v="201"/>
    <n v="3681"/>
    <n v="172"/>
    <n v="23"/>
    <n v="316"/>
    <n v="255"/>
    <n v="-6"/>
    <n v="0"/>
    <n v="250"/>
    <x v="53"/>
    <n v="0.9662921348314607"/>
    <n v="1"/>
    <n v="4"/>
  </r>
  <r>
    <d v="2021-01-27T00:00:00"/>
    <x v="7"/>
    <n v="1121"/>
    <n v="21613"/>
    <n v="1086"/>
    <n v="193"/>
    <n v="1688"/>
    <n v="1468"/>
    <n v="-7"/>
    <n v="15"/>
    <n v="1119"/>
    <x v="53"/>
    <n v="0.9935956084172004"/>
    <n v="1.0842696629213484"/>
    <n v="29"/>
  </r>
  <r>
    <d v="2021-01-28T00:00:00"/>
    <x v="0"/>
    <n v="250"/>
    <n v="5912"/>
    <n v="321"/>
    <n v="69"/>
    <n v="400"/>
    <n v="365"/>
    <n v="11"/>
    <n v="10"/>
    <n v="300"/>
    <x v="54"/>
    <n v="1.0354838709677419"/>
    <n v="1.1694915254237288"/>
    <n v="9"/>
  </r>
  <r>
    <d v="2021-01-28T00:00:00"/>
    <x v="1"/>
    <n v="124"/>
    <n v="1796"/>
    <n v="150"/>
    <n v="25"/>
    <n v="123"/>
    <n v="145"/>
    <n v="15"/>
    <n v="-5"/>
    <n v="52"/>
    <x v="54"/>
    <n v="1.1111111111111112"/>
    <n v="0.83333333333333337"/>
    <n v="3"/>
  </r>
  <r>
    <d v="2021-01-28T00:00:00"/>
    <x v="2"/>
    <n v="114"/>
    <n v="2009"/>
    <n v="56"/>
    <n v="16"/>
    <n v="168"/>
    <n v="123"/>
    <n v="-1"/>
    <n v="1"/>
    <n v="87"/>
    <x v="54"/>
    <n v="0.98245614035087714"/>
    <n v="1.0666666666666667"/>
    <n v="5"/>
  </r>
  <r>
    <d v="2021-01-28T00:00:00"/>
    <x v="3"/>
    <n v="160"/>
    <n v="2989"/>
    <n v="178"/>
    <n v="12"/>
    <n v="347"/>
    <n v="190"/>
    <n v="1"/>
    <n v="-2"/>
    <n v="162"/>
    <x v="54"/>
    <n v="1.0056497175141244"/>
    <n v="0.8571428571428571"/>
    <n v="7"/>
  </r>
  <r>
    <d v="2021-01-28T00:00:00"/>
    <x v="4"/>
    <n v="156"/>
    <n v="2246"/>
    <n v="119"/>
    <n v="25"/>
    <n v="105"/>
    <n v="170"/>
    <n v="3"/>
    <n v="8"/>
    <n v="78"/>
    <x v="54"/>
    <n v="1.0258620689655173"/>
    <n v="1.4705882352941178"/>
    <n v="0"/>
  </r>
  <r>
    <d v="2021-01-28T00:00:00"/>
    <x v="5"/>
    <n v="253"/>
    <n v="3373"/>
    <n v="133"/>
    <n v="40"/>
    <n v="257"/>
    <n v="301"/>
    <n v="14"/>
    <n v="5"/>
    <n v="195"/>
    <x v="54"/>
    <n v="1.1176470588235294"/>
    <n v="1.1428571428571428"/>
    <n v="4"/>
  </r>
  <r>
    <d v="2021-01-28T00:00:00"/>
    <x v="6"/>
    <n v="333"/>
    <n v="3799"/>
    <n v="164"/>
    <n v="23"/>
    <n v="318"/>
    <n v="349"/>
    <n v="-8"/>
    <n v="0"/>
    <n v="229"/>
    <x v="54"/>
    <n v="0.95348837209302328"/>
    <n v="1"/>
    <n v="2"/>
  </r>
  <r>
    <d v="2021-01-28T00:00:00"/>
    <x v="7"/>
    <n v="1390"/>
    <n v="22124"/>
    <n v="1121"/>
    <n v="210"/>
    <n v="1718"/>
    <n v="1643"/>
    <n v="35"/>
    <n v="17"/>
    <n v="1103"/>
    <x v="54"/>
    <n v="1.0322283609576428"/>
    <n v="1.0880829015544042"/>
    <n v="30"/>
  </r>
  <r>
    <d v="2021-01-29T00:00:00"/>
    <x v="0"/>
    <n v="251"/>
    <n v="5984"/>
    <n v="313"/>
    <n v="79"/>
    <n v="412"/>
    <n v="320"/>
    <n v="-8"/>
    <n v="10"/>
    <n v="237"/>
    <x v="55"/>
    <n v="0.97507788161993769"/>
    <n v="1.144927536231884"/>
    <n v="12"/>
  </r>
  <r>
    <d v="2021-01-29T00:00:00"/>
    <x v="1"/>
    <n v="126"/>
    <n v="1787"/>
    <n v="150"/>
    <n v="24"/>
    <n v="125"/>
    <n v="132"/>
    <n v="0"/>
    <n v="-1"/>
    <n v="138"/>
    <x v="55"/>
    <n v="1"/>
    <n v="0.96"/>
    <n v="2"/>
  </r>
  <r>
    <d v="2021-01-29T00:00:00"/>
    <x v="2"/>
    <n v="169"/>
    <n v="2121"/>
    <n v="57"/>
    <n v="21"/>
    <n v="170"/>
    <n v="179"/>
    <n v="1"/>
    <n v="5"/>
    <n v="66"/>
    <x v="55"/>
    <n v="1.0178571428571428"/>
    <n v="1.3125"/>
    <n v="2"/>
  </r>
  <r>
    <d v="2021-01-29T00:00:00"/>
    <x v="3"/>
    <n v="96"/>
    <n v="2963"/>
    <n v="168"/>
    <n v="14"/>
    <n v="350"/>
    <n v="136"/>
    <n v="-10"/>
    <n v="2"/>
    <n v="159"/>
    <x v="55"/>
    <n v="0.9438202247191011"/>
    <n v="1.1666666666666667"/>
    <n v="3"/>
  </r>
  <r>
    <d v="2021-01-29T00:00:00"/>
    <x v="4"/>
    <n v="172"/>
    <n v="2365"/>
    <n v="112"/>
    <n v="29"/>
    <n v="109"/>
    <n v="208"/>
    <n v="-7"/>
    <n v="4"/>
    <n v="85"/>
    <x v="55"/>
    <n v="0.94117647058823528"/>
    <n v="1.1599999999999999"/>
    <n v="4"/>
  </r>
  <r>
    <d v="2021-01-29T00:00:00"/>
    <x v="5"/>
    <n v="209"/>
    <n v="3445"/>
    <n v="131"/>
    <n v="40"/>
    <n v="260"/>
    <n v="266"/>
    <n v="-2"/>
    <n v="0"/>
    <n v="191"/>
    <x v="55"/>
    <n v="0.98496240601503759"/>
    <n v="1"/>
    <n v="3"/>
  </r>
  <r>
    <d v="2021-01-29T00:00:00"/>
    <x v="6"/>
    <n v="236"/>
    <n v="3846"/>
    <n v="153"/>
    <n v="21"/>
    <n v="326"/>
    <n v="251"/>
    <n v="-11"/>
    <n v="-2"/>
    <n v="196"/>
    <x v="55"/>
    <n v="0.93292682926829273"/>
    <n v="0.91304347826086951"/>
    <n v="8"/>
  </r>
  <r>
    <d v="2021-01-29T00:00:00"/>
    <x v="7"/>
    <n v="1259"/>
    <n v="22511"/>
    <n v="1084"/>
    <n v="228"/>
    <n v="1752"/>
    <n v="1492"/>
    <n v="-37"/>
    <n v="18"/>
    <n v="1072"/>
    <x v="55"/>
    <n v="0.96699375557537914"/>
    <n v="1.0857142857142856"/>
    <n v="34"/>
  </r>
  <r>
    <d v="2021-01-30T00:00:00"/>
    <x v="0"/>
    <n v="293"/>
    <n v="6020"/>
    <n v="326"/>
    <n v="82"/>
    <n v="419"/>
    <n v="339"/>
    <n v="13"/>
    <n v="3"/>
    <n v="296"/>
    <x v="56"/>
    <n v="1.0415335463258786"/>
    <n v="1.0379746835443038"/>
    <n v="7"/>
  </r>
  <r>
    <d v="2021-01-30T00:00:00"/>
    <x v="1"/>
    <n v="88"/>
    <n v="1779"/>
    <n v="160"/>
    <n v="25"/>
    <n v="125"/>
    <n v="91"/>
    <n v="10"/>
    <n v="1"/>
    <n v="99"/>
    <x v="56"/>
    <n v="1.0666666666666667"/>
    <n v="1.0416666666666667"/>
    <n v="0"/>
  </r>
  <r>
    <d v="2021-01-30T00:00:00"/>
    <x v="2"/>
    <n v="116"/>
    <n v="2129"/>
    <n v="54"/>
    <n v="19"/>
    <n v="171"/>
    <n v="124"/>
    <n v="-3"/>
    <n v="-2"/>
    <n v="115"/>
    <x v="56"/>
    <n v="0.94736842105263153"/>
    <n v="0.90476190476190477"/>
    <n v="1"/>
  </r>
  <r>
    <d v="2021-01-30T00:00:00"/>
    <x v="3"/>
    <n v="142"/>
    <n v="2949"/>
    <n v="171"/>
    <n v="13"/>
    <n v="351"/>
    <n v="156"/>
    <n v="3"/>
    <n v="-1"/>
    <n v="170"/>
    <x v="56"/>
    <n v="1.0178571428571428"/>
    <n v="0.9285714285714286"/>
    <n v="1"/>
  </r>
  <r>
    <d v="2021-01-30T00:00:00"/>
    <x v="4"/>
    <n v="148"/>
    <n v="2455"/>
    <n v="124"/>
    <n v="30"/>
    <n v="109"/>
    <n v="168"/>
    <n v="12"/>
    <n v="1"/>
    <n v="78"/>
    <x v="56"/>
    <n v="1.1071428571428572"/>
    <n v="1.0344827586206897"/>
    <n v="0"/>
  </r>
  <r>
    <d v="2021-01-30T00:00:00"/>
    <x v="5"/>
    <n v="137"/>
    <n v="3425"/>
    <n v="141"/>
    <n v="42"/>
    <n v="260"/>
    <n v="176"/>
    <n v="10"/>
    <n v="2"/>
    <n v="196"/>
    <x v="56"/>
    <n v="1.0763358778625953"/>
    <n v="1.05"/>
    <n v="0"/>
  </r>
  <r>
    <d v="2021-01-30T00:00:00"/>
    <x v="6"/>
    <n v="261"/>
    <n v="3851"/>
    <n v="154"/>
    <n v="21"/>
    <n v="326"/>
    <n v="277"/>
    <n v="1"/>
    <n v="0"/>
    <n v="271"/>
    <x v="56"/>
    <n v="1.0065359477124183"/>
    <n v="1"/>
    <n v="0"/>
  </r>
  <r>
    <d v="2021-01-30T00:00:00"/>
    <x v="7"/>
    <n v="1185"/>
    <n v="22608"/>
    <n v="1130"/>
    <n v="232"/>
    <n v="1761"/>
    <n v="1331"/>
    <n v="46"/>
    <n v="4"/>
    <n v="1225"/>
    <x v="56"/>
    <n v="1.0424354243542435"/>
    <n v="1.0175438596491229"/>
    <n v="9"/>
  </r>
  <r>
    <d v="2021-01-31T00:00:00"/>
    <x v="0"/>
    <n v="182"/>
    <n v="5934"/>
    <n v="341"/>
    <n v="86"/>
    <n v="420"/>
    <n v="214"/>
    <n v="15"/>
    <n v="4"/>
    <n v="299"/>
    <x v="57"/>
    <n v="1.0460122699386503"/>
    <n v="1.0487804878048781"/>
    <n v="1"/>
  </r>
  <r>
    <d v="2021-01-31T00:00:00"/>
    <x v="1"/>
    <n v="94"/>
    <n v="1788"/>
    <n v="164"/>
    <n v="24"/>
    <n v="129"/>
    <n v="100"/>
    <n v="4"/>
    <n v="-1"/>
    <n v="87"/>
    <x v="57"/>
    <n v="1.0249999999999999"/>
    <n v="0.96"/>
    <n v="4"/>
  </r>
  <r>
    <d v="2021-01-31T00:00:00"/>
    <x v="2"/>
    <n v="92"/>
    <n v="2130"/>
    <n v="67"/>
    <n v="20"/>
    <n v="172"/>
    <n v="97"/>
    <n v="13"/>
    <n v="1"/>
    <n v="95"/>
    <x v="57"/>
    <n v="1.2407407407407407"/>
    <n v="1.0526315789473684"/>
    <n v="1"/>
  </r>
  <r>
    <d v="2021-01-31T00:00:00"/>
    <x v="3"/>
    <n v="125"/>
    <n v="2883"/>
    <n v="185"/>
    <n v="13"/>
    <n v="353"/>
    <n v="132"/>
    <n v="14"/>
    <n v="0"/>
    <n v="196"/>
    <x v="57"/>
    <n v="1.0818713450292399"/>
    <n v="1"/>
    <n v="2"/>
  </r>
  <r>
    <d v="2021-01-31T00:00:00"/>
    <x v="4"/>
    <n v="106"/>
    <n v="2469"/>
    <n v="131"/>
    <n v="31"/>
    <n v="112"/>
    <n v="119"/>
    <n v="7"/>
    <n v="1"/>
    <n v="102"/>
    <x v="57"/>
    <n v="1.0564516129032258"/>
    <n v="1.0333333333333334"/>
    <n v="3"/>
  </r>
  <r>
    <d v="2021-01-31T00:00:00"/>
    <x v="5"/>
    <n v="130"/>
    <n v="3418"/>
    <n v="156"/>
    <n v="44"/>
    <n v="262"/>
    <n v="148"/>
    <n v="15"/>
    <n v="2"/>
    <n v="153"/>
    <x v="57"/>
    <n v="1.1063829787234043"/>
    <n v="1.0476190476190477"/>
    <n v="2"/>
  </r>
  <r>
    <d v="2021-01-31T00:00:00"/>
    <x v="6"/>
    <n v="151"/>
    <n v="3798"/>
    <n v="166"/>
    <n v="24"/>
    <n v="327"/>
    <n v="153"/>
    <n v="12"/>
    <n v="3"/>
    <n v="205"/>
    <x v="57"/>
    <n v="1.0779220779220779"/>
    <n v="1.1428571428571428"/>
    <n v="1"/>
  </r>
  <r>
    <d v="2021-01-31T00:00:00"/>
    <x v="7"/>
    <n v="880"/>
    <n v="22420"/>
    <n v="1210"/>
    <n v="242"/>
    <n v="1775"/>
    <n v="963"/>
    <n v="80"/>
    <n v="10"/>
    <n v="1137"/>
    <x v="57"/>
    <n v="1.0707964601769913"/>
    <n v="1.0431034482758621"/>
    <n v="14"/>
  </r>
  <r>
    <d v="2021-02-01T00:00:00"/>
    <x v="0"/>
    <n v="172"/>
    <n v="5883"/>
    <n v="323"/>
    <n v="93"/>
    <n v="435"/>
    <n v="232"/>
    <n v="-18"/>
    <n v="7"/>
    <n v="268"/>
    <x v="58"/>
    <n v="0.94721407624633436"/>
    <n v="1.0813953488372092"/>
    <n v="15"/>
  </r>
  <r>
    <d v="2021-02-01T00:00:00"/>
    <x v="1"/>
    <n v="95"/>
    <n v="1824"/>
    <n v="166"/>
    <n v="23"/>
    <n v="134"/>
    <n v="114"/>
    <n v="2"/>
    <n v="-1"/>
    <n v="73"/>
    <x v="58"/>
    <n v="1.0121951219512195"/>
    <n v="0.95833333333333337"/>
    <n v="5"/>
  </r>
  <r>
    <d v="2021-02-01T00:00:00"/>
    <x v="2"/>
    <n v="64"/>
    <n v="2135"/>
    <n v="70"/>
    <n v="22"/>
    <n v="172"/>
    <n v="78"/>
    <n v="3"/>
    <n v="2"/>
    <n v="73"/>
    <x v="58"/>
    <n v="1.044776119402985"/>
    <n v="1.1000000000000001"/>
    <n v="0"/>
  </r>
  <r>
    <d v="2021-02-01T00:00:00"/>
    <x v="3"/>
    <n v="93"/>
    <n v="2874"/>
    <n v="184"/>
    <n v="13"/>
    <n v="357"/>
    <n v="119"/>
    <n v="-1"/>
    <n v="0"/>
    <n v="124"/>
    <x v="58"/>
    <n v="0.99459459459459465"/>
    <n v="1"/>
    <n v="4"/>
  </r>
  <r>
    <d v="2021-02-01T00:00:00"/>
    <x v="4"/>
    <n v="130"/>
    <n v="2503"/>
    <n v="130"/>
    <n v="30"/>
    <n v="115"/>
    <n v="154"/>
    <n v="-1"/>
    <n v="-1"/>
    <n v="117"/>
    <x v="58"/>
    <n v="0.99236641221374045"/>
    <n v="0.967741935483871"/>
    <n v="3"/>
  </r>
  <r>
    <d v="2021-02-01T00:00:00"/>
    <x v="5"/>
    <n v="125"/>
    <n v="3442"/>
    <n v="141"/>
    <n v="47"/>
    <n v="269"/>
    <n v="169"/>
    <n v="-15"/>
    <n v="3"/>
    <n v="138"/>
    <x v="58"/>
    <n v="0.90384615384615385"/>
    <n v="1.0681818181818181"/>
    <n v="7"/>
  </r>
  <r>
    <d v="2021-02-01T00:00:00"/>
    <x v="6"/>
    <n v="112"/>
    <n v="3861"/>
    <n v="172"/>
    <n v="25"/>
    <n v="333"/>
    <n v="135"/>
    <n v="6"/>
    <n v="1"/>
    <n v="66"/>
    <x v="58"/>
    <n v="1.036144578313253"/>
    <n v="1.0416666666666667"/>
    <n v="6"/>
  </r>
  <r>
    <d v="2021-02-01T00:00:00"/>
    <x v="7"/>
    <n v="791"/>
    <n v="22522"/>
    <n v="1186"/>
    <n v="253"/>
    <n v="1815"/>
    <n v="1001"/>
    <n v="-24"/>
    <n v="11"/>
    <n v="859"/>
    <x v="58"/>
    <n v="0.98016528925619839"/>
    <n v="1.0454545454545454"/>
    <n v="40"/>
  </r>
  <r>
    <d v="2021-02-02T00:00:00"/>
    <x v="0"/>
    <n v="203"/>
    <n v="5889"/>
    <n v="306"/>
    <n v="85"/>
    <n v="444"/>
    <n v="293"/>
    <n v="-17"/>
    <n v="-8"/>
    <n v="278"/>
    <x v="59"/>
    <n v="0.94736842105263153"/>
    <n v="0.91397849462365588"/>
    <n v="9"/>
  </r>
  <r>
    <d v="2021-02-02T00:00:00"/>
    <x v="1"/>
    <n v="97"/>
    <n v="1832"/>
    <n v="166"/>
    <n v="27"/>
    <n v="136"/>
    <n v="109"/>
    <n v="0"/>
    <n v="4"/>
    <n v="97"/>
    <x v="59"/>
    <n v="1"/>
    <n v="1.173913043478261"/>
    <n v="2"/>
  </r>
  <r>
    <d v="2021-02-02T00:00:00"/>
    <x v="2"/>
    <n v="80"/>
    <n v="2093"/>
    <n v="70"/>
    <n v="25"/>
    <n v="174"/>
    <n v="77"/>
    <n v="0"/>
    <n v="3"/>
    <n v="118"/>
    <x v="59"/>
    <n v="1"/>
    <n v="1.1363636363636365"/>
    <n v="2"/>
  </r>
  <r>
    <d v="2021-02-02T00:00:00"/>
    <x v="3"/>
    <n v="96"/>
    <n v="2815"/>
    <n v="176"/>
    <n v="14"/>
    <n v="363"/>
    <n v="114"/>
    <n v="-8"/>
    <n v="1"/>
    <n v="169"/>
    <x v="59"/>
    <n v="0.95652173913043481"/>
    <n v="1.0769230769230769"/>
    <n v="6"/>
  </r>
  <r>
    <d v="2021-02-02T00:00:00"/>
    <x v="4"/>
    <n v="125"/>
    <n v="2578"/>
    <n v="117"/>
    <n v="29"/>
    <n v="117"/>
    <n v="179"/>
    <n v="-13"/>
    <n v="-1"/>
    <n v="102"/>
    <x v="59"/>
    <n v="0.9"/>
    <n v="0.96666666666666667"/>
    <n v="2"/>
  </r>
  <r>
    <d v="2021-02-02T00:00:00"/>
    <x v="5"/>
    <n v="102"/>
    <n v="3366"/>
    <n v="125"/>
    <n v="43"/>
    <n v="273"/>
    <n v="129"/>
    <n v="-16"/>
    <n v="-4"/>
    <n v="201"/>
    <x v="59"/>
    <n v="0.88652482269503541"/>
    <n v="0.91489361702127658"/>
    <n v="4"/>
  </r>
  <r>
    <d v="2021-02-02T00:00:00"/>
    <x v="6"/>
    <n v="232"/>
    <n v="3867"/>
    <n v="165"/>
    <n v="24"/>
    <n v="336"/>
    <n v="239"/>
    <n v="-7"/>
    <n v="-1"/>
    <n v="230"/>
    <x v="59"/>
    <n v="0.95930232558139539"/>
    <n v="0.96"/>
    <n v="3"/>
  </r>
  <r>
    <d v="2021-02-02T00:00:00"/>
    <x v="7"/>
    <n v="935"/>
    <n v="22440"/>
    <n v="1125"/>
    <n v="247"/>
    <n v="1843"/>
    <n v="1140"/>
    <n v="-61"/>
    <n v="-6"/>
    <n v="1195"/>
    <x v="59"/>
    <n v="0.94856661045531199"/>
    <n v="0.97628458498023718"/>
    <n v="28"/>
  </r>
  <r>
    <d v="2021-02-03T00:00:00"/>
    <x v="0"/>
    <n v="278"/>
    <n v="5845"/>
    <n v="282"/>
    <n v="87"/>
    <n v="455"/>
    <n v="297"/>
    <n v="-24"/>
    <n v="2"/>
    <n v="331"/>
    <x v="60"/>
    <n v="0.92156862745098034"/>
    <n v="1.0235294117647058"/>
    <n v="11"/>
  </r>
  <r>
    <d v="2021-02-03T00:00:00"/>
    <x v="1"/>
    <n v="86"/>
    <n v="1858"/>
    <n v="173"/>
    <n v="25"/>
    <n v="142"/>
    <n v="97"/>
    <n v="7"/>
    <n v="-2"/>
    <n v="65"/>
    <x v="60"/>
    <n v="1.0421686746987953"/>
    <n v="0.92592592592592593"/>
    <n v="6"/>
  </r>
  <r>
    <d v="2021-02-03T00:00:00"/>
    <x v="2"/>
    <n v="102"/>
    <n v="2105"/>
    <n v="65"/>
    <n v="26"/>
    <n v="177"/>
    <n v="107"/>
    <n v="-5"/>
    <n v="1"/>
    <n v="92"/>
    <x v="60"/>
    <n v="0.9285714285714286"/>
    <n v="1.04"/>
    <n v="3"/>
  </r>
  <r>
    <d v="2021-02-03T00:00:00"/>
    <x v="3"/>
    <n v="102"/>
    <n v="2730"/>
    <n v="156"/>
    <n v="15"/>
    <n v="369"/>
    <n v="121"/>
    <n v="-20"/>
    <n v="1"/>
    <n v="200"/>
    <x v="60"/>
    <n v="0.88636363636363635"/>
    <n v="1.0714285714285714"/>
    <n v="6"/>
  </r>
  <r>
    <d v="2021-02-03T00:00:00"/>
    <x v="4"/>
    <n v="91"/>
    <n v="2613"/>
    <n v="113"/>
    <n v="27"/>
    <n v="119"/>
    <n v="115"/>
    <n v="-4"/>
    <n v="-2"/>
    <n v="78"/>
    <x v="60"/>
    <n v="0.96581196581196582"/>
    <n v="0.93103448275862066"/>
    <n v="2"/>
  </r>
  <r>
    <d v="2021-02-03T00:00:00"/>
    <x v="5"/>
    <n v="224"/>
    <n v="3418"/>
    <n v="128"/>
    <n v="42"/>
    <n v="278"/>
    <n v="242"/>
    <n v="3"/>
    <n v="-1"/>
    <n v="185"/>
    <x v="60"/>
    <n v="1.024"/>
    <n v="0.97674418604651159"/>
    <n v="5"/>
  </r>
  <r>
    <d v="2021-02-03T00:00:00"/>
    <x v="6"/>
    <n v="208"/>
    <n v="3830"/>
    <n v="153"/>
    <n v="25"/>
    <n v="340"/>
    <n v="204"/>
    <n v="-12"/>
    <n v="1"/>
    <n v="237"/>
    <x v="60"/>
    <n v="0.92727272727272725"/>
    <n v="1.0416666666666667"/>
    <n v="4"/>
  </r>
  <r>
    <d v="2021-02-03T00:00:00"/>
    <x v="7"/>
    <n v="1091"/>
    <n v="22399"/>
    <n v="1070"/>
    <n v="247"/>
    <n v="1880"/>
    <n v="1183"/>
    <n v="-55"/>
    <n v="0"/>
    <n v="1188"/>
    <x v="60"/>
    <n v="0.95111111111111113"/>
    <n v="1"/>
    <n v="37"/>
  </r>
  <r>
    <d v="2021-02-04T00:00:00"/>
    <x v="0"/>
    <n v="207"/>
    <n v="5713"/>
    <n v="276"/>
    <n v="85"/>
    <n v="459"/>
    <n v="259"/>
    <n v="-6"/>
    <n v="-2"/>
    <n v="386"/>
    <x v="61"/>
    <n v="0.97872340425531912"/>
    <n v="0.97701149425287359"/>
    <n v="4"/>
  </r>
  <r>
    <d v="2021-02-04T00:00:00"/>
    <x v="1"/>
    <n v="76"/>
    <n v="1810"/>
    <n v="165"/>
    <n v="25"/>
    <n v="149"/>
    <n v="102"/>
    <n v="-8"/>
    <n v="0"/>
    <n v="143"/>
    <x v="61"/>
    <n v="0.95375722543352603"/>
    <n v="1"/>
    <n v="7"/>
  </r>
  <r>
    <d v="2021-02-04T00:00:00"/>
    <x v="2"/>
    <n v="73"/>
    <n v="2023"/>
    <n v="64"/>
    <n v="27"/>
    <n v="178"/>
    <n v="82"/>
    <n v="-1"/>
    <n v="1"/>
    <n v="163"/>
    <x v="61"/>
    <n v="0.98461538461538467"/>
    <n v="1.0384615384615385"/>
    <n v="1"/>
  </r>
  <r>
    <d v="2021-02-04T00:00:00"/>
    <x v="3"/>
    <n v="96"/>
    <n v="2578"/>
    <n v="154"/>
    <n v="18"/>
    <n v="372"/>
    <n v="112"/>
    <n v="-2"/>
    <n v="3"/>
    <n v="261"/>
    <x v="61"/>
    <n v="0.98717948717948723"/>
    <n v="1.2"/>
    <n v="3"/>
  </r>
  <r>
    <d v="2021-02-04T00:00:00"/>
    <x v="4"/>
    <n v="152"/>
    <n v="2576"/>
    <n v="112"/>
    <n v="27"/>
    <n v="124"/>
    <n v="163"/>
    <n v="-1"/>
    <n v="0"/>
    <n v="195"/>
    <x v="61"/>
    <n v="0.99115044247787609"/>
    <n v="1"/>
    <n v="5"/>
  </r>
  <r>
    <d v="2021-02-04T00:00:00"/>
    <x v="5"/>
    <n v="143"/>
    <n v="3339"/>
    <n v="131"/>
    <n v="43"/>
    <n v="281"/>
    <n v="172"/>
    <n v="3"/>
    <n v="1"/>
    <n v="249"/>
    <x v="61"/>
    <n v="1.0234375"/>
    <n v="1.0238095238095237"/>
    <n v="3"/>
  </r>
  <r>
    <d v="2021-02-04T00:00:00"/>
    <x v="6"/>
    <n v="127"/>
    <n v="3647"/>
    <n v="136"/>
    <n v="26"/>
    <n v="347"/>
    <n v="135"/>
    <n v="-17"/>
    <n v="1"/>
    <n v="311"/>
    <x v="61"/>
    <n v="0.88888888888888884"/>
    <n v="1.04"/>
    <n v="7"/>
  </r>
  <r>
    <d v="2021-02-04T00:00:00"/>
    <x v="7"/>
    <n v="874"/>
    <n v="21686"/>
    <n v="1038"/>
    <n v="251"/>
    <n v="1910"/>
    <n v="1025"/>
    <n v="-32"/>
    <n v="4"/>
    <n v="1708"/>
    <x v="61"/>
    <n v="0.97009345794392521"/>
    <n v="1.0161943319838056"/>
    <n v="30"/>
  </r>
  <r>
    <d v="2021-02-05T00:00:00"/>
    <x v="0"/>
    <n v="218"/>
    <n v="5542"/>
    <n v="287"/>
    <n v="81"/>
    <n v="469"/>
    <n v="261"/>
    <n v="11"/>
    <n v="-4"/>
    <n v="422"/>
    <x v="62"/>
    <n v="1.0398550724637681"/>
    <n v="0.95294117647058818"/>
    <n v="10"/>
  </r>
  <r>
    <d v="2021-02-05T00:00:00"/>
    <x v="1"/>
    <n v="88"/>
    <n v="1765"/>
    <n v="160"/>
    <n v="25"/>
    <n v="151"/>
    <n v="90"/>
    <n v="-5"/>
    <n v="0"/>
    <n v="133"/>
    <x v="62"/>
    <n v="0.96969696969696972"/>
    <n v="1"/>
    <n v="2"/>
  </r>
  <r>
    <d v="2021-02-05T00:00:00"/>
    <x v="2"/>
    <n v="81"/>
    <n v="1957"/>
    <n v="67"/>
    <n v="30"/>
    <n v="178"/>
    <n v="91"/>
    <n v="3"/>
    <n v="3"/>
    <n v="157"/>
    <x v="62"/>
    <n v="1.046875"/>
    <n v="1.1111111111111112"/>
    <n v="0"/>
  </r>
  <r>
    <d v="2021-02-05T00:00:00"/>
    <x v="3"/>
    <n v="61"/>
    <n v="2409"/>
    <n v="145"/>
    <n v="17"/>
    <n v="375"/>
    <n v="77"/>
    <n v="-9"/>
    <n v="-1"/>
    <n v="243"/>
    <x v="62"/>
    <n v="0.94155844155844159"/>
    <n v="0.94444444444444442"/>
    <n v="3"/>
  </r>
  <r>
    <d v="2021-02-05T00:00:00"/>
    <x v="4"/>
    <n v="103"/>
    <n v="2562"/>
    <n v="106"/>
    <n v="24"/>
    <n v="128"/>
    <n v="114"/>
    <n v="-6"/>
    <n v="-3"/>
    <n v="124"/>
    <x v="62"/>
    <n v="0.9464285714285714"/>
    <n v="0.88888888888888884"/>
    <n v="4"/>
  </r>
  <r>
    <d v="2021-02-05T00:00:00"/>
    <x v="5"/>
    <n v="116"/>
    <n v="3183"/>
    <n v="136"/>
    <n v="44"/>
    <n v="285"/>
    <n v="130"/>
    <n v="5"/>
    <n v="1"/>
    <n v="282"/>
    <x v="62"/>
    <n v="1.0381679389312977"/>
    <n v="1.0232558139534884"/>
    <n v="4"/>
  </r>
  <r>
    <d v="2021-02-05T00:00:00"/>
    <x v="6"/>
    <n v="141"/>
    <n v="3469"/>
    <n v="135"/>
    <n v="26"/>
    <n v="348"/>
    <n v="156"/>
    <n v="-1"/>
    <n v="0"/>
    <n v="333"/>
    <x v="62"/>
    <n v="0.99264705882352944"/>
    <n v="1"/>
    <n v="1"/>
  </r>
  <r>
    <d v="2021-02-05T00:00:00"/>
    <x v="7"/>
    <n v="808"/>
    <n v="20887"/>
    <n v="1036"/>
    <n v="247"/>
    <n v="1934"/>
    <n v="919"/>
    <n v="-2"/>
    <n v="-4"/>
    <n v="1694"/>
    <x v="62"/>
    <n v="0.9980732177263969"/>
    <n v="0.98406374501992033"/>
    <n v="24"/>
  </r>
  <r>
    <d v="2021-02-06T00:00:00"/>
    <x v="0"/>
    <n v="264"/>
    <n v="5319"/>
    <n v="286"/>
    <n v="81"/>
    <n v="477"/>
    <n v="285"/>
    <n v="-1"/>
    <n v="0"/>
    <n v="500"/>
    <x v="63"/>
    <n v="0.99651567944250874"/>
    <n v="1"/>
    <n v="8"/>
  </r>
  <r>
    <d v="2021-02-06T00:00:00"/>
    <x v="1"/>
    <n v="55"/>
    <n v="1694"/>
    <n v="150"/>
    <n v="24"/>
    <n v="153"/>
    <n v="52"/>
    <n v="-10"/>
    <n v="-1"/>
    <n v="121"/>
    <x v="63"/>
    <n v="0.9375"/>
    <n v="0.96"/>
    <n v="2"/>
  </r>
  <r>
    <d v="2021-02-06T00:00:00"/>
    <x v="2"/>
    <n v="88"/>
    <n v="1863"/>
    <n v="67"/>
    <n v="28"/>
    <n v="180"/>
    <n v="92"/>
    <n v="0"/>
    <n v="-2"/>
    <n v="184"/>
    <x v="63"/>
    <n v="1"/>
    <n v="0.93333333333333335"/>
    <n v="2"/>
  </r>
  <r>
    <d v="2021-02-06T00:00:00"/>
    <x v="3"/>
    <n v="84"/>
    <n v="2240"/>
    <n v="153"/>
    <n v="18"/>
    <n v="378"/>
    <n v="81"/>
    <n v="8"/>
    <n v="1"/>
    <n v="247"/>
    <x v="63"/>
    <n v="1.0551724137931036"/>
    <n v="1.0588235294117647"/>
    <n v="3"/>
  </r>
  <r>
    <d v="2021-02-06T00:00:00"/>
    <x v="4"/>
    <n v="134"/>
    <n v="2526"/>
    <n v="105"/>
    <n v="23"/>
    <n v="128"/>
    <n v="112"/>
    <n v="-1"/>
    <n v="-1"/>
    <n v="148"/>
    <x v="63"/>
    <n v="0.99056603773584906"/>
    <n v="0.95833333333333337"/>
    <n v="0"/>
  </r>
  <r>
    <d v="2021-02-06T00:00:00"/>
    <x v="5"/>
    <n v="100"/>
    <n v="3023"/>
    <n v="129"/>
    <n v="44"/>
    <n v="286"/>
    <n v="108"/>
    <n v="-7"/>
    <n v="0"/>
    <n v="267"/>
    <x v="63"/>
    <n v="0.94852941176470584"/>
    <n v="1"/>
    <n v="1"/>
  </r>
  <r>
    <d v="2021-02-06T00:00:00"/>
    <x v="6"/>
    <n v="94"/>
    <n v="3301"/>
    <n v="136"/>
    <n v="30"/>
    <n v="348"/>
    <n v="103"/>
    <n v="1"/>
    <n v="4"/>
    <n v="271"/>
    <x v="63"/>
    <n v="1.0074074074074073"/>
    <n v="1.1538461538461537"/>
    <n v="0"/>
  </r>
  <r>
    <d v="2021-02-06T00:00:00"/>
    <x v="7"/>
    <n v="819"/>
    <n v="19966"/>
    <n v="1026"/>
    <n v="248"/>
    <n v="1950"/>
    <n v="833"/>
    <n v="-10"/>
    <n v="1"/>
    <n v="1738"/>
    <x v="63"/>
    <n v="0.99034749034749037"/>
    <n v="1.0040485829959513"/>
    <n v="16"/>
  </r>
  <r>
    <d v="2021-02-07T00:00:00"/>
    <x v="0"/>
    <n v="166"/>
    <n v="5161"/>
    <n v="287"/>
    <n v="85"/>
    <n v="482"/>
    <n v="177"/>
    <n v="1"/>
    <n v="4"/>
    <n v="331"/>
    <x v="64"/>
    <n v="1.0034965034965035"/>
    <n v="1.0493827160493827"/>
    <n v="5"/>
  </r>
  <r>
    <d v="2021-02-07T00:00:00"/>
    <x v="1"/>
    <n v="49"/>
    <n v="1661"/>
    <n v="158"/>
    <n v="23"/>
    <n v="154"/>
    <n v="50"/>
    <n v="8"/>
    <n v="-1"/>
    <n v="82"/>
    <x v="64"/>
    <n v="1.0533333333333332"/>
    <n v="0.95833333333333337"/>
    <n v="1"/>
  </r>
  <r>
    <d v="2021-02-07T00:00:00"/>
    <x v="2"/>
    <n v="50"/>
    <n v="1767"/>
    <n v="68"/>
    <n v="29"/>
    <n v="182"/>
    <n v="51"/>
    <n v="1"/>
    <n v="1"/>
    <n v="145"/>
    <x v="64"/>
    <n v="1.0149253731343284"/>
    <n v="1.0357142857142858"/>
    <n v="2"/>
  </r>
  <r>
    <d v="2021-02-07T00:00:00"/>
    <x v="3"/>
    <n v="43"/>
    <n v="2096"/>
    <n v="161"/>
    <n v="20"/>
    <n v="380"/>
    <n v="44"/>
    <n v="8"/>
    <n v="2"/>
    <n v="186"/>
    <x v="64"/>
    <n v="1.0522875816993464"/>
    <n v="1.1111111111111112"/>
    <n v="2"/>
  </r>
  <r>
    <d v="2021-02-07T00:00:00"/>
    <x v="4"/>
    <n v="48"/>
    <n v="2483"/>
    <n v="111"/>
    <n v="21"/>
    <n v="128"/>
    <n v="59"/>
    <n v="6"/>
    <n v="-2"/>
    <n v="102"/>
    <x v="64"/>
    <n v="1.0571428571428572"/>
    <n v="0.91304347826086951"/>
    <n v="0"/>
  </r>
  <r>
    <d v="2021-02-07T00:00:00"/>
    <x v="5"/>
    <n v="60"/>
    <n v="2932"/>
    <n v="133"/>
    <n v="47"/>
    <n v="290"/>
    <n v="73"/>
    <n v="4"/>
    <n v="3"/>
    <n v="160"/>
    <x v="64"/>
    <n v="1.0310077519379846"/>
    <n v="1.0681818181818181"/>
    <n v="4"/>
  </r>
  <r>
    <d v="2021-02-07T00:00:00"/>
    <x v="6"/>
    <n v="74"/>
    <n v="3146"/>
    <n v="145"/>
    <n v="29"/>
    <n v="351"/>
    <n v="71"/>
    <n v="9"/>
    <n v="-1"/>
    <n v="223"/>
    <x v="64"/>
    <n v="1.0661764705882353"/>
    <n v="0.96666666666666667"/>
    <n v="3"/>
  </r>
  <r>
    <d v="2021-02-07T00:00:00"/>
    <x v="7"/>
    <n v="490"/>
    <n v="19246"/>
    <n v="1063"/>
    <n v="254"/>
    <n v="1967"/>
    <n v="525"/>
    <n v="37"/>
    <n v="6"/>
    <n v="1229"/>
    <x v="64"/>
    <n v="1.0360623781676412"/>
    <n v="1.0241935483870968"/>
    <n v="17"/>
  </r>
</pivotCacheRecords>
</file>

<file path=xl/pivotCache/pivotCacheRecords9.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20">
  <r>
    <x v="0"/>
    <x v="0"/>
    <n v="12254"/>
    <n v="1376"/>
    <n v="10591"/>
    <n v="97"/>
    <n v="23"/>
    <n v="205739"/>
    <n v="291"/>
    <n v="73340"/>
    <n v="40"/>
    <n v="-54"/>
    <n v="-6"/>
    <n v="1"/>
    <n v="1034"/>
    <n v="80"/>
    <n v="1114"/>
    <n v="0.96223776223776225"/>
    <n v="94"/>
    <x v="0"/>
    <s v="sábado"/>
    <s v=""/>
    <s v=""/>
    <s v=""/>
    <s v=""/>
    <s v=""/>
    <s v=""/>
    <s v=""/>
  </r>
  <r>
    <x v="0"/>
    <x v="1"/>
    <n v="3430"/>
    <n v="586"/>
    <n v="2764"/>
    <n v="27"/>
    <n v="8"/>
    <n v="64784"/>
    <n v="78"/>
    <n v="29150"/>
    <n v="23"/>
    <n v="-10"/>
    <n v="-2"/>
    <n v="2"/>
    <n v="360"/>
    <n v="31"/>
    <n v="391"/>
    <n v="0.98322147651006708"/>
    <n v="33"/>
    <x v="0"/>
    <s v="sábado"/>
    <s v=""/>
    <s v=""/>
    <s v=""/>
    <s v=""/>
    <s v=""/>
    <s v=""/>
    <s v=""/>
  </r>
  <r>
    <x v="0"/>
    <x v="2"/>
    <n v="6455"/>
    <n v="788"/>
    <n v="5534"/>
    <n v="31"/>
    <n v="1"/>
    <n v="106669"/>
    <n v="132"/>
    <n v="72582"/>
    <n v="31"/>
    <n v="-41"/>
    <n v="5"/>
    <n v="0"/>
    <n v="463"/>
    <n v="51"/>
    <n v="514"/>
    <n v="0.95054282267792523"/>
    <n v="70"/>
    <x v="0"/>
    <s v="sábado"/>
    <s v=""/>
    <s v=""/>
    <s v=""/>
    <s v=""/>
    <s v=""/>
    <s v=""/>
    <s v=""/>
  </r>
  <r>
    <x v="0"/>
    <x v="3"/>
    <n v="7673"/>
    <n v="402"/>
    <n v="6975"/>
    <n v="37"/>
    <n v="5"/>
    <n v="118177"/>
    <n v="295"/>
    <n v="65231"/>
    <n v="22"/>
    <n v="-17"/>
    <n v="1"/>
    <n v="0"/>
    <n v="754"/>
    <n v="60"/>
    <n v="814"/>
    <n v="0.95942720763723155"/>
    <n v="38"/>
    <x v="0"/>
    <s v="sábado"/>
    <s v=""/>
    <s v=""/>
    <s v=""/>
    <s v=""/>
    <s v=""/>
    <s v=""/>
    <s v=""/>
  </r>
  <r>
    <x v="0"/>
    <x v="4"/>
    <n v="5705"/>
    <n v="990"/>
    <n v="4656"/>
    <n v="42"/>
    <n v="9"/>
    <n v="95314"/>
    <n v="60"/>
    <n v="43719"/>
    <n v="37"/>
    <n v="-35"/>
    <n v="0"/>
    <n v="0"/>
    <n v="852"/>
    <n v="51"/>
    <n v="903"/>
    <n v="0.96585365853658534"/>
    <n v="71"/>
    <x v="0"/>
    <s v="sábado"/>
    <s v=""/>
    <s v=""/>
    <s v=""/>
    <s v=""/>
    <s v=""/>
    <s v=""/>
    <s v=""/>
  </r>
  <r>
    <x v="0"/>
    <x v="5"/>
    <n v="8104"/>
    <n v="784"/>
    <n v="7151"/>
    <n v="43"/>
    <n v="6"/>
    <n v="150645"/>
    <n v="170"/>
    <n v="87849"/>
    <n v="52"/>
    <n v="-23"/>
    <n v="7"/>
    <n v="0"/>
    <n v="1418"/>
    <n v="93"/>
    <n v="1511"/>
    <n v="0.97149938042131345"/>
    <n v="75"/>
    <x v="0"/>
    <s v="sábado"/>
    <s v=""/>
    <s v=""/>
    <s v=""/>
    <s v=""/>
    <s v=""/>
    <s v=""/>
    <s v=""/>
  </r>
  <r>
    <x v="0"/>
    <x v="6"/>
    <n v="10578"/>
    <n v="1800"/>
    <n v="8555"/>
    <n v="65"/>
    <n v="12"/>
    <n v="193204"/>
    <n v="224"/>
    <n v="56312"/>
    <n v="91"/>
    <n v="-42"/>
    <n v="0"/>
    <n v="0"/>
    <n v="1818"/>
    <n v="21"/>
    <n v="1839"/>
    <n v="0.9771986970684039"/>
    <n v="133"/>
    <x v="0"/>
    <s v="sábado"/>
    <s v=""/>
    <s v=""/>
    <s v=""/>
    <s v=""/>
    <s v=""/>
    <s v=""/>
    <s v=""/>
  </r>
  <r>
    <x v="0"/>
    <x v="7"/>
    <n v="54199"/>
    <n v="6726"/>
    <n v="46226"/>
    <n v="342"/>
    <n v="64"/>
    <n v="934532"/>
    <n v="1250"/>
    <n v="428183"/>
    <n v="296"/>
    <n v="-222"/>
    <n v="5"/>
    <n v="3"/>
    <n v="6699"/>
    <n v="387"/>
    <n v="7086"/>
    <n v="0.96804835924006905"/>
    <n v="514"/>
    <x v="0"/>
    <s v="sábado"/>
    <s v=""/>
    <s v=""/>
    <s v=""/>
    <s v=""/>
    <s v=""/>
    <s v=""/>
    <s v=""/>
  </r>
  <r>
    <x v="1"/>
    <x v="0"/>
    <n v="12307"/>
    <n v="1349"/>
    <n v="10671"/>
    <n v="98"/>
    <n v="22"/>
    <n v="206505"/>
    <n v="291"/>
    <n v="73398"/>
    <n v="53"/>
    <n v="-27"/>
    <n v="1"/>
    <n v="-1"/>
    <n v="766"/>
    <n v="58"/>
    <n v="824"/>
    <n v="0.98037790697674421"/>
    <n v="80"/>
    <x v="1"/>
    <s v="domingo"/>
    <s v=""/>
    <s v=""/>
    <s v=""/>
    <s v=""/>
    <s v=""/>
    <s v=""/>
    <s v=""/>
  </r>
  <r>
    <x v="1"/>
    <x v="1"/>
    <n v="3466"/>
    <n v="576"/>
    <n v="2810"/>
    <n v="30"/>
    <n v="6"/>
    <n v="65009"/>
    <n v="78"/>
    <n v="29240"/>
    <n v="36"/>
    <n v="-10"/>
    <n v="3"/>
    <n v="-2"/>
    <n v="225"/>
    <n v="90"/>
    <n v="315"/>
    <n v="0.98293515358361772"/>
    <n v="46"/>
    <x v="1"/>
    <s v="domingo"/>
    <s v=""/>
    <s v=""/>
    <s v=""/>
    <s v=""/>
    <s v=""/>
    <s v=""/>
    <s v=""/>
  </r>
  <r>
    <x v="1"/>
    <x v="2"/>
    <n v="6484"/>
    <n v="771"/>
    <n v="5579"/>
    <n v="30"/>
    <n v="1"/>
    <n v="107103"/>
    <n v="133"/>
    <n v="72614"/>
    <n v="29"/>
    <n v="-17"/>
    <n v="-1"/>
    <n v="0"/>
    <n v="434"/>
    <n v="32"/>
    <n v="466"/>
    <n v="0.97842639593908631"/>
    <n v="45"/>
    <x v="1"/>
    <s v="domingo"/>
    <s v=""/>
    <s v=""/>
    <s v=""/>
    <s v=""/>
    <s v=""/>
    <s v=""/>
    <s v=""/>
  </r>
  <r>
    <x v="1"/>
    <x v="3"/>
    <n v="7696"/>
    <n v="400"/>
    <n v="6999"/>
    <n v="39"/>
    <n v="5"/>
    <n v="118898"/>
    <n v="296"/>
    <n v="65275"/>
    <n v="23"/>
    <n v="-2"/>
    <n v="2"/>
    <n v="0"/>
    <n v="721"/>
    <n v="44"/>
    <n v="765"/>
    <n v="0.99502487562189057"/>
    <n v="24"/>
    <x v="1"/>
    <s v="domingo"/>
    <s v=""/>
    <s v=""/>
    <s v=""/>
    <s v=""/>
    <s v=""/>
    <s v=""/>
    <s v=""/>
  </r>
  <r>
    <x v="1"/>
    <x v="4"/>
    <n v="5738"/>
    <n v="971"/>
    <n v="4708"/>
    <n v="44"/>
    <n v="9"/>
    <n v="95971"/>
    <n v="60"/>
    <n v="43754"/>
    <n v="33"/>
    <n v="-19"/>
    <n v="2"/>
    <n v="0"/>
    <n v="657"/>
    <n v="35"/>
    <n v="692"/>
    <n v="0.9808080808080808"/>
    <n v="52"/>
    <x v="1"/>
    <s v="domingo"/>
    <s v=""/>
    <s v=""/>
    <s v=""/>
    <s v=""/>
    <s v=""/>
    <s v=""/>
    <s v=""/>
  </r>
  <r>
    <x v="1"/>
    <x v="5"/>
    <n v="8151"/>
    <n v="795"/>
    <n v="7187"/>
    <n v="45"/>
    <n v="6"/>
    <n v="151823"/>
    <n v="170"/>
    <n v="87906"/>
    <n v="47"/>
    <n v="11"/>
    <n v="2"/>
    <n v="0"/>
    <n v="1178"/>
    <n v="57"/>
    <n v="1235"/>
    <n v="1.0140306122448979"/>
    <n v="36"/>
    <x v="1"/>
    <s v="domingo"/>
    <s v=""/>
    <s v=""/>
    <s v=""/>
    <s v=""/>
    <s v=""/>
    <s v=""/>
    <s v=""/>
  </r>
  <r>
    <x v="1"/>
    <x v="6"/>
    <n v="10631"/>
    <n v="1782"/>
    <n v="8621"/>
    <n v="66"/>
    <n v="11"/>
    <n v="194587"/>
    <n v="229"/>
    <n v="56337"/>
    <n v="53"/>
    <n v="-18"/>
    <n v="1"/>
    <n v="-1"/>
    <n v="1383"/>
    <n v="25"/>
    <n v="1408"/>
    <n v="0.99"/>
    <n v="66"/>
    <x v="1"/>
    <s v="domingo"/>
    <s v=""/>
    <s v=""/>
    <s v=""/>
    <s v=""/>
    <s v=""/>
    <s v=""/>
    <s v=""/>
  </r>
  <r>
    <x v="1"/>
    <x v="7"/>
    <n v="54473"/>
    <n v="6644"/>
    <n v="46575"/>
    <n v="352"/>
    <n v="60"/>
    <n v="939896"/>
    <n v="1257"/>
    <n v="428524"/>
    <n v="274"/>
    <n v="-82"/>
    <n v="10"/>
    <n v="-4"/>
    <n v="5364"/>
    <n v="341"/>
    <n v="5705"/>
    <n v="0.98780850431162648"/>
    <n v="349"/>
    <x v="1"/>
    <s v="domingo"/>
    <s v=""/>
    <s v=""/>
    <s v=""/>
    <s v=""/>
    <s v=""/>
    <s v=""/>
    <s v=""/>
  </r>
  <r>
    <x v="2"/>
    <x v="0"/>
    <n v="12344"/>
    <n v="1244"/>
    <n v="10811"/>
    <n v="87"/>
    <n v="17"/>
    <n v="206951"/>
    <n v="293"/>
    <n v="73566"/>
    <n v="37"/>
    <n v="-105"/>
    <n v="-11"/>
    <n v="-5"/>
    <n v="446"/>
    <n v="168"/>
    <n v="614"/>
    <n v="0.92216456634544108"/>
    <n v="140"/>
    <x v="2"/>
    <s v="lunes"/>
    <s v=""/>
    <s v=""/>
    <s v=""/>
    <s v=""/>
    <s v=""/>
    <s v=""/>
    <s v=""/>
  </r>
  <r>
    <x v="2"/>
    <x v="1"/>
    <n v="3482"/>
    <n v="552"/>
    <n v="2849"/>
    <n v="29"/>
    <n v="4"/>
    <n v="65342"/>
    <n v="79"/>
    <n v="29311"/>
    <n v="16"/>
    <n v="-24"/>
    <n v="-1"/>
    <n v="-2"/>
    <n v="333"/>
    <n v="71"/>
    <n v="404"/>
    <n v="0.95833333333333337"/>
    <n v="39"/>
    <x v="2"/>
    <s v="lunes"/>
    <s v=""/>
    <s v=""/>
    <s v=""/>
    <s v=""/>
    <s v=""/>
    <s v=""/>
    <s v=""/>
  </r>
  <r>
    <x v="2"/>
    <x v="2"/>
    <n v="6502"/>
    <n v="624"/>
    <n v="5741"/>
    <n v="23"/>
    <n v="2"/>
    <n v="107557"/>
    <n v="136"/>
    <n v="72701"/>
    <n v="18"/>
    <n v="-147"/>
    <n v="-7"/>
    <n v="1"/>
    <n v="454"/>
    <n v="87"/>
    <n v="541"/>
    <n v="0.80933852140077822"/>
    <n v="162"/>
    <x v="2"/>
    <s v="lunes"/>
    <s v=""/>
    <s v=""/>
    <s v=""/>
    <s v=""/>
    <s v=""/>
    <s v=""/>
    <s v=""/>
  </r>
  <r>
    <x v="2"/>
    <x v="3"/>
    <n v="7718"/>
    <n v="377"/>
    <n v="7044"/>
    <n v="33"/>
    <n v="3"/>
    <n v="119598"/>
    <n v="296"/>
    <n v="65354"/>
    <n v="22"/>
    <n v="-23"/>
    <n v="-6"/>
    <n v="-2"/>
    <n v="700"/>
    <n v="79"/>
    <n v="779"/>
    <n v="0.9425"/>
    <n v="45"/>
    <x v="2"/>
    <s v="lunes"/>
    <s v=""/>
    <s v=""/>
    <s v=""/>
    <s v=""/>
    <s v=""/>
    <s v=""/>
    <s v=""/>
  </r>
  <r>
    <x v="2"/>
    <x v="4"/>
    <n v="5782"/>
    <n v="899"/>
    <n v="4822"/>
    <n v="40"/>
    <n v="9"/>
    <n v="96546"/>
    <n v="62"/>
    <n v="43847"/>
    <n v="44"/>
    <n v="-72"/>
    <n v="-4"/>
    <n v="0"/>
    <n v="575"/>
    <n v="93"/>
    <n v="668"/>
    <n v="0.92584963954685895"/>
    <n v="114"/>
    <x v="2"/>
    <s v="lunes"/>
    <s v=""/>
    <s v=""/>
    <s v=""/>
    <s v=""/>
    <s v=""/>
    <s v=""/>
    <s v=""/>
  </r>
  <r>
    <x v="2"/>
    <x v="5"/>
    <n v="8216"/>
    <n v="783"/>
    <n v="7264"/>
    <n v="51"/>
    <n v="6"/>
    <n v="153607"/>
    <n v="170"/>
    <n v="88087"/>
    <n v="65"/>
    <n v="-12"/>
    <n v="6"/>
    <n v="0"/>
    <n v="1784"/>
    <n v="181"/>
    <n v="1965"/>
    <n v="0.98490566037735849"/>
    <n v="77"/>
    <x v="2"/>
    <s v="lunes"/>
    <s v=""/>
    <s v=""/>
    <s v=""/>
    <s v=""/>
    <s v=""/>
    <s v=""/>
    <s v=""/>
  </r>
  <r>
    <x v="2"/>
    <x v="6"/>
    <n v="10691"/>
    <n v="1517"/>
    <n v="8938"/>
    <n v="59"/>
    <n v="9"/>
    <n v="195913"/>
    <n v="237"/>
    <n v="56394"/>
    <n v="60"/>
    <n v="-265"/>
    <n v="-7"/>
    <n v="-2"/>
    <n v="1326"/>
    <n v="57"/>
    <n v="1383"/>
    <n v="0.85129068462401791"/>
    <n v="317"/>
    <x v="2"/>
    <s v="lunes"/>
    <s v=""/>
    <s v=""/>
    <s v=""/>
    <s v=""/>
    <s v=""/>
    <s v=""/>
    <s v=""/>
  </r>
  <r>
    <x v="2"/>
    <x v="7"/>
    <n v="54735"/>
    <n v="5996"/>
    <n v="47469"/>
    <n v="322"/>
    <n v="50"/>
    <n v="945514"/>
    <n v="1273"/>
    <n v="429260"/>
    <n v="262"/>
    <n v="-648"/>
    <n v="-30"/>
    <n v="-10"/>
    <n v="5618"/>
    <n v="736"/>
    <n v="6354"/>
    <n v="0.90246839253461775"/>
    <n v="894"/>
    <x v="2"/>
    <s v="lunes"/>
    <s v=""/>
    <s v=""/>
    <s v=""/>
    <s v=""/>
    <s v=""/>
    <s v=""/>
    <s v=""/>
  </r>
  <r>
    <x v="3"/>
    <x v="0"/>
    <n v="12391"/>
    <n v="1193"/>
    <n v="10909"/>
    <n v="84"/>
    <n v="16"/>
    <n v="208362"/>
    <n v="293"/>
    <n v="73636"/>
    <n v="47"/>
    <n v="-51"/>
    <n v="-3"/>
    <n v="-1"/>
    <n v="1411"/>
    <n v="70"/>
    <n v="1481"/>
    <n v="0.95900321543408362"/>
    <n v="98"/>
    <x v="3"/>
    <s v="martes"/>
    <s v=""/>
    <s v=""/>
    <s v=""/>
    <s v=""/>
    <s v=""/>
    <s v=""/>
    <s v=""/>
  </r>
  <r>
    <x v="3"/>
    <x v="1"/>
    <n v="3533"/>
    <n v="596"/>
    <n v="2855"/>
    <n v="28"/>
    <n v="4"/>
    <n v="65972"/>
    <n v="80"/>
    <n v="29341"/>
    <n v="51"/>
    <n v="44"/>
    <n v="-1"/>
    <n v="0"/>
    <n v="630"/>
    <n v="30"/>
    <n v="660"/>
    <n v="1.0797101449275361"/>
    <n v="6"/>
    <x v="3"/>
    <s v="martes"/>
    <s v=""/>
    <s v=""/>
    <s v=""/>
    <s v=""/>
    <s v=""/>
    <s v=""/>
    <s v=""/>
  </r>
  <r>
    <x v="3"/>
    <x v="2"/>
    <n v="6532"/>
    <n v="606"/>
    <n v="5788"/>
    <n v="27"/>
    <n v="3"/>
    <n v="108268"/>
    <n v="137"/>
    <n v="72750"/>
    <n v="30"/>
    <n v="-18"/>
    <n v="4"/>
    <n v="1"/>
    <n v="711"/>
    <n v="49"/>
    <n v="760"/>
    <n v="0.97115384615384615"/>
    <n v="47"/>
    <x v="3"/>
    <s v="martes"/>
    <s v=""/>
    <s v=""/>
    <s v=""/>
    <s v=""/>
    <s v=""/>
    <s v=""/>
    <s v=""/>
  </r>
  <r>
    <x v="3"/>
    <x v="3"/>
    <n v="7752"/>
    <n v="377"/>
    <n v="7077"/>
    <n v="33"/>
    <n v="3"/>
    <n v="120257"/>
    <n v="297"/>
    <n v="65400"/>
    <n v="34"/>
    <n v="0"/>
    <n v="0"/>
    <n v="0"/>
    <n v="659"/>
    <n v="46"/>
    <n v="705"/>
    <n v="1"/>
    <n v="33"/>
    <x v="3"/>
    <s v="martes"/>
    <s v=""/>
    <s v=""/>
    <s v=""/>
    <s v=""/>
    <s v=""/>
    <s v=""/>
    <s v=""/>
  </r>
  <r>
    <x v="3"/>
    <x v="4"/>
    <n v="5830"/>
    <n v="871"/>
    <n v="4895"/>
    <n v="41"/>
    <n v="9"/>
    <n v="97341"/>
    <n v="65"/>
    <n v="43922"/>
    <n v="48"/>
    <n v="-28"/>
    <n v="1"/>
    <n v="0"/>
    <n v="795"/>
    <n v="75"/>
    <n v="870"/>
    <n v="0.96885428253615125"/>
    <n v="73"/>
    <x v="3"/>
    <s v="martes"/>
    <s v=""/>
    <s v=""/>
    <s v=""/>
    <s v=""/>
    <s v=""/>
    <s v=""/>
    <s v=""/>
  </r>
  <r>
    <x v="3"/>
    <x v="5"/>
    <n v="8269"/>
    <n v="785"/>
    <n v="7313"/>
    <n v="52"/>
    <n v="6"/>
    <n v="154486"/>
    <n v="172"/>
    <n v="88185"/>
    <n v="53"/>
    <n v="2"/>
    <n v="1"/>
    <n v="0"/>
    <n v="879"/>
    <n v="98"/>
    <n v="977"/>
    <n v="1.0025542784163475"/>
    <n v="49"/>
    <x v="3"/>
    <s v="martes"/>
    <s v=""/>
    <s v=""/>
    <s v=""/>
    <s v=""/>
    <s v=""/>
    <s v=""/>
    <s v=""/>
  </r>
  <r>
    <x v="3"/>
    <x v="6"/>
    <n v="10770"/>
    <n v="1499"/>
    <n v="9035"/>
    <n v="59"/>
    <n v="10"/>
    <n v="197487"/>
    <n v="237"/>
    <n v="56429"/>
    <n v="79"/>
    <n v="-18"/>
    <n v="0"/>
    <n v="1"/>
    <n v="1574"/>
    <n v="35"/>
    <n v="1609"/>
    <n v="0.988134475939354"/>
    <n v="97"/>
    <x v="3"/>
    <s v="martes"/>
    <s v=""/>
    <s v=""/>
    <s v=""/>
    <s v=""/>
    <s v=""/>
    <s v=""/>
    <s v=""/>
  </r>
  <r>
    <x v="3"/>
    <x v="7"/>
    <n v="55077"/>
    <n v="5927"/>
    <n v="47872"/>
    <n v="324"/>
    <n v="51"/>
    <n v="952173"/>
    <n v="1281"/>
    <n v="429663"/>
    <n v="342"/>
    <n v="-69"/>
    <n v="2"/>
    <n v="1"/>
    <n v="6659"/>
    <n v="403"/>
    <n v="7062"/>
    <n v="0.9884923282188125"/>
    <n v="403"/>
    <x v="3"/>
    <s v="martes"/>
    <s v=""/>
    <s v=""/>
    <s v=""/>
    <s v=""/>
    <s v=""/>
    <s v=""/>
    <s v=""/>
  </r>
  <r>
    <x v="4"/>
    <x v="0"/>
    <n v="12434"/>
    <n v="1146"/>
    <n v="10999"/>
    <n v="76"/>
    <n v="14"/>
    <n v="209050"/>
    <n v="293"/>
    <n v="73846"/>
    <n v="43"/>
    <n v="-47"/>
    <n v="-8"/>
    <n v="-2"/>
    <n v="688"/>
    <n v="210"/>
    <n v="898"/>
    <n v="0.9606035205364627"/>
    <n v="90"/>
    <x v="4"/>
    <s v="miércoles"/>
    <s v=""/>
    <s v=""/>
    <s v=""/>
    <s v=""/>
    <s v=""/>
    <s v=""/>
    <s v=""/>
  </r>
  <r>
    <x v="4"/>
    <x v="1"/>
    <n v="3557"/>
    <n v="596"/>
    <n v="2878"/>
    <n v="27"/>
    <n v="3"/>
    <n v="66283"/>
    <n v="81"/>
    <n v="29384"/>
    <n v="24"/>
    <n v="0"/>
    <n v="-1"/>
    <n v="-1"/>
    <n v="311"/>
    <n v="43"/>
    <n v="354"/>
    <n v="1"/>
    <n v="23"/>
    <x v="4"/>
    <s v="miércoles"/>
    <s v=""/>
    <s v=""/>
    <s v=""/>
    <s v=""/>
    <s v=""/>
    <s v=""/>
    <s v=""/>
  </r>
  <r>
    <x v="4"/>
    <x v="2"/>
    <n v="6552"/>
    <n v="591"/>
    <n v="5823"/>
    <n v="27"/>
    <n v="4"/>
    <n v="109134"/>
    <n v="137"/>
    <n v="72849"/>
    <n v="20"/>
    <n v="-15"/>
    <n v="0"/>
    <n v="1"/>
    <n v="866"/>
    <n v="99"/>
    <n v="965"/>
    <n v="0.97524752475247523"/>
    <n v="35"/>
    <x v="4"/>
    <s v="miércoles"/>
    <s v=""/>
    <s v=""/>
    <s v=""/>
    <s v=""/>
    <s v=""/>
    <s v=""/>
    <s v=""/>
  </r>
  <r>
    <x v="4"/>
    <x v="3"/>
    <n v="7783"/>
    <n v="364"/>
    <n v="7118"/>
    <n v="34"/>
    <n v="3"/>
    <n v="121180"/>
    <n v="300"/>
    <n v="65480"/>
    <n v="31"/>
    <n v="-13"/>
    <n v="1"/>
    <n v="0"/>
    <n v="923"/>
    <n v="80"/>
    <n v="1003"/>
    <n v="0.96551724137931039"/>
    <n v="41"/>
    <x v="4"/>
    <s v="miércoles"/>
    <s v=""/>
    <s v=""/>
    <s v=""/>
    <s v=""/>
    <s v=""/>
    <s v=""/>
    <s v=""/>
  </r>
  <r>
    <x v="4"/>
    <x v="4"/>
    <n v="5869"/>
    <n v="856"/>
    <n v="4948"/>
    <n v="42"/>
    <n v="9"/>
    <n v="97911"/>
    <n v="67"/>
    <n v="44010"/>
    <n v="39"/>
    <n v="-15"/>
    <n v="1"/>
    <n v="0"/>
    <n v="570"/>
    <n v="88"/>
    <n v="658"/>
    <n v="0.98277841561423651"/>
    <n v="53"/>
    <x v="4"/>
    <s v="miércoles"/>
    <s v=""/>
    <s v=""/>
    <s v=""/>
    <s v=""/>
    <s v=""/>
    <s v=""/>
    <s v=""/>
  </r>
  <r>
    <x v="4"/>
    <x v="5"/>
    <n v="8346"/>
    <n v="817"/>
    <n v="7358"/>
    <n v="53"/>
    <n v="6"/>
    <n v="156448"/>
    <n v="172"/>
    <n v="88354"/>
    <n v="77"/>
    <n v="32"/>
    <n v="1"/>
    <n v="0"/>
    <n v="1962"/>
    <n v="169"/>
    <n v="2131"/>
    <n v="1.0407643312101911"/>
    <n v="45"/>
    <x v="4"/>
    <s v="miércoles"/>
    <s v=""/>
    <s v=""/>
    <s v=""/>
    <s v=""/>
    <s v=""/>
    <s v=""/>
    <s v=""/>
  </r>
  <r>
    <x v="4"/>
    <x v="6"/>
    <n v="10822"/>
    <n v="1425"/>
    <n v="9161"/>
    <n v="62"/>
    <n v="11"/>
    <n v="200137"/>
    <n v="237"/>
    <n v="56504"/>
    <n v="52"/>
    <n v="-74"/>
    <n v="3"/>
    <n v="1"/>
    <n v="2650"/>
    <n v="75"/>
    <n v="2725"/>
    <n v="0.95063375583722487"/>
    <n v="126"/>
    <x v="4"/>
    <s v="miércoles"/>
    <s v=""/>
    <s v=""/>
    <s v=""/>
    <s v=""/>
    <s v=""/>
    <s v=""/>
    <s v=""/>
  </r>
  <r>
    <x v="4"/>
    <x v="7"/>
    <n v="55363"/>
    <n v="5795"/>
    <n v="48285"/>
    <n v="321"/>
    <n v="50"/>
    <n v="960143"/>
    <n v="1287"/>
    <n v="430427"/>
    <n v="286"/>
    <n v="-132"/>
    <n v="-3"/>
    <n v="-1"/>
    <n v="7970"/>
    <n v="764"/>
    <n v="8734"/>
    <n v="0.97772903661211408"/>
    <n v="413"/>
    <x v="4"/>
    <s v="miércoles"/>
    <s v=""/>
    <s v=""/>
    <s v=""/>
    <s v=""/>
    <s v=""/>
    <s v=""/>
    <s v=""/>
  </r>
  <r>
    <x v="5"/>
    <x v="0"/>
    <n v="12477"/>
    <n v="1093"/>
    <n v="11095"/>
    <n v="78"/>
    <n v="13"/>
    <n v="210400"/>
    <n v="293"/>
    <n v="74050"/>
    <n v="43"/>
    <n v="-53"/>
    <n v="2"/>
    <n v="-1"/>
    <n v="1350"/>
    <n v="204"/>
    <n v="1554"/>
    <n v="0.9537521815008726"/>
    <n v="96"/>
    <x v="5"/>
    <s v="jueves"/>
    <s v=""/>
    <s v=""/>
    <s v=""/>
    <s v=""/>
    <s v=""/>
    <s v=""/>
    <s v=""/>
  </r>
  <r>
    <x v="5"/>
    <x v="1"/>
    <n v="3580"/>
    <n v="573"/>
    <n v="2924"/>
    <n v="28"/>
    <n v="3"/>
    <n v="66878"/>
    <n v="81"/>
    <n v="29423"/>
    <n v="23"/>
    <n v="-23"/>
    <n v="1"/>
    <n v="0"/>
    <n v="595"/>
    <n v="39"/>
    <n v="634"/>
    <n v="0.96140939597315433"/>
    <n v="46"/>
    <x v="5"/>
    <s v="jueves"/>
    <s v=""/>
    <s v=""/>
    <s v=""/>
    <s v=""/>
    <s v=""/>
    <s v=""/>
    <s v=""/>
  </r>
  <r>
    <x v="5"/>
    <x v="2"/>
    <n v="6577"/>
    <n v="571"/>
    <n v="5866"/>
    <n v="23"/>
    <n v="4"/>
    <n v="110098"/>
    <n v="139"/>
    <n v="72957"/>
    <n v="25"/>
    <n v="-20"/>
    <n v="-4"/>
    <n v="0"/>
    <n v="964"/>
    <n v="108"/>
    <n v="1072"/>
    <n v="0.96615905245346867"/>
    <n v="43"/>
    <x v="5"/>
    <s v="jueves"/>
    <s v=""/>
    <s v=""/>
    <s v=""/>
    <s v=""/>
    <s v=""/>
    <s v=""/>
    <s v=""/>
  </r>
  <r>
    <x v="5"/>
    <x v="3"/>
    <n v="7820"/>
    <n v="383"/>
    <n v="7136"/>
    <n v="26"/>
    <n v="2"/>
    <n v="122070"/>
    <n v="300"/>
    <n v="65621"/>
    <n v="37"/>
    <n v="19"/>
    <n v="-8"/>
    <n v="-1"/>
    <n v="890"/>
    <n v="141"/>
    <n v="1031"/>
    <n v="1.0521978021978022"/>
    <n v="18"/>
    <x v="5"/>
    <s v="jueves"/>
    <s v=""/>
    <s v=""/>
    <s v=""/>
    <s v=""/>
    <s v=""/>
    <s v=""/>
    <s v=""/>
  </r>
  <r>
    <x v="5"/>
    <x v="4"/>
    <n v="5906"/>
    <n v="839"/>
    <n v="5001"/>
    <n v="42"/>
    <n v="10"/>
    <n v="98762"/>
    <n v="68"/>
    <n v="44099"/>
    <n v="37"/>
    <n v="-17"/>
    <n v="0"/>
    <n v="1"/>
    <n v="851"/>
    <n v="89"/>
    <n v="940"/>
    <n v="0.98014018691588789"/>
    <n v="53"/>
    <x v="5"/>
    <s v="jueves"/>
    <s v=""/>
    <s v=""/>
    <s v=""/>
    <s v=""/>
    <s v=""/>
    <s v=""/>
    <s v=""/>
  </r>
  <r>
    <x v="5"/>
    <x v="5"/>
    <n v="8412"/>
    <n v="824"/>
    <n v="7416"/>
    <n v="52"/>
    <n v="7"/>
    <n v="157288"/>
    <n v="173"/>
    <n v="88546"/>
    <n v="66"/>
    <n v="7"/>
    <n v="-1"/>
    <n v="1"/>
    <n v="840"/>
    <n v="192"/>
    <n v="1032"/>
    <n v="1.0085679314565483"/>
    <n v="58"/>
    <x v="5"/>
    <s v="jueves"/>
    <s v=""/>
    <s v=""/>
    <s v=""/>
    <s v=""/>
    <s v=""/>
    <s v=""/>
    <s v=""/>
  </r>
  <r>
    <x v="5"/>
    <x v="6"/>
    <n v="10949"/>
    <n v="1401"/>
    <n v="9310"/>
    <n v="60"/>
    <n v="12"/>
    <n v="202118"/>
    <n v="239"/>
    <n v="56587"/>
    <n v="127"/>
    <n v="-24"/>
    <n v="-2"/>
    <n v="1"/>
    <n v="1981"/>
    <n v="83"/>
    <n v="2064"/>
    <n v="0.98315789473684212"/>
    <n v="149"/>
    <x v="5"/>
    <s v="jueves"/>
    <s v=""/>
    <s v=""/>
    <s v=""/>
    <s v=""/>
    <s v=""/>
    <s v=""/>
    <s v=""/>
  </r>
  <r>
    <x v="5"/>
    <x v="7"/>
    <n v="55721"/>
    <n v="5684"/>
    <n v="48748"/>
    <n v="309"/>
    <n v="51"/>
    <n v="967614"/>
    <n v="1293"/>
    <n v="431283"/>
    <n v="358"/>
    <n v="-111"/>
    <n v="-12"/>
    <n v="1"/>
    <n v="7471"/>
    <n v="856"/>
    <n v="8327"/>
    <n v="0.98084555651423644"/>
    <n v="463"/>
    <x v="5"/>
    <s v="jueves"/>
    <s v=""/>
    <s v=""/>
    <s v=""/>
    <s v=""/>
    <s v=""/>
    <s v=""/>
    <s v=""/>
  </r>
  <r>
    <x v="6"/>
    <x v="0"/>
    <n v="12528"/>
    <n v="1017"/>
    <n v="11219"/>
    <n v="74"/>
    <n v="13"/>
    <n v="211869"/>
    <n v="296"/>
    <n v="74253"/>
    <n v="51"/>
    <n v="-76"/>
    <n v="-4"/>
    <n v="0"/>
    <n v="1469"/>
    <n v="203"/>
    <n v="1672"/>
    <n v="0.93046660567246109"/>
    <n v="124"/>
    <x v="6"/>
    <s v="viernes"/>
    <s v=""/>
    <s v=""/>
    <s v=""/>
    <n v="314"/>
    <s v=""/>
    <n v="0.10540449815374286"/>
    <s v=""/>
  </r>
  <r>
    <x v="6"/>
    <x v="1"/>
    <n v="3611"/>
    <n v="547"/>
    <n v="2981"/>
    <n v="29"/>
    <n v="4"/>
    <n v="67485"/>
    <n v="81"/>
    <n v="29469"/>
    <n v="31"/>
    <n v="-26"/>
    <n v="1"/>
    <n v="1"/>
    <n v="607"/>
    <n v="46"/>
    <n v="653"/>
    <n v="0.95462478184991273"/>
    <n v="57"/>
    <x v="6"/>
    <s v="viernes"/>
    <s v=""/>
    <s v=""/>
    <s v=""/>
    <n v="204"/>
    <s v=""/>
    <n v="0.24431137724550897"/>
    <s v=""/>
  </r>
  <r>
    <x v="6"/>
    <x v="2"/>
    <n v="6596"/>
    <n v="545"/>
    <n v="5911"/>
    <n v="25"/>
    <n v="4"/>
    <n v="111111"/>
    <n v="139"/>
    <n v="73078"/>
    <n v="19"/>
    <n v="-26"/>
    <n v="2"/>
    <n v="0"/>
    <n v="1013"/>
    <n v="121"/>
    <n v="1134"/>
    <n v="0.95446584938704027"/>
    <n v="45"/>
    <x v="6"/>
    <s v="viernes"/>
    <s v=""/>
    <s v=""/>
    <s v=""/>
    <n v="172"/>
    <s v=""/>
    <n v="0.15551537070524413"/>
    <s v=""/>
  </r>
  <r>
    <x v="6"/>
    <x v="3"/>
    <n v="7851"/>
    <n v="403"/>
    <n v="7145"/>
    <n v="30"/>
    <n v="2"/>
    <n v="122626"/>
    <n v="301"/>
    <n v="65754"/>
    <n v="31"/>
    <n v="20"/>
    <n v="4"/>
    <n v="0"/>
    <n v="556"/>
    <n v="133"/>
    <n v="689"/>
    <n v="1.0522193211488251"/>
    <n v="9"/>
    <x v="6"/>
    <s v="viernes"/>
    <s v=""/>
    <s v=""/>
    <s v=""/>
    <n v="200"/>
    <s v=""/>
    <n v="0.12746972594008923"/>
    <s v=""/>
  </r>
  <r>
    <x v="6"/>
    <x v="4"/>
    <n v="5970"/>
    <n v="851"/>
    <n v="5052"/>
    <n v="39"/>
    <n v="9"/>
    <n v="99820"/>
    <n v="69"/>
    <n v="44231"/>
    <n v="64"/>
    <n v="12"/>
    <n v="-3"/>
    <n v="-1"/>
    <n v="1058"/>
    <n v="132"/>
    <n v="1190"/>
    <n v="1.0143027413587604"/>
    <n v="51"/>
    <x v="6"/>
    <s v="viernes"/>
    <s v=""/>
    <s v=""/>
    <s v=""/>
    <n v="302"/>
    <s v=""/>
    <n v="0.22965779467680608"/>
    <s v=""/>
  </r>
  <r>
    <x v="6"/>
    <x v="5"/>
    <n v="8503"/>
    <n v="852"/>
    <n v="7479"/>
    <n v="50"/>
    <n v="11"/>
    <n v="158434"/>
    <n v="174"/>
    <n v="88803"/>
    <n v="91"/>
    <n v="28"/>
    <n v="-2"/>
    <n v="4"/>
    <n v="1146"/>
    <n v="257"/>
    <n v="1403"/>
    <n v="1.0339805825242718"/>
    <n v="63"/>
    <x v="6"/>
    <s v="viernes"/>
    <s v=""/>
    <s v=""/>
    <s v=""/>
    <n v="451"/>
    <s v=""/>
    <n v="0.26560659599528857"/>
    <s v=""/>
  </r>
  <r>
    <x v="6"/>
    <x v="6"/>
    <n v="11002"/>
    <n v="1315"/>
    <n v="9445"/>
    <n v="51"/>
    <n v="11"/>
    <n v="203922"/>
    <n v="243"/>
    <n v="56659"/>
    <n v="53"/>
    <n v="-86"/>
    <n v="-9"/>
    <n v="-1"/>
    <n v="1804"/>
    <n v="72"/>
    <n v="1876"/>
    <n v="0.93861527480371165"/>
    <n v="135"/>
    <x v="6"/>
    <s v="viernes"/>
    <s v=""/>
    <s v=""/>
    <s v=""/>
    <n v="515"/>
    <s v=""/>
    <n v="0.26560082516761219"/>
    <s v=""/>
  </r>
  <r>
    <x v="6"/>
    <x v="7"/>
    <n v="56061"/>
    <n v="5530"/>
    <n v="49232"/>
    <n v="298"/>
    <n v="54"/>
    <n v="975267"/>
    <n v="1303"/>
    <n v="432247"/>
    <n v="340"/>
    <n v="-154"/>
    <n v="-11"/>
    <n v="3"/>
    <n v="7653"/>
    <n v="964"/>
    <n v="8617"/>
    <n v="0.97290640394088668"/>
    <n v="484"/>
    <x v="6"/>
    <s v="viernes"/>
    <s v=""/>
    <s v=""/>
    <s v=""/>
    <n v="2158"/>
    <s v=""/>
    <n v="0.19023272214386461"/>
    <s v=""/>
  </r>
  <r>
    <x v="7"/>
    <x v="0"/>
    <n v="12570"/>
    <n v="993"/>
    <n v="11285"/>
    <n v="74"/>
    <n v="13"/>
    <n v="213048"/>
    <n v="296"/>
    <n v="74334"/>
    <n v="42"/>
    <n v="-24"/>
    <n v="0"/>
    <n v="0"/>
    <n v="1179"/>
    <n v="81"/>
    <n v="1260"/>
    <n v="0.97640117994100295"/>
    <n v="66"/>
    <x v="7"/>
    <s v="sábado"/>
    <s v=""/>
    <s v=""/>
    <s v=""/>
    <n v="316"/>
    <s v=""/>
    <n v="0.10607586438402149"/>
    <s v=""/>
  </r>
  <r>
    <x v="7"/>
    <x v="1"/>
    <n v="3637"/>
    <n v="533"/>
    <n v="3020"/>
    <n v="28"/>
    <n v="4"/>
    <n v="68004"/>
    <n v="82"/>
    <n v="29495"/>
    <n v="26"/>
    <n v="-14"/>
    <n v="-1"/>
    <n v="0"/>
    <n v="519"/>
    <n v="26"/>
    <n v="545"/>
    <n v="0.97440585009140768"/>
    <n v="39"/>
    <x v="7"/>
    <s v="sábado"/>
    <s v=""/>
    <s v=""/>
    <s v=""/>
    <n v="207"/>
    <s v=""/>
    <n v="0.24790419161676647"/>
    <s v=""/>
  </r>
  <r>
    <x v="7"/>
    <x v="2"/>
    <n v="6619"/>
    <n v="498"/>
    <n v="5981"/>
    <n v="22"/>
    <n v="4"/>
    <n v="112035"/>
    <n v="139"/>
    <n v="73124"/>
    <n v="23"/>
    <n v="-47"/>
    <n v="-3"/>
    <n v="0"/>
    <n v="924"/>
    <n v="46"/>
    <n v="970"/>
    <n v="0.91376146788990831"/>
    <n v="70"/>
    <x v="7"/>
    <s v="sábado"/>
    <s v=""/>
    <s v=""/>
    <s v=""/>
    <n v="164"/>
    <s v=""/>
    <n v="0.14828209764918626"/>
    <s v=""/>
  </r>
  <r>
    <x v="7"/>
    <x v="3"/>
    <n v="7899"/>
    <n v="424"/>
    <n v="7172"/>
    <n v="32"/>
    <n v="2"/>
    <n v="123121"/>
    <n v="301"/>
    <n v="65812"/>
    <n v="48"/>
    <n v="21"/>
    <n v="2"/>
    <n v="0"/>
    <n v="495"/>
    <n v="58"/>
    <n v="553"/>
    <n v="1.0521091811414391"/>
    <n v="27"/>
    <x v="7"/>
    <s v="sábado"/>
    <s v=""/>
    <s v=""/>
    <s v=""/>
    <n v="226"/>
    <s v=""/>
    <n v="0.14404079031230083"/>
    <s v=""/>
  </r>
  <r>
    <x v="7"/>
    <x v="4"/>
    <n v="6038"/>
    <n v="851"/>
    <n v="5119"/>
    <n v="38"/>
    <n v="8"/>
    <n v="100802"/>
    <n v="70"/>
    <n v="44296"/>
    <n v="68"/>
    <n v="0"/>
    <n v="-1"/>
    <n v="-1"/>
    <n v="982"/>
    <n v="65"/>
    <n v="1047"/>
    <n v="1"/>
    <n v="67"/>
    <x v="7"/>
    <s v="sábado"/>
    <s v=""/>
    <s v=""/>
    <s v=""/>
    <n v="333"/>
    <s v=""/>
    <n v="0.25323193916349812"/>
    <s v=""/>
  </r>
  <r>
    <x v="7"/>
    <x v="5"/>
    <n v="8599"/>
    <n v="905"/>
    <n v="7522"/>
    <n v="56"/>
    <n v="10"/>
    <n v="159813"/>
    <n v="174"/>
    <n v="88948"/>
    <n v="96"/>
    <n v="53"/>
    <n v="6"/>
    <n v="-1"/>
    <n v="1379"/>
    <n v="145"/>
    <n v="1524"/>
    <n v="1.062206572769953"/>
    <n v="43"/>
    <x v="7"/>
    <s v="sábado"/>
    <s v=""/>
    <s v=""/>
    <s v=""/>
    <n v="495"/>
    <s v=""/>
    <n v="0.29151943462897528"/>
    <s v=""/>
  </r>
  <r>
    <x v="7"/>
    <x v="6"/>
    <n v="11095"/>
    <n v="1317"/>
    <n v="9535"/>
    <n v="47"/>
    <n v="11"/>
    <n v="206339"/>
    <n v="244"/>
    <n v="56690"/>
    <n v="93"/>
    <n v="2"/>
    <n v="-4"/>
    <n v="0"/>
    <n v="2417"/>
    <n v="31"/>
    <n v="2448"/>
    <n v="1.0015209125475286"/>
    <n v="90"/>
    <x v="7"/>
    <s v="sábado"/>
    <s v=""/>
    <s v=""/>
    <s v=""/>
    <n v="517"/>
    <s v=""/>
    <n v="0.26663228468282618"/>
    <s v=""/>
  </r>
  <r>
    <x v="7"/>
    <x v="7"/>
    <n v="56457"/>
    <n v="5521"/>
    <n v="49634"/>
    <n v="297"/>
    <n v="52"/>
    <n v="983162"/>
    <n v="1306"/>
    <n v="432699"/>
    <n v="396"/>
    <n v="-9"/>
    <n v="-1"/>
    <n v="-2"/>
    <n v="7895"/>
    <n v="452"/>
    <n v="8347"/>
    <n v="0.99837251356238699"/>
    <n v="402"/>
    <x v="7"/>
    <s v="sábado"/>
    <s v=""/>
    <s v=""/>
    <s v=""/>
    <n v="2258"/>
    <s v=""/>
    <n v="0.19904795486600846"/>
    <s v=""/>
  </r>
  <r>
    <x v="8"/>
    <x v="0"/>
    <n v="12635"/>
    <n v="955"/>
    <n v="11386"/>
    <n v="75"/>
    <n v="13"/>
    <n v="213772"/>
    <n v="298"/>
    <n v="74419"/>
    <n v="65"/>
    <n v="-38"/>
    <n v="1"/>
    <n v="0"/>
    <n v="724"/>
    <n v="85"/>
    <n v="809"/>
    <n v="0.96173212487411885"/>
    <n v="101"/>
    <x v="8"/>
    <s v="domingo"/>
    <s v=""/>
    <s v=""/>
    <s v=""/>
    <n v="328"/>
    <s v=""/>
    <n v="0.11010406176569319"/>
    <s v=""/>
  </r>
  <r>
    <x v="8"/>
    <x v="1"/>
    <n v="3686"/>
    <n v="563"/>
    <n v="3037"/>
    <n v="30"/>
    <n v="4"/>
    <n v="69010"/>
    <n v="84"/>
    <n v="29513"/>
    <n v="49"/>
    <n v="30"/>
    <n v="2"/>
    <n v="0"/>
    <n v="1006"/>
    <n v="18"/>
    <n v="1024"/>
    <n v="1.0562851782363978"/>
    <n v="17"/>
    <x v="8"/>
    <s v="domingo"/>
    <s v=""/>
    <s v=""/>
    <s v=""/>
    <n v="220"/>
    <s v=""/>
    <n v="0.26347305389221559"/>
    <s v=""/>
  </r>
  <r>
    <x v="8"/>
    <x v="2"/>
    <n v="6639"/>
    <n v="486"/>
    <n v="6013"/>
    <n v="21"/>
    <n v="6"/>
    <n v="113015"/>
    <n v="139"/>
    <n v="73167"/>
    <n v="20"/>
    <n v="-12"/>
    <n v="-1"/>
    <n v="2"/>
    <n v="980"/>
    <n v="43"/>
    <n v="1023"/>
    <n v="0.97590361445783136"/>
    <n v="32"/>
    <x v="8"/>
    <s v="domingo"/>
    <s v=""/>
    <s v=""/>
    <s v=""/>
    <n v="155"/>
    <s v=""/>
    <n v="0.14014466546112117"/>
    <s v=""/>
  </r>
  <r>
    <x v="8"/>
    <x v="3"/>
    <n v="7940"/>
    <n v="452"/>
    <n v="7184"/>
    <n v="36"/>
    <n v="1"/>
    <n v="123699"/>
    <n v="302"/>
    <n v="65876"/>
    <n v="41"/>
    <n v="28"/>
    <n v="4"/>
    <n v="-1"/>
    <n v="578"/>
    <n v="64"/>
    <n v="642"/>
    <n v="1.0660377358490567"/>
    <n v="12"/>
    <x v="8"/>
    <s v="domingo"/>
    <s v=""/>
    <s v=""/>
    <s v=""/>
    <n v="244"/>
    <s v=""/>
    <n v="0.15551306564690887"/>
    <s v=""/>
  </r>
  <r>
    <x v="8"/>
    <x v="4"/>
    <n v="6090"/>
    <n v="848"/>
    <n v="5174"/>
    <n v="42"/>
    <n v="8"/>
    <n v="101325"/>
    <n v="70"/>
    <n v="44389"/>
    <n v="52"/>
    <n v="-3"/>
    <n v="4"/>
    <n v="0"/>
    <n v="523"/>
    <n v="93"/>
    <n v="616"/>
    <n v="0.99647473560517041"/>
    <n v="55"/>
    <x v="8"/>
    <s v="domingo"/>
    <s v=""/>
    <s v=""/>
    <s v=""/>
    <n v="352"/>
    <s v=""/>
    <n v="0.267680608365019"/>
    <s v=""/>
  </r>
  <r>
    <x v="8"/>
    <x v="5"/>
    <n v="8687"/>
    <n v="952"/>
    <n v="7563"/>
    <n v="62"/>
    <n v="11"/>
    <n v="161945"/>
    <n v="174"/>
    <n v="89063"/>
    <n v="88"/>
    <n v="47"/>
    <n v="6"/>
    <n v="1"/>
    <n v="2132"/>
    <n v="115"/>
    <n v="2247"/>
    <n v="1.0519337016574586"/>
    <n v="41"/>
    <x v="8"/>
    <s v="domingo"/>
    <s v=""/>
    <s v=""/>
    <s v=""/>
    <n v="536"/>
    <s v=""/>
    <n v="0.31566548881036516"/>
    <s v=""/>
  </r>
  <r>
    <x v="8"/>
    <x v="6"/>
    <n v="11151"/>
    <n v="1304"/>
    <n v="9603"/>
    <n v="44"/>
    <n v="12"/>
    <n v="208436"/>
    <n v="245"/>
    <n v="56728"/>
    <n v="56"/>
    <n v="-13"/>
    <n v="-3"/>
    <n v="1"/>
    <n v="2097"/>
    <n v="38"/>
    <n v="2135"/>
    <n v="0.99012908124525434"/>
    <n v="68"/>
    <x v="8"/>
    <s v="domingo"/>
    <s v=""/>
    <s v=""/>
    <s v=""/>
    <n v="520"/>
    <s v=""/>
    <n v="0.26817947395564723"/>
    <s v=""/>
  </r>
  <r>
    <x v="8"/>
    <x v="7"/>
    <n v="56828"/>
    <n v="5560"/>
    <n v="49960"/>
    <n v="310"/>
    <n v="55"/>
    <n v="991202"/>
    <n v="1312"/>
    <n v="433155"/>
    <n v="371"/>
    <n v="39"/>
    <n v="13"/>
    <n v="3"/>
    <n v="8040"/>
    <n v="456"/>
    <n v="8496"/>
    <n v="1.0070639376924471"/>
    <n v="326"/>
    <x v="8"/>
    <s v="domingo"/>
    <s v=""/>
    <s v=""/>
    <s v=""/>
    <n v="2355"/>
    <s v=""/>
    <n v="0.20759873060648801"/>
    <s v=""/>
  </r>
  <r>
    <x v="9"/>
    <x v="0"/>
    <n v="12656"/>
    <n v="929"/>
    <n v="11431"/>
    <n v="72"/>
    <n v="14"/>
    <n v="214113"/>
    <n v="300"/>
    <n v="74593"/>
    <n v="21"/>
    <n v="-26"/>
    <n v="-3"/>
    <n v="1"/>
    <n v="341"/>
    <n v="174"/>
    <n v="515"/>
    <n v="0.97277486910994759"/>
    <n v="45"/>
    <x v="9"/>
    <s v="lunes"/>
    <s v=""/>
    <s v=""/>
    <s v=""/>
    <n v="312"/>
    <s v=""/>
    <n v="0.10473313192346426"/>
    <s v=""/>
  </r>
  <r>
    <x v="9"/>
    <x v="1"/>
    <n v="3704"/>
    <n v="562"/>
    <n v="3056"/>
    <n v="30"/>
    <n v="5"/>
    <n v="69859"/>
    <n v="84"/>
    <n v="29565"/>
    <n v="18"/>
    <n v="-1"/>
    <n v="0"/>
    <n v="1"/>
    <n v="849"/>
    <n v="52"/>
    <n v="901"/>
    <n v="0.9982238010657194"/>
    <n v="19"/>
    <x v="9"/>
    <s v="lunes"/>
    <s v=""/>
    <s v=""/>
    <s v=""/>
    <n v="222"/>
    <s v=""/>
    <n v="0.26586826347305387"/>
    <s v=""/>
  </r>
  <r>
    <x v="9"/>
    <x v="2"/>
    <n v="6652"/>
    <n v="470"/>
    <n v="6041"/>
    <n v="20"/>
    <n v="6"/>
    <n v="113810"/>
    <n v="140"/>
    <n v="73279"/>
    <n v="13"/>
    <n v="-16"/>
    <n v="-1"/>
    <n v="0"/>
    <n v="795"/>
    <n v="112"/>
    <n v="907"/>
    <n v="0.96707818930041156"/>
    <n v="28"/>
    <x v="9"/>
    <s v="lunes"/>
    <s v=""/>
    <s v=""/>
    <s v=""/>
    <n v="150"/>
    <s v=""/>
    <n v="0.13562386980108498"/>
    <s v=""/>
  </r>
  <r>
    <x v="9"/>
    <x v="3"/>
    <n v="7952"/>
    <n v="436"/>
    <n v="7211"/>
    <n v="38"/>
    <n v="1"/>
    <n v="124836"/>
    <n v="303"/>
    <n v="65958"/>
    <n v="12"/>
    <n v="-16"/>
    <n v="2"/>
    <n v="0"/>
    <n v="1137"/>
    <n v="82"/>
    <n v="1219"/>
    <n v="0.96460176991150437"/>
    <n v="27"/>
    <x v="9"/>
    <s v="lunes"/>
    <s v=""/>
    <s v=""/>
    <s v=""/>
    <n v="234"/>
    <s v=""/>
    <n v="0.14913957934990441"/>
    <s v=""/>
  </r>
  <r>
    <x v="9"/>
    <x v="4"/>
    <n v="6172"/>
    <n v="867"/>
    <n v="5237"/>
    <n v="44"/>
    <n v="8"/>
    <n v="102136"/>
    <n v="71"/>
    <n v="44510"/>
    <n v="82"/>
    <n v="19"/>
    <n v="2"/>
    <n v="0"/>
    <n v="811"/>
    <n v="121"/>
    <n v="932"/>
    <n v="1.0224056603773586"/>
    <n v="63"/>
    <x v="9"/>
    <s v="lunes"/>
    <s v=""/>
    <s v=""/>
    <s v=""/>
    <n v="390"/>
    <s v=""/>
    <n v="0.29657794676806082"/>
    <s v=""/>
  </r>
  <r>
    <x v="9"/>
    <x v="5"/>
    <n v="8765"/>
    <n v="1005"/>
    <n v="7587"/>
    <n v="67"/>
    <n v="8"/>
    <n v="163782"/>
    <n v="175"/>
    <n v="89305"/>
    <n v="78"/>
    <n v="53"/>
    <n v="5"/>
    <n v="-3"/>
    <n v="1837"/>
    <n v="242"/>
    <n v="2079"/>
    <n v="1.055672268907563"/>
    <n v="24"/>
    <x v="9"/>
    <s v="lunes"/>
    <s v=""/>
    <s v=""/>
    <s v=""/>
    <n v="549"/>
    <s v=""/>
    <n v="0.32332155477031804"/>
    <s v=""/>
  </r>
  <r>
    <x v="9"/>
    <x v="6"/>
    <n v="11201"/>
    <n v="1329"/>
    <n v="9627"/>
    <n v="48"/>
    <n v="14"/>
    <n v="210698"/>
    <n v="246"/>
    <n v="56818"/>
    <n v="50"/>
    <n v="25"/>
    <n v="4"/>
    <n v="2"/>
    <n v="2262"/>
    <n v="90"/>
    <n v="2352"/>
    <n v="1.0191717791411044"/>
    <n v="24"/>
    <x v="9"/>
    <s v="lunes"/>
    <s v=""/>
    <s v=""/>
    <s v=""/>
    <n v="510"/>
    <s v=""/>
    <n v="0.26302217637957709"/>
    <s v=""/>
  </r>
  <r>
    <x v="9"/>
    <x v="7"/>
    <n v="57102"/>
    <n v="5598"/>
    <n v="50190"/>
    <n v="319"/>
    <n v="56"/>
    <n v="999234"/>
    <n v="1319"/>
    <n v="434028"/>
    <n v="274"/>
    <n v="38"/>
    <n v="9"/>
    <n v="1"/>
    <n v="8032"/>
    <n v="873"/>
    <n v="8905"/>
    <n v="1.0068345323741008"/>
    <n v="230"/>
    <x v="9"/>
    <s v="lunes"/>
    <s v=""/>
    <s v=""/>
    <s v=""/>
    <n v="2367"/>
    <s v=""/>
    <n v="0.20865655853314527"/>
    <s v=""/>
  </r>
  <r>
    <x v="10"/>
    <x v="0"/>
    <n v="12701"/>
    <n v="907"/>
    <n v="11497"/>
    <n v="63"/>
    <n v="13"/>
    <n v="215114"/>
    <n v="301"/>
    <n v="74812"/>
    <n v="45"/>
    <n v="-22"/>
    <n v="-9"/>
    <n v="-1"/>
    <n v="1001"/>
    <n v="219"/>
    <n v="1220"/>
    <n v="0.97631862217438103"/>
    <n v="66"/>
    <x v="10"/>
    <s v="martes"/>
    <s v=""/>
    <s v=""/>
    <s v=""/>
    <n v="310"/>
    <s v=""/>
    <n v="0.10406176569318563"/>
    <s v=""/>
  </r>
  <r>
    <x v="10"/>
    <x v="1"/>
    <n v="3738"/>
    <n v="570"/>
    <n v="3082"/>
    <n v="30"/>
    <n v="4"/>
    <n v="70459"/>
    <n v="84"/>
    <n v="29598"/>
    <n v="34"/>
    <n v="8"/>
    <n v="0"/>
    <n v="-1"/>
    <n v="600"/>
    <n v="33"/>
    <n v="633"/>
    <n v="1.0142348754448398"/>
    <n v="26"/>
    <x v="10"/>
    <s v="martes"/>
    <s v=""/>
    <s v=""/>
    <s v=""/>
    <n v="205"/>
    <s v=""/>
    <n v="0.24550898203592814"/>
    <s v=""/>
  </r>
  <r>
    <x v="10"/>
    <x v="2"/>
    <n v="6685"/>
    <n v="462"/>
    <n v="6082"/>
    <n v="18"/>
    <n v="6"/>
    <n v="114614"/>
    <n v="140"/>
    <n v="73395"/>
    <n v="33"/>
    <n v="-8"/>
    <n v="-2"/>
    <n v="0"/>
    <n v="804"/>
    <n v="116"/>
    <n v="920"/>
    <n v="0.98297872340425529"/>
    <n v="41"/>
    <x v="10"/>
    <s v="martes"/>
    <s v=""/>
    <s v=""/>
    <s v=""/>
    <n v="153"/>
    <s v=""/>
    <n v="0.13833634719710669"/>
    <s v=""/>
  </r>
  <r>
    <x v="10"/>
    <x v="3"/>
    <n v="7980"/>
    <n v="448"/>
    <n v="7227"/>
    <n v="35"/>
    <n v="2"/>
    <n v="125798"/>
    <n v="303"/>
    <n v="66077"/>
    <n v="28"/>
    <n v="12"/>
    <n v="-3"/>
    <n v="1"/>
    <n v="962"/>
    <n v="119"/>
    <n v="1081"/>
    <n v="1.0275229357798166"/>
    <n v="16"/>
    <x v="10"/>
    <s v="martes"/>
    <s v=""/>
    <s v=""/>
    <s v=""/>
    <n v="228"/>
    <s v=""/>
    <n v="0.14531548757170173"/>
    <s v=""/>
  </r>
  <r>
    <x v="10"/>
    <x v="4"/>
    <n v="6217"/>
    <n v="869"/>
    <n v="5279"/>
    <n v="44"/>
    <n v="8"/>
    <n v="102889"/>
    <n v="72"/>
    <n v="44661"/>
    <n v="45"/>
    <n v="2"/>
    <n v="0"/>
    <n v="0"/>
    <n v="753"/>
    <n v="151"/>
    <n v="904"/>
    <n v="1.0023068050749713"/>
    <n v="42"/>
    <x v="10"/>
    <s v="martes"/>
    <s v=""/>
    <s v=""/>
    <s v=""/>
    <n v="387"/>
    <s v=""/>
    <n v="0.29429657794676806"/>
    <s v=""/>
  </r>
  <r>
    <x v="10"/>
    <x v="5"/>
    <n v="8883"/>
    <n v="1054"/>
    <n v="7656"/>
    <n v="64"/>
    <n v="7"/>
    <n v="166335"/>
    <n v="175"/>
    <n v="89538"/>
    <n v="118"/>
    <n v="49"/>
    <n v="-3"/>
    <n v="-1"/>
    <n v="2553"/>
    <n v="233"/>
    <n v="2786"/>
    <n v="1.0487562189054727"/>
    <n v="69"/>
    <x v="10"/>
    <s v="martes"/>
    <s v=""/>
    <s v=""/>
    <s v=""/>
    <n v="614"/>
    <s v=""/>
    <n v="0.36160188457008247"/>
    <s v=""/>
  </r>
  <r>
    <x v="10"/>
    <x v="6"/>
    <n v="11322"/>
    <n v="1343"/>
    <n v="9732"/>
    <n v="47"/>
    <n v="13"/>
    <n v="213051"/>
    <n v="248"/>
    <n v="56933"/>
    <n v="121"/>
    <n v="14"/>
    <n v="-1"/>
    <n v="-1"/>
    <n v="2353"/>
    <n v="115"/>
    <n v="2468"/>
    <n v="1.0105342362678706"/>
    <n v="105"/>
    <x v="10"/>
    <s v="martes"/>
    <s v=""/>
    <s v=""/>
    <s v=""/>
    <n v="552"/>
    <s v=""/>
    <n v="0.2846828261990717"/>
    <s v=""/>
  </r>
  <r>
    <x v="10"/>
    <x v="7"/>
    <n v="57526"/>
    <n v="5653"/>
    <n v="50555"/>
    <n v="301"/>
    <n v="53"/>
    <n v="1008260"/>
    <n v="1323"/>
    <n v="435014"/>
    <n v="424"/>
    <n v="55"/>
    <n v="-18"/>
    <n v="-3"/>
    <n v="9026"/>
    <n v="986"/>
    <n v="10012"/>
    <n v="1.0098249374776707"/>
    <n v="365"/>
    <x v="10"/>
    <s v="martes"/>
    <s v=""/>
    <s v=""/>
    <s v=""/>
    <n v="2449"/>
    <s v=""/>
    <n v="0.21588504936530326"/>
    <s v=""/>
  </r>
  <r>
    <x v="11"/>
    <x v="0"/>
    <n v="12762"/>
    <n v="899"/>
    <n v="11564"/>
    <n v="69"/>
    <n v="12"/>
    <n v="215987"/>
    <n v="303"/>
    <n v="75008"/>
    <n v="61"/>
    <n v="-8"/>
    <n v="6"/>
    <n v="-1"/>
    <n v="873"/>
    <n v="196"/>
    <n v="1069"/>
    <n v="0.99117971334068355"/>
    <n v="67"/>
    <x v="11"/>
    <s v="miércoles"/>
    <s v=""/>
    <s v=""/>
    <s v=""/>
    <n v="328"/>
    <s v=""/>
    <n v="0.11010406176569319"/>
    <s v=""/>
  </r>
  <r>
    <x v="11"/>
    <x v="1"/>
    <n v="3754"/>
    <n v="555"/>
    <n v="3113"/>
    <n v="28"/>
    <n v="4"/>
    <n v="70950"/>
    <n v="84"/>
    <n v="29632"/>
    <n v="16"/>
    <n v="-15"/>
    <n v="-2"/>
    <n v="0"/>
    <n v="491"/>
    <n v="34"/>
    <n v="525"/>
    <n v="0.97368421052631582"/>
    <n v="31"/>
    <x v="11"/>
    <s v="miércoles"/>
    <s v=""/>
    <s v=""/>
    <s v=""/>
    <n v="197"/>
    <s v=""/>
    <n v="0.23592814371257484"/>
    <s v=""/>
  </r>
  <r>
    <x v="11"/>
    <x v="2"/>
    <n v="6708"/>
    <n v="433"/>
    <n v="6133"/>
    <n v="18"/>
    <n v="5"/>
    <n v="115604"/>
    <n v="141"/>
    <n v="73515"/>
    <n v="23"/>
    <n v="-29"/>
    <n v="0"/>
    <n v="-1"/>
    <n v="990"/>
    <n v="120"/>
    <n v="1110"/>
    <n v="0.93722943722943719"/>
    <n v="51"/>
    <x v="11"/>
    <s v="miércoles"/>
    <s v=""/>
    <s v=""/>
    <s v=""/>
    <n v="156"/>
    <s v=""/>
    <n v="0.1410488245931284"/>
    <s v=""/>
  </r>
  <r>
    <x v="11"/>
    <x v="3"/>
    <n v="8021"/>
    <n v="458"/>
    <n v="7259"/>
    <n v="36"/>
    <n v="1"/>
    <n v="126461"/>
    <n v="303"/>
    <n v="66187"/>
    <n v="41"/>
    <n v="10"/>
    <n v="1"/>
    <n v="-1"/>
    <n v="663"/>
    <n v="110"/>
    <n v="773"/>
    <n v="1.0223214285714286"/>
    <n v="32"/>
    <x v="11"/>
    <s v="miércoles"/>
    <s v=""/>
    <s v=""/>
    <s v=""/>
    <n v="238"/>
    <s v=""/>
    <n v="0.1516889738687062"/>
    <s v=""/>
  </r>
  <r>
    <x v="11"/>
    <x v="4"/>
    <n v="6278"/>
    <n v="865"/>
    <n v="5344"/>
    <n v="44"/>
    <n v="9"/>
    <n v="103782"/>
    <n v="72"/>
    <n v="44782"/>
    <n v="61"/>
    <n v="-4"/>
    <n v="0"/>
    <n v="1"/>
    <n v="893"/>
    <n v="121"/>
    <n v="1014"/>
    <n v="0.9953970080552359"/>
    <n v="65"/>
    <x v="11"/>
    <s v="miércoles"/>
    <s v=""/>
    <s v=""/>
    <s v=""/>
    <n v="409"/>
    <s v=""/>
    <n v="0.31102661596958175"/>
    <s v=""/>
  </r>
  <r>
    <x v="11"/>
    <x v="5"/>
    <n v="8993"/>
    <n v="1100"/>
    <n v="7719"/>
    <n v="62"/>
    <n v="6"/>
    <n v="168336"/>
    <n v="175"/>
    <n v="89774"/>
    <n v="110"/>
    <n v="46"/>
    <n v="-2"/>
    <n v="-1"/>
    <n v="2001"/>
    <n v="236"/>
    <n v="2237"/>
    <n v="1.0436432637571158"/>
    <n v="63"/>
    <x v="11"/>
    <s v="miércoles"/>
    <s v=""/>
    <s v=""/>
    <s v=""/>
    <n v="647"/>
    <s v=""/>
    <n v="0.38103651354534745"/>
    <s v=""/>
  </r>
  <r>
    <x v="11"/>
    <x v="6"/>
    <n v="11417"/>
    <n v="1308"/>
    <n v="9861"/>
    <n v="45"/>
    <n v="13"/>
    <n v="215719"/>
    <n v="249"/>
    <n v="57026"/>
    <n v="95"/>
    <n v="-35"/>
    <n v="-2"/>
    <n v="0"/>
    <n v="2668"/>
    <n v="93"/>
    <n v="2761"/>
    <n v="0.97393894266567382"/>
    <n v="129"/>
    <x v="11"/>
    <s v="miércoles"/>
    <s v=""/>
    <s v=""/>
    <s v=""/>
    <n v="595"/>
    <s v=""/>
    <n v="0.30685920577617326"/>
    <s v=""/>
  </r>
  <r>
    <x v="11"/>
    <x v="7"/>
    <n v="57933"/>
    <n v="5618"/>
    <n v="50993"/>
    <n v="302"/>
    <n v="50"/>
    <n v="1016839"/>
    <n v="1327"/>
    <n v="435924"/>
    <n v="407"/>
    <n v="-35"/>
    <n v="1"/>
    <n v="-3"/>
    <n v="8579"/>
    <n v="910"/>
    <n v="9489"/>
    <n v="0.9938085972050239"/>
    <n v="438"/>
    <x v="11"/>
    <s v="miércoles"/>
    <s v=""/>
    <s v=""/>
    <s v=""/>
    <n v="2570"/>
    <s v=""/>
    <n v="0.22655148095909733"/>
    <s v=""/>
  </r>
  <r>
    <x v="12"/>
    <x v="0"/>
    <n v="12806"/>
    <n v="861"/>
    <n v="11644"/>
    <n v="64"/>
    <n v="14"/>
    <n v="216767"/>
    <n v="305"/>
    <n v="75203"/>
    <n v="44"/>
    <n v="-38"/>
    <n v="-5"/>
    <n v="2"/>
    <n v="780"/>
    <n v="195"/>
    <n v="975"/>
    <n v="0.9577308120133482"/>
    <n v="80"/>
    <x v="12"/>
    <s v="jueves"/>
    <s v=""/>
    <s v=""/>
    <s v=""/>
    <n v="329"/>
    <s v=""/>
    <n v="0.1104397448808325"/>
    <s v=""/>
  </r>
  <r>
    <x v="12"/>
    <x v="1"/>
    <n v="3783"/>
    <n v="556"/>
    <n v="3141"/>
    <n v="30"/>
    <n v="5"/>
    <n v="71398"/>
    <n v="84"/>
    <n v="29675"/>
    <n v="29"/>
    <n v="1"/>
    <n v="2"/>
    <n v="1"/>
    <n v="448"/>
    <n v="43"/>
    <n v="491"/>
    <n v="1.0018018018018018"/>
    <n v="28"/>
    <x v="12"/>
    <s v="jueves"/>
    <s v=""/>
    <s v=""/>
    <s v=""/>
    <n v="203"/>
    <s v=""/>
    <n v="0.24311377245508983"/>
    <s v=""/>
  </r>
  <r>
    <x v="12"/>
    <x v="2"/>
    <n v="6721"/>
    <n v="401"/>
    <n v="6177"/>
    <n v="17"/>
    <n v="6"/>
    <n v="116220"/>
    <n v="141"/>
    <n v="73640"/>
    <n v="13"/>
    <n v="-32"/>
    <n v="-1"/>
    <n v="1"/>
    <n v="616"/>
    <n v="125"/>
    <n v="741"/>
    <n v="0.92609699769053122"/>
    <n v="44"/>
    <x v="12"/>
    <s v="jueves"/>
    <s v=""/>
    <s v=""/>
    <s v=""/>
    <n v="144"/>
    <s v=""/>
    <n v="0.1301989150090416"/>
    <s v=""/>
  </r>
  <r>
    <x v="12"/>
    <x v="3"/>
    <n v="8072"/>
    <n v="480"/>
    <n v="7287"/>
    <n v="36"/>
    <n v="2"/>
    <n v="127095"/>
    <n v="304"/>
    <n v="66330"/>
    <n v="51"/>
    <n v="22"/>
    <n v="0"/>
    <n v="1"/>
    <n v="634"/>
    <n v="143"/>
    <n v="777"/>
    <n v="1.0480349344978166"/>
    <n v="28"/>
    <x v="12"/>
    <s v="jueves"/>
    <s v=""/>
    <s v=""/>
    <s v=""/>
    <n v="252"/>
    <s v=""/>
    <n v="0.16061185468451242"/>
    <s v=""/>
  </r>
  <r>
    <x v="12"/>
    <x v="4"/>
    <n v="6350"/>
    <n v="897"/>
    <n v="5384"/>
    <n v="46"/>
    <n v="9"/>
    <n v="104598"/>
    <n v="72"/>
    <n v="44951"/>
    <n v="72"/>
    <n v="32"/>
    <n v="2"/>
    <n v="0"/>
    <n v="816"/>
    <n v="169"/>
    <n v="985"/>
    <n v="1.0369942196531792"/>
    <n v="40"/>
    <x v="12"/>
    <s v="jueves"/>
    <s v=""/>
    <s v=""/>
    <s v=""/>
    <n v="444"/>
    <s v=""/>
    <n v="0.33764258555133081"/>
    <s v=""/>
  </r>
  <r>
    <x v="12"/>
    <x v="5"/>
    <n v="9097"/>
    <n v="1144"/>
    <n v="7779"/>
    <n v="63"/>
    <n v="6"/>
    <n v="169789"/>
    <n v="176"/>
    <n v="90000"/>
    <n v="104"/>
    <n v="44"/>
    <n v="1"/>
    <n v="0"/>
    <n v="1453"/>
    <n v="226"/>
    <n v="1679"/>
    <n v="1.04"/>
    <n v="60"/>
    <x v="12"/>
    <s v="jueves"/>
    <s v=""/>
    <s v=""/>
    <s v=""/>
    <n v="685"/>
    <s v=""/>
    <n v="0.4034157832744405"/>
    <s v=""/>
  </r>
  <r>
    <x v="12"/>
    <x v="6"/>
    <n v="11512"/>
    <n v="1302"/>
    <n v="9961"/>
    <n v="53"/>
    <n v="13"/>
    <n v="217358"/>
    <n v="250"/>
    <n v="57120"/>
    <n v="95"/>
    <n v="-6"/>
    <n v="8"/>
    <n v="0"/>
    <n v="1639"/>
    <n v="94"/>
    <n v="1733"/>
    <n v="0.99541284403669728"/>
    <n v="100"/>
    <x v="12"/>
    <s v="jueves"/>
    <s v=""/>
    <s v=""/>
    <s v=""/>
    <n v="563"/>
    <s v=""/>
    <n v="0.29035585353274884"/>
    <s v=""/>
  </r>
  <r>
    <x v="12"/>
    <x v="7"/>
    <n v="58341"/>
    <n v="5641"/>
    <n v="51373"/>
    <n v="309"/>
    <n v="55"/>
    <n v="1023225"/>
    <n v="1332"/>
    <n v="436919"/>
    <n v="408"/>
    <n v="23"/>
    <n v="7"/>
    <n v="5"/>
    <n v="6386"/>
    <n v="995"/>
    <n v="7381"/>
    <n v="1.0040939836240654"/>
    <n v="380"/>
    <x v="12"/>
    <s v="jueves"/>
    <s v=""/>
    <s v=""/>
    <s v=""/>
    <n v="2620"/>
    <s v=""/>
    <n v="0.23095909732016925"/>
    <s v=""/>
  </r>
  <r>
    <x v="13"/>
    <x v="0"/>
    <n v="12883"/>
    <n v="870"/>
    <n v="11712"/>
    <n v="58"/>
    <n v="14"/>
    <n v="218024"/>
    <n v="305"/>
    <n v="75419"/>
    <n v="77"/>
    <n v="9"/>
    <n v="-6"/>
    <n v="0"/>
    <n v="1257"/>
    <n v="216"/>
    <n v="1473"/>
    <n v="1.0104529616724738"/>
    <n v="68"/>
    <x v="13"/>
    <s v="viernes"/>
    <s v=""/>
    <s v=""/>
    <s v=""/>
    <n v="355"/>
    <n v="669"/>
    <n v="0.11916750587445452"/>
    <n v="0.1230457973146956"/>
  </r>
  <r>
    <x v="13"/>
    <x v="1"/>
    <n v="3793"/>
    <n v="534"/>
    <n v="3173"/>
    <n v="31"/>
    <n v="6"/>
    <n v="71661"/>
    <n v="84"/>
    <n v="29755"/>
    <n v="10"/>
    <n v="-22"/>
    <n v="1"/>
    <n v="1"/>
    <n v="263"/>
    <n v="80"/>
    <n v="343"/>
    <n v="0.96043165467625902"/>
    <n v="32"/>
    <x v="13"/>
    <s v="viernes"/>
    <s v=""/>
    <s v=""/>
    <s v=""/>
    <n v="182"/>
    <n v="386"/>
    <n v="0.21796407185628741"/>
    <n v="0.23550945698596706"/>
  </r>
  <r>
    <x v="13"/>
    <x v="2"/>
    <n v="6752"/>
    <n v="404"/>
    <n v="6205"/>
    <n v="12"/>
    <n v="7"/>
    <n v="116998"/>
    <n v="141"/>
    <n v="73772"/>
    <n v="31"/>
    <n v="3"/>
    <n v="-5"/>
    <n v="1"/>
    <n v="778"/>
    <n v="132"/>
    <n v="910"/>
    <n v="1.0074812967581048"/>
    <n v="28"/>
    <x v="13"/>
    <s v="viernes"/>
    <s v=""/>
    <s v=""/>
    <s v=""/>
    <n v="156"/>
    <n v="328"/>
    <n v="0.1410488245931284"/>
    <n v="0.16565656565656567"/>
  </r>
  <r>
    <x v="13"/>
    <x v="3"/>
    <n v="8095"/>
    <n v="478"/>
    <n v="7310"/>
    <n v="32"/>
    <n v="3"/>
    <n v="127827"/>
    <n v="306"/>
    <n v="66445"/>
    <n v="23"/>
    <n v="-2"/>
    <n v="-4"/>
    <n v="1"/>
    <n v="732"/>
    <n v="115"/>
    <n v="847"/>
    <n v="0.99583333333333335"/>
    <n v="23"/>
    <x v="13"/>
    <s v="viernes"/>
    <s v=""/>
    <s v=""/>
    <s v=""/>
    <n v="244"/>
    <n v="444"/>
    <n v="0.15551306564690887"/>
    <n v="0.15683504062168846"/>
  </r>
  <r>
    <x v="13"/>
    <x v="4"/>
    <n v="6414"/>
    <n v="925"/>
    <n v="5419"/>
    <n v="37"/>
    <n v="8"/>
    <n v="105534"/>
    <n v="73"/>
    <n v="45080"/>
    <n v="64"/>
    <n v="28"/>
    <n v="-9"/>
    <n v="-1"/>
    <n v="936"/>
    <n v="129"/>
    <n v="1065"/>
    <n v="1.0312151616499443"/>
    <n v="35"/>
    <x v="13"/>
    <s v="viernes"/>
    <s v=""/>
    <s v=""/>
    <s v=""/>
    <n v="444"/>
    <n v="746"/>
    <n v="0.33764258555133081"/>
    <n v="0.30686960098724803"/>
  </r>
  <r>
    <x v="13"/>
    <x v="5"/>
    <n v="9198"/>
    <n v="1195"/>
    <n v="7829"/>
    <n v="66"/>
    <n v="6"/>
    <n v="171809"/>
    <n v="176"/>
    <n v="90232"/>
    <n v="101"/>
    <n v="51"/>
    <n v="3"/>
    <n v="0"/>
    <n v="2020"/>
    <n v="232"/>
    <n v="2252"/>
    <n v="1.0445804195804196"/>
    <n v="50"/>
    <x v="13"/>
    <s v="viernes"/>
    <s v=""/>
    <s v=""/>
    <s v=""/>
    <n v="695"/>
    <n v="1146"/>
    <n v="0.40930506478209661"/>
    <n v="0.36015084852294155"/>
  </r>
  <r>
    <x v="13"/>
    <x v="6"/>
    <n v="11595"/>
    <n v="1247"/>
    <n v="10098"/>
    <n v="45"/>
    <n v="12"/>
    <n v="219144"/>
    <n v="251"/>
    <n v="57230"/>
    <n v="83"/>
    <n v="-55"/>
    <n v="-8"/>
    <n v="-1"/>
    <n v="1786"/>
    <n v="110"/>
    <n v="1896"/>
    <n v="0.95775729646697394"/>
    <n v="137"/>
    <x v="13"/>
    <s v="viernes"/>
    <s v=""/>
    <s v=""/>
    <s v=""/>
    <n v="593"/>
    <n v="1108"/>
    <n v="0.30582774626095927"/>
    <n v="0.30498210845031654"/>
  </r>
  <r>
    <x v="13"/>
    <x v="7"/>
    <n v="58730"/>
    <n v="5653"/>
    <n v="51746"/>
    <n v="281"/>
    <n v="56"/>
    <n v="1030997"/>
    <n v="1336"/>
    <n v="437933"/>
    <n v="389"/>
    <n v="12"/>
    <n v="-28"/>
    <n v="1"/>
    <n v="7772"/>
    <n v="1014"/>
    <n v="8786"/>
    <n v="1.0021272823967382"/>
    <n v="373"/>
    <x v="13"/>
    <s v="viernes"/>
    <s v=""/>
    <s v=""/>
    <s v=""/>
    <n v="2669"/>
    <n v="4827"/>
    <n v="0.23527856135401976"/>
    <n v="0.23142199635631414"/>
  </r>
  <r>
    <x v="14"/>
    <x v="0"/>
    <n v="12950"/>
    <n v="887"/>
    <n v="11762"/>
    <n v="59"/>
    <n v="14"/>
    <n v="218913"/>
    <n v="305"/>
    <n v="75492"/>
    <n v="67"/>
    <n v="17"/>
    <n v="1"/>
    <n v="0"/>
    <n v="889"/>
    <n v="73"/>
    <n v="962"/>
    <n v="1.0195402298850575"/>
    <n v="50"/>
    <x v="14"/>
    <s v="sábado"/>
    <n v="1.25"/>
    <s v=""/>
    <s v=""/>
    <n v="380"/>
    <n v="696"/>
    <n v="0.12755958375293722"/>
    <n v="0.12801177119735149"/>
  </r>
  <r>
    <x v="14"/>
    <x v="1"/>
    <n v="3804"/>
    <n v="486"/>
    <n v="3232"/>
    <n v="29"/>
    <n v="5"/>
    <n v="72008"/>
    <n v="84"/>
    <n v="29777"/>
    <n v="11"/>
    <n v="-48"/>
    <n v="-2"/>
    <n v="-1"/>
    <n v="347"/>
    <n v="22"/>
    <n v="369"/>
    <n v="0.9101123595505618"/>
    <n v="59"/>
    <x v="14"/>
    <s v="sábado"/>
    <n v="2.5652173913043477"/>
    <s v=""/>
    <s v=""/>
    <n v="167"/>
    <n v="374"/>
    <n v="0.2"/>
    <n v="0.22818791946308725"/>
  </r>
  <r>
    <x v="14"/>
    <x v="2"/>
    <n v="6781"/>
    <n v="371"/>
    <n v="6267"/>
    <n v="13"/>
    <n v="6"/>
    <n v="117917"/>
    <n v="141"/>
    <n v="73856"/>
    <n v="29"/>
    <n v="-33"/>
    <n v="1"/>
    <n v="-1"/>
    <n v="919"/>
    <n v="84"/>
    <n v="1003"/>
    <n v="0.91831683168316836"/>
    <n v="62"/>
    <x v="14"/>
    <s v="sábado"/>
    <n v="2"/>
    <s v=""/>
    <s v=""/>
    <n v="162"/>
    <n v="326"/>
    <n v="0.14647377938517178"/>
    <n v="0.16464646464646465"/>
  </r>
  <r>
    <x v="14"/>
    <x v="3"/>
    <n v="8110"/>
    <n v="470"/>
    <n v="7333"/>
    <n v="32"/>
    <n v="3"/>
    <n v="128731"/>
    <n v="306"/>
    <n v="66496"/>
    <n v="15"/>
    <n v="-8"/>
    <n v="0"/>
    <n v="0"/>
    <n v="904"/>
    <n v="51"/>
    <n v="955"/>
    <n v="0.98326359832635979"/>
    <n v="23"/>
    <x v="14"/>
    <s v="sábado"/>
    <n v="1.0454545454545454"/>
    <s v=""/>
    <s v=""/>
    <n v="211"/>
    <n v="437"/>
    <n v="0.13448056086679414"/>
    <n v="0.15436241610738255"/>
  </r>
  <r>
    <x v="14"/>
    <x v="4"/>
    <n v="6472"/>
    <n v="936"/>
    <n v="5464"/>
    <n v="40"/>
    <n v="8"/>
    <n v="106253"/>
    <n v="75"/>
    <n v="45157"/>
    <n v="58"/>
    <n v="11"/>
    <n v="3"/>
    <n v="0"/>
    <n v="719"/>
    <n v="77"/>
    <n v="796"/>
    <n v="1.011891891891892"/>
    <n v="45"/>
    <x v="14"/>
    <s v="sábado"/>
    <n v="1.2162162162162162"/>
    <s v=""/>
    <s v=""/>
    <n v="434"/>
    <n v="767"/>
    <n v="0.33003802281368821"/>
    <n v="0.31550802139037432"/>
  </r>
  <r>
    <x v="14"/>
    <x v="5"/>
    <n v="9279"/>
    <n v="1216"/>
    <n v="7889"/>
    <n v="73"/>
    <n v="5"/>
    <n v="173432"/>
    <n v="176"/>
    <n v="90351"/>
    <n v="81"/>
    <n v="21"/>
    <n v="7"/>
    <n v="-1"/>
    <n v="1623"/>
    <n v="119"/>
    <n v="1742"/>
    <n v="1.0175732217573221"/>
    <n v="60"/>
    <x v="14"/>
    <s v="sábado"/>
    <n v="1.1538461538461537"/>
    <s v=""/>
    <s v=""/>
    <n v="680"/>
    <n v="1175"/>
    <n v="0.4004711425206125"/>
    <n v="0.36926461345065997"/>
  </r>
  <r>
    <x v="14"/>
    <x v="6"/>
    <n v="11671"/>
    <n v="1243"/>
    <n v="10178"/>
    <n v="47"/>
    <n v="12"/>
    <n v="221745"/>
    <n v="251"/>
    <n v="57288"/>
    <n v="76"/>
    <n v="-4"/>
    <n v="2"/>
    <n v="0"/>
    <n v="2601"/>
    <n v="58"/>
    <n v="2659"/>
    <n v="0.99679230152365672"/>
    <n v="80"/>
    <x v="14"/>
    <s v="sábado"/>
    <n v="0.87912087912087911"/>
    <s v=""/>
    <s v=""/>
    <n v="576"/>
    <n v="1093"/>
    <n v="0.29706034038164003"/>
    <n v="0.30085328929259564"/>
  </r>
  <r>
    <x v="14"/>
    <x v="7"/>
    <n v="59067"/>
    <n v="5609"/>
    <n v="52125"/>
    <n v="293"/>
    <n v="53"/>
    <n v="1038999"/>
    <n v="1338"/>
    <n v="438417"/>
    <n v="337"/>
    <n v="-44"/>
    <n v="12"/>
    <n v="-3"/>
    <n v="8002"/>
    <n v="484"/>
    <n v="8486"/>
    <n v="0.99221652220060141"/>
    <n v="379"/>
    <x v="14"/>
    <s v="sábado"/>
    <n v="1.2804054054054055"/>
    <s v=""/>
    <s v=""/>
    <n v="2610"/>
    <n v="4868"/>
    <n v="0.23007757404795487"/>
    <n v="0.23338766899990412"/>
  </r>
  <r>
    <x v="15"/>
    <x v="0"/>
    <n v="13003"/>
    <n v="882"/>
    <n v="11820"/>
    <n v="60"/>
    <n v="14"/>
    <n v="219933"/>
    <n v="305"/>
    <n v="75586"/>
    <n v="53"/>
    <n v="-5"/>
    <n v="1"/>
    <n v="0"/>
    <n v="1020"/>
    <n v="94"/>
    <n v="1114"/>
    <n v="0.99436302142051858"/>
    <n v="58"/>
    <x v="15"/>
    <s v="domingo"/>
    <n v="1.0943396226415094"/>
    <n v="66.25"/>
    <n v="-8.25"/>
    <n v="368"/>
    <n v="696"/>
    <n v="0.12353138637126553"/>
    <n v="0.12801177119735149"/>
  </r>
  <r>
    <x v="15"/>
    <x v="1"/>
    <n v="3817"/>
    <n v="458"/>
    <n v="3273"/>
    <n v="30"/>
    <n v="4"/>
    <n v="72321"/>
    <n v="84"/>
    <n v="29805"/>
    <n v="13"/>
    <n v="-28"/>
    <n v="1"/>
    <n v="-1"/>
    <n v="313"/>
    <n v="28"/>
    <n v="341"/>
    <n v="0.9423868312757202"/>
    <n v="41"/>
    <x v="15"/>
    <s v="domingo"/>
    <n v="1.1388888888888888"/>
    <n v="92.347826086956516"/>
    <n v="-51.347826086956516"/>
    <n v="131"/>
    <n v="351"/>
    <n v="0.15688622754491019"/>
    <n v="0.2141549725442343"/>
  </r>
  <r>
    <x v="15"/>
    <x v="2"/>
    <n v="6798"/>
    <n v="369"/>
    <n v="6286"/>
    <n v="14"/>
    <n v="6"/>
    <n v="118424"/>
    <n v="141"/>
    <n v="73917"/>
    <n v="17"/>
    <n v="-2"/>
    <n v="1"/>
    <n v="0"/>
    <n v="507"/>
    <n v="61"/>
    <n v="568"/>
    <n v="0.99460916442048519"/>
    <n v="19"/>
    <x v="15"/>
    <s v="domingo"/>
    <n v="0.65517241379310343"/>
    <n v="58"/>
    <n v="-39"/>
    <n v="159"/>
    <n v="314"/>
    <n v="0.1437613019891501"/>
    <n v="0.15858585858585858"/>
  </r>
  <r>
    <x v="15"/>
    <x v="3"/>
    <n v="8154"/>
    <n v="489"/>
    <n v="7357"/>
    <n v="30"/>
    <n v="4"/>
    <n v="129829"/>
    <n v="307"/>
    <n v="66545"/>
    <n v="44"/>
    <n v="19"/>
    <n v="-2"/>
    <n v="1"/>
    <n v="1098"/>
    <n v="49"/>
    <n v="1147"/>
    <n v="1.0404255319148936"/>
    <n v="24"/>
    <x v="15"/>
    <s v="domingo"/>
    <n v="1.0434782608695652"/>
    <n v="24.045454545454543"/>
    <n v="-4.5454545454543194E-2"/>
    <n v="214"/>
    <n v="458"/>
    <n v="0.13639260675589548"/>
    <n v="0.16178028965030025"/>
  </r>
  <r>
    <x v="15"/>
    <x v="4"/>
    <n v="6498"/>
    <n v="917"/>
    <n v="5508"/>
    <n v="42"/>
    <n v="7"/>
    <n v="106722"/>
    <n v="76"/>
    <n v="45218"/>
    <n v="26"/>
    <n v="-19"/>
    <n v="2"/>
    <n v="-1"/>
    <n v="469"/>
    <n v="61"/>
    <n v="530"/>
    <n v="0.97970085470085466"/>
    <n v="44"/>
    <x v="15"/>
    <s v="domingo"/>
    <n v="1.3333333333333333"/>
    <n v="40.135135135135137"/>
    <n v="3.8648648648648631"/>
    <n v="408"/>
    <n v="760"/>
    <n v="0.3102661596958175"/>
    <n v="0.31262854792266559"/>
  </r>
  <r>
    <x v="15"/>
    <x v="5"/>
    <n v="9343"/>
    <n v="1235"/>
    <n v="7933"/>
    <n v="76"/>
    <n v="6"/>
    <n v="175129"/>
    <n v="177"/>
    <n v="90451"/>
    <n v="64"/>
    <n v="19"/>
    <n v="3"/>
    <n v="1"/>
    <n v="1697"/>
    <n v="100"/>
    <n v="1797"/>
    <n v="1.015625"/>
    <n v="44"/>
    <x v="15"/>
    <s v="domingo"/>
    <n v="0.93617021276595747"/>
    <n v="54.230769230769226"/>
    <n v="-10.230769230769226"/>
    <n v="656"/>
    <n v="1192"/>
    <n v="0.38633686690223795"/>
    <n v="0.37460716530483973"/>
  </r>
  <r>
    <x v="15"/>
    <x v="6"/>
    <n v="11740"/>
    <n v="1246"/>
    <n v="10244"/>
    <n v="49"/>
    <n v="12"/>
    <n v="223498"/>
    <n v="251"/>
    <n v="57335"/>
    <n v="69"/>
    <n v="3"/>
    <n v="2"/>
    <n v="0"/>
    <n v="1753"/>
    <n v="47"/>
    <n v="1800"/>
    <n v="1.002413515687852"/>
    <n v="66"/>
    <x v="15"/>
    <s v="domingo"/>
    <n v="1.2452830188679245"/>
    <n v="46.593406593406591"/>
    <n v="19.406593406593409"/>
    <n v="589"/>
    <n v="1109"/>
    <n v="0.30376482723053122"/>
    <n v="0.30525736306083129"/>
  </r>
  <r>
    <x v="15"/>
    <x v="7"/>
    <n v="59353"/>
    <n v="5596"/>
    <n v="52421"/>
    <n v="301"/>
    <n v="53"/>
    <n v="1045856"/>
    <n v="1341"/>
    <n v="438857"/>
    <n v="286"/>
    <n v="-13"/>
    <n v="8"/>
    <n v="0"/>
    <n v="6857"/>
    <n v="440"/>
    <n v="7297"/>
    <n v="0.99768229630950256"/>
    <n v="296"/>
    <x v="15"/>
    <s v="domingo"/>
    <n v="1.0802919708029197"/>
    <n v="350.83108108108109"/>
    <n v="-54.831081081081095"/>
    <n v="2525"/>
    <n v="4880"/>
    <n v="0.22258462623413258"/>
    <n v="0.23396298782241826"/>
  </r>
  <r>
    <x v="16"/>
    <x v="0"/>
    <n v="13026"/>
    <n v="866"/>
    <n v="11859"/>
    <n v="63"/>
    <n v="15"/>
    <n v="220477"/>
    <n v="305"/>
    <n v="75831"/>
    <n v="23"/>
    <n v="-16"/>
    <n v="3"/>
    <n v="1"/>
    <n v="544"/>
    <n v="245"/>
    <n v="789"/>
    <n v="0.98185941043083902"/>
    <n v="39"/>
    <x v="16"/>
    <s v="lunes"/>
    <n v="1.0540540540540539"/>
    <n v="43.37028301886793"/>
    <n v="-4.37028301886793"/>
    <n v="370"/>
    <n v="682"/>
    <n v="0.12420275260154415"/>
    <n v="0.12543682177671511"/>
  </r>
  <r>
    <x v="16"/>
    <x v="1"/>
    <n v="3829"/>
    <n v="446"/>
    <n v="3296"/>
    <n v="33"/>
    <n v="4"/>
    <n v="72601"/>
    <n v="85"/>
    <n v="29871"/>
    <n v="12"/>
    <n v="-12"/>
    <n v="3"/>
    <n v="0"/>
    <n v="280"/>
    <n v="66"/>
    <n v="346"/>
    <n v="0.97379912663755464"/>
    <n v="23"/>
    <x v="16"/>
    <s v="lunes"/>
    <n v="1.4375"/>
    <n v="29.632850241545892"/>
    <n v="-6.6328502415458921"/>
    <n v="125"/>
    <n v="347"/>
    <n v="0.1497005988023952"/>
    <n v="0.21171446003660768"/>
  </r>
  <r>
    <x v="16"/>
    <x v="2"/>
    <n v="6815"/>
    <n v="360"/>
    <n v="6310"/>
    <n v="14"/>
    <n v="4"/>
    <n v="118742"/>
    <n v="143"/>
    <n v="74027"/>
    <n v="17"/>
    <n v="-9"/>
    <n v="0"/>
    <n v="-2"/>
    <n v="318"/>
    <n v="110"/>
    <n v="428"/>
    <n v="0.97560975609756095"/>
    <n v="24"/>
    <x v="16"/>
    <s v="lunes"/>
    <n v="1.3333333333333333"/>
    <n v="23.896551724137929"/>
    <n v="0.10344827586207117"/>
    <n v="163"/>
    <n v="313"/>
    <n v="0.14737793851717904"/>
    <n v="0.15808080808080807"/>
  </r>
  <r>
    <x v="16"/>
    <x v="3"/>
    <n v="8205"/>
    <n v="519"/>
    <n v="7378"/>
    <n v="30"/>
    <n v="4"/>
    <n v="130702"/>
    <n v="307"/>
    <n v="66687"/>
    <n v="51"/>
    <n v="30"/>
    <n v="0"/>
    <n v="0"/>
    <n v="873"/>
    <n v="142"/>
    <n v="1015"/>
    <n v="1.0613496932515338"/>
    <n v="21"/>
    <x v="16"/>
    <s v="lunes"/>
    <n v="0.95454545454545459"/>
    <n v="22.978260869565215"/>
    <n v="-1.9782608695652151"/>
    <n v="253"/>
    <n v="487"/>
    <n v="0.16124920331421289"/>
    <n v="0.1720240197809961"/>
  </r>
  <r>
    <x v="16"/>
    <x v="4"/>
    <n v="6543"/>
    <n v="922"/>
    <n v="5548"/>
    <n v="42"/>
    <n v="8"/>
    <n v="107331"/>
    <n v="76"/>
    <n v="45357"/>
    <n v="45"/>
    <n v="5"/>
    <n v="0"/>
    <n v="1"/>
    <n v="609"/>
    <n v="139"/>
    <n v="748"/>
    <n v="1.005452562704471"/>
    <n v="40"/>
    <x v="16"/>
    <s v="lunes"/>
    <n v="0.90909090909090906"/>
    <n v="56.090090090090094"/>
    <n v="-16.090090090090094"/>
    <n v="371"/>
    <n v="761"/>
    <n v="0.28212927756653994"/>
    <n v="0.31303990127519538"/>
  </r>
  <r>
    <x v="16"/>
    <x v="5"/>
    <n v="9398"/>
    <n v="1248"/>
    <n v="7975"/>
    <n v="73"/>
    <n v="7"/>
    <n v="176863"/>
    <n v="177"/>
    <n v="90648"/>
    <n v="55"/>
    <n v="13"/>
    <n v="-3"/>
    <n v="1"/>
    <n v="1734"/>
    <n v="197"/>
    <n v="1931"/>
    <n v="1.0105263157894737"/>
    <n v="42"/>
    <x v="16"/>
    <s v="lunes"/>
    <n v="0.64615384615384619"/>
    <n v="67.925531914893611"/>
    <n v="-25.925531914893611"/>
    <n v="633"/>
    <n v="1182"/>
    <n v="0.37279151943462896"/>
    <n v="0.3714644877435575"/>
  </r>
  <r>
    <x v="16"/>
    <x v="6"/>
    <n v="11786"/>
    <n v="1242"/>
    <n v="10292"/>
    <n v="51"/>
    <n v="9"/>
    <n v="225997"/>
    <n v="253"/>
    <n v="57462"/>
    <n v="46"/>
    <n v="-4"/>
    <n v="2"/>
    <n v="-3"/>
    <n v="2499"/>
    <n v="127"/>
    <n v="2626"/>
    <n v="0.9967897271268058"/>
    <n v="48"/>
    <x v="16"/>
    <s v="lunes"/>
    <n v="0.8"/>
    <n v="63.732116939664103"/>
    <n v="-15.732116939664103"/>
    <n v="585"/>
    <n v="1095"/>
    <n v="0.30170190820010312"/>
    <n v="0.30140379851362509"/>
  </r>
  <r>
    <x v="16"/>
    <x v="7"/>
    <n v="59602"/>
    <n v="5603"/>
    <n v="52658"/>
    <n v="306"/>
    <n v="51"/>
    <n v="1052713"/>
    <n v="1346"/>
    <n v="439883"/>
    <n v="249"/>
    <n v="7"/>
    <n v="5"/>
    <n v="-2"/>
    <n v="6857"/>
    <n v="1026"/>
    <n v="7883"/>
    <n v="1.0012508934953539"/>
    <n v="237"/>
    <x v="16"/>
    <s v="lunes"/>
    <n v="0.90458015267175573"/>
    <n v="309.25135628329059"/>
    <n v="-72.25135628329059"/>
    <n v="2500"/>
    <n v="4867"/>
    <n v="0.22038081805359661"/>
    <n v="0.23333972576469461"/>
  </r>
  <r>
    <x v="17"/>
    <x v="0"/>
    <n v="13090"/>
    <n v="880"/>
    <n v="11909"/>
    <n v="56"/>
    <n v="15"/>
    <n v="222182"/>
    <n v="305"/>
    <n v="76028"/>
    <n v="64"/>
    <n v="14"/>
    <n v="-7"/>
    <n v="0"/>
    <n v="1705"/>
    <n v="197"/>
    <n v="1902"/>
    <n v="1.0161662817551964"/>
    <n v="50"/>
    <x v="17"/>
    <s v="martes"/>
    <n v="1.0638297872340425"/>
    <n v="53.241500934897161"/>
    <n v="-3.2415009348971608"/>
    <n v="389"/>
    <n v="699"/>
    <n v="0.130580731789191"/>
    <n v="0.12856354607320214"/>
  </r>
  <r>
    <x v="17"/>
    <x v="1"/>
    <n v="3846"/>
    <n v="426"/>
    <n v="3333"/>
    <n v="30"/>
    <n v="3"/>
    <n v="73442"/>
    <n v="85"/>
    <n v="29928"/>
    <n v="17"/>
    <n v="-20"/>
    <n v="-3"/>
    <n v="-1"/>
    <n v="841"/>
    <n v="57"/>
    <n v="898"/>
    <n v="0.95515695067264572"/>
    <n v="37"/>
    <x v="17"/>
    <s v="martes"/>
    <n v="0.72549019607843135"/>
    <n v="87.407306763285021"/>
    <n v="-50.407306763285021"/>
    <n v="108"/>
    <n v="313"/>
    <n v="0.12934131736526946"/>
    <n v="0.19097010372178158"/>
  </r>
  <r>
    <x v="17"/>
    <x v="2"/>
    <n v="6841"/>
    <n v="356"/>
    <n v="6339"/>
    <n v="9"/>
    <n v="4"/>
    <n v="119586"/>
    <n v="144"/>
    <n v="74133"/>
    <n v="26"/>
    <n v="-4"/>
    <n v="-5"/>
    <n v="0"/>
    <n v="844"/>
    <n v="106"/>
    <n v="950"/>
    <n v="0.98888888888888893"/>
    <n v="29"/>
    <x v="17"/>
    <s v="martes"/>
    <n v="0.96666666666666667"/>
    <n v="39.885057471264368"/>
    <n v="-10.885057471264368"/>
    <n v="156"/>
    <n v="309"/>
    <n v="0.1410488245931284"/>
    <n v="0.15606060606060607"/>
  </r>
  <r>
    <x v="17"/>
    <x v="3"/>
    <n v="8232"/>
    <n v="506"/>
    <n v="7418"/>
    <n v="24"/>
    <n v="4"/>
    <n v="131359"/>
    <n v="307"/>
    <n v="66797"/>
    <n v="27"/>
    <n v="-13"/>
    <n v="-6"/>
    <n v="0"/>
    <n v="657"/>
    <n v="110"/>
    <n v="767"/>
    <n v="0.97495183044315992"/>
    <n v="40"/>
    <x v="17"/>
    <s v="martes"/>
    <n v="1.1764705882352942"/>
    <n v="34.492753623188399"/>
    <n v="5.5072463768116009"/>
    <n v="252"/>
    <n v="480"/>
    <n v="0.16061185468451242"/>
    <n v="0.16955139526669022"/>
  </r>
  <r>
    <x v="17"/>
    <x v="4"/>
    <n v="6579"/>
    <n v="911"/>
    <n v="5595"/>
    <n v="42"/>
    <n v="6"/>
    <n v="108212"/>
    <n v="76"/>
    <n v="45477"/>
    <n v="36"/>
    <n v="-11"/>
    <n v="0"/>
    <n v="-2"/>
    <n v="881"/>
    <n v="120"/>
    <n v="1001"/>
    <n v="0.98806941431670281"/>
    <n v="47"/>
    <x v="17"/>
    <s v="martes"/>
    <n v="0.97916666666666663"/>
    <n v="55.338247338247342"/>
    <n v="-8.3382473382473421"/>
    <n v="362"/>
    <n v="749"/>
    <n v="0.2752851711026616"/>
    <n v="0.3081036610448375"/>
  </r>
  <r>
    <x v="17"/>
    <x v="5"/>
    <n v="9478"/>
    <n v="1270"/>
    <n v="8031"/>
    <n v="76"/>
    <n v="5"/>
    <n v="178364"/>
    <n v="179"/>
    <n v="90898"/>
    <n v="80"/>
    <n v="22"/>
    <n v="3"/>
    <n v="-2"/>
    <n v="1501"/>
    <n v="250"/>
    <n v="1751"/>
    <n v="1.0176282051282051"/>
    <n v="56"/>
    <x v="17"/>
    <s v="martes"/>
    <n v="1.0566037735849056"/>
    <n v="48.339007092198578"/>
    <n v="7.6609929078014218"/>
    <n v="595"/>
    <n v="1209"/>
    <n v="0.35041224970553592"/>
    <n v="0.37994971715901948"/>
  </r>
  <r>
    <x v="17"/>
    <x v="6"/>
    <n v="11878"/>
    <n v="1216"/>
    <n v="10409"/>
    <n v="56"/>
    <n v="11"/>
    <n v="228944"/>
    <n v="254"/>
    <n v="57574"/>
    <n v="92"/>
    <n v="-26"/>
    <n v="5"/>
    <n v="2"/>
    <n v="2947"/>
    <n v="112"/>
    <n v="3059"/>
    <n v="0.97906602254428343"/>
    <n v="117"/>
    <x v="17"/>
    <s v="martes"/>
    <n v="1.481012658227848"/>
    <n v="77.009302647038481"/>
    <n v="39.990697352961519"/>
    <n v="556"/>
    <n v="1108"/>
    <n v="0.28674574522949975"/>
    <n v="0.30498210845031654"/>
  </r>
  <r>
    <x v="17"/>
    <x v="7"/>
    <n v="59944"/>
    <n v="5565"/>
    <n v="53034"/>
    <n v="293"/>
    <n v="48"/>
    <n v="1062089"/>
    <n v="1350"/>
    <n v="440835"/>
    <n v="342"/>
    <n v="-38"/>
    <n v="-13"/>
    <n v="-3"/>
    <n v="9376"/>
    <n v="952"/>
    <n v="10328"/>
    <n v="0.99321791897197931"/>
    <n v="376"/>
    <x v="17"/>
    <s v="martes"/>
    <n v="1.0994152046783625"/>
    <n v="372.24163829232918"/>
    <n v="3.7583617076708151"/>
    <n v="2418"/>
    <n v="4867"/>
    <n v="0.21315232722143865"/>
    <n v="0.23333972576469461"/>
  </r>
  <r>
    <x v="18"/>
    <x v="0"/>
    <n v="13150"/>
    <n v="878"/>
    <n v="11971"/>
    <n v="55"/>
    <n v="17"/>
    <n v="224846"/>
    <n v="305"/>
    <n v="76244"/>
    <n v="60"/>
    <n v="-2"/>
    <n v="-1"/>
    <n v="2"/>
    <n v="2664"/>
    <n v="216"/>
    <n v="2880"/>
    <n v="0.99772727272727268"/>
    <n v="62"/>
    <x v="18"/>
    <s v="miércoles"/>
    <n v="1.441860465116279"/>
    <n v="47.968902237243263"/>
    <n v="14.031097762756737"/>
    <n v="388"/>
    <n v="716"/>
    <n v="0.13024504867405171"/>
    <n v="0.13169027036968917"/>
  </r>
  <r>
    <x v="18"/>
    <x v="1"/>
    <n v="3866"/>
    <n v="395"/>
    <n v="3384"/>
    <n v="30"/>
    <n v="2"/>
    <n v="74153"/>
    <n v="85"/>
    <n v="29966"/>
    <n v="20"/>
    <n v="-31"/>
    <n v="0"/>
    <n v="-1"/>
    <n v="711"/>
    <n v="38"/>
    <n v="749"/>
    <n v="0.92723004694835676"/>
    <n v="51"/>
    <x v="18"/>
    <s v="miércoles"/>
    <n v="2.125"/>
    <n v="35.202578857630009"/>
    <n v="15.797421142369991"/>
    <n v="112"/>
    <n v="309"/>
    <n v="0.1341317365269461"/>
    <n v="0.18852959121415497"/>
  </r>
  <r>
    <x v="18"/>
    <x v="2"/>
    <n v="6876"/>
    <n v="370"/>
    <n v="6360"/>
    <n v="10"/>
    <n v="3"/>
    <n v="120792"/>
    <n v="144"/>
    <n v="74228"/>
    <n v="35"/>
    <n v="14"/>
    <n v="1"/>
    <n v="-1"/>
    <n v="1206"/>
    <n v="95"/>
    <n v="1301"/>
    <n v="1.0393258426966292"/>
    <n v="21"/>
    <x v="18"/>
    <s v="miércoles"/>
    <n v="1.05"/>
    <n v="24.775862068965516"/>
    <n v="-3.775862068965516"/>
    <n v="168"/>
    <n v="324"/>
    <n v="0.15189873417721519"/>
    <n v="0.16363636363636364"/>
  </r>
  <r>
    <x v="18"/>
    <x v="3"/>
    <n v="8277"/>
    <n v="522"/>
    <n v="7446"/>
    <n v="27"/>
    <n v="4"/>
    <n v="132051"/>
    <n v="308"/>
    <n v="66920"/>
    <n v="45"/>
    <n v="16"/>
    <n v="3"/>
    <n v="0"/>
    <n v="692"/>
    <n v="123"/>
    <n v="815"/>
    <n v="1.0316205533596838"/>
    <n v="28"/>
    <x v="18"/>
    <s v="miércoles"/>
    <n v="0.90322580645161288"/>
    <n v="32.704603580562654"/>
    <n v="-4.7046035805626545"/>
    <n v="256"/>
    <n v="494"/>
    <n v="0.16316124920331421"/>
    <n v="0.17449664429530201"/>
  </r>
  <r>
    <x v="18"/>
    <x v="4"/>
    <n v="6639"/>
    <n v="904"/>
    <n v="5662"/>
    <n v="40"/>
    <n v="8"/>
    <n v="109184"/>
    <n v="76"/>
    <n v="45607"/>
    <n v="60"/>
    <n v="-7"/>
    <n v="-2"/>
    <n v="2"/>
    <n v="972"/>
    <n v="130"/>
    <n v="1102"/>
    <n v="0.99231613611416025"/>
    <n v="67"/>
    <x v="18"/>
    <s v="miércoles"/>
    <n v="1.7179487179487178"/>
    <n v="43.268619471744479"/>
    <n v="23.731380528255521"/>
    <n v="361"/>
    <n v="770"/>
    <n v="0.27452471482889734"/>
    <n v="0.31674208144796379"/>
  </r>
  <r>
    <x v="18"/>
    <x v="5"/>
    <n v="9592"/>
    <n v="1321"/>
    <n v="8094"/>
    <n v="70"/>
    <n v="6"/>
    <n v="179948"/>
    <n v="179"/>
    <n v="91144"/>
    <n v="114"/>
    <n v="51"/>
    <n v="-6"/>
    <n v="1"/>
    <n v="1584"/>
    <n v="246"/>
    <n v="1830"/>
    <n v="1.0401574803149607"/>
    <n v="63"/>
    <x v="18"/>
    <s v="miércoles"/>
    <n v="0.81818181818181823"/>
    <n v="73.010899237254108"/>
    <n v="-10.010899237254108"/>
    <n v="599"/>
    <n v="1246"/>
    <n v="0.35276796230859836"/>
    <n v="0.39157762413576369"/>
  </r>
  <r>
    <x v="18"/>
    <x v="6"/>
    <n v="11995"/>
    <n v="1265"/>
    <n v="10474"/>
    <n v="54"/>
    <n v="11"/>
    <n v="231728"/>
    <n v="257"/>
    <n v="57688"/>
    <n v="117"/>
    <n v="49"/>
    <n v="-2"/>
    <n v="0"/>
    <n v="2784"/>
    <n v="114"/>
    <n v="2898"/>
    <n v="1.040296052631579"/>
    <n v="65"/>
    <x v="18"/>
    <s v="miércoles"/>
    <n v="1.25"/>
    <n v="57.270415230816468"/>
    <n v="7.729584769183532"/>
    <n v="578"/>
    <n v="1173"/>
    <n v="0.29809179989685403"/>
    <n v="0.32287365813377372"/>
  </r>
  <r>
    <x v="18"/>
    <x v="7"/>
    <n v="60395"/>
    <n v="5655"/>
    <n v="53391"/>
    <n v="286"/>
    <n v="51"/>
    <n v="1072702"/>
    <n v="1354"/>
    <n v="441797"/>
    <n v="451"/>
    <n v="90"/>
    <n v="-7"/>
    <n v="3"/>
    <n v="10613"/>
    <n v="962"/>
    <n v="11575"/>
    <n v="1.0161725067385445"/>
    <n v="357"/>
    <x v="18"/>
    <s v="miércoles"/>
    <n v="1.2482517482517483"/>
    <n v="312.0755304494287"/>
    <n v="44.924469550571303"/>
    <n v="2462"/>
    <n v="5032"/>
    <n v="0.21703102961918194"/>
    <n v="0.24125035957426408"/>
  </r>
  <r>
    <x v="19"/>
    <x v="0"/>
    <n v="13217"/>
    <n v="899"/>
    <n v="12017"/>
    <n v="56"/>
    <n v="18"/>
    <n v="227089"/>
    <n v="305"/>
    <n v="76462"/>
    <n v="67"/>
    <n v="21"/>
    <n v="1"/>
    <n v="1"/>
    <n v="2243"/>
    <n v="218"/>
    <n v="2461"/>
    <n v="1.0239179954441913"/>
    <n v="46"/>
    <x v="19"/>
    <s v="jueves"/>
    <n v="1.069767441860465"/>
    <n v="50.775121789794611"/>
    <n v="-4.7751217897946105"/>
    <n v="411"/>
    <n v="740"/>
    <n v="0.1379657603222558"/>
    <n v="0.1361044693764944"/>
  </r>
  <r>
    <x v="19"/>
    <x v="1"/>
    <n v="3888"/>
    <n v="398"/>
    <n v="3403"/>
    <n v="29"/>
    <n v="1"/>
    <n v="74785"/>
    <n v="85"/>
    <n v="30005"/>
    <n v="22"/>
    <n v="3"/>
    <n v="-1"/>
    <n v="-1"/>
    <n v="632"/>
    <n v="39"/>
    <n v="671"/>
    <n v="1.0075949367088608"/>
    <n v="19"/>
    <x v="19"/>
    <s v="jueves"/>
    <n v="0.82608695652173914"/>
    <n v="36.763643790849677"/>
    <n v="-17.763643790849677"/>
    <n v="105"/>
    <n v="308"/>
    <n v="0.12574850299401197"/>
    <n v="0.18791946308724833"/>
  </r>
  <r>
    <x v="19"/>
    <x v="2"/>
    <n v="6904"/>
    <n v="382"/>
    <n v="6376"/>
    <n v="10"/>
    <n v="3"/>
    <n v="121740"/>
    <n v="144"/>
    <n v="74356"/>
    <n v="28"/>
    <n v="12"/>
    <n v="0"/>
    <n v="0"/>
    <n v="948"/>
    <n v="128"/>
    <n v="1076"/>
    <n v="1.0324324324324323"/>
    <n v="16"/>
    <x v="19"/>
    <s v="jueves"/>
    <n v="0.64"/>
    <n v="30.025862068965516"/>
    <n v="-14.025862068965516"/>
    <n v="183"/>
    <n v="327"/>
    <n v="0.1654611211573237"/>
    <n v="0.16515151515151516"/>
  </r>
  <r>
    <x v="19"/>
    <x v="3"/>
    <n v="8329"/>
    <n v="551"/>
    <n v="7469"/>
    <n v="18"/>
    <n v="4"/>
    <n v="132831"/>
    <n v="308"/>
    <n v="67077"/>
    <n v="52"/>
    <n v="29"/>
    <n v="-9"/>
    <n v="0"/>
    <n v="780"/>
    <n v="157"/>
    <n v="937"/>
    <n v="1.0555555555555556"/>
    <n v="23"/>
    <x v="19"/>
    <s v="jueves"/>
    <n v="0.6216216216216216"/>
    <n v="37.911492451117887"/>
    <n v="-14.911492451117887"/>
    <n v="257"/>
    <n v="509"/>
    <n v="0.16379859783301465"/>
    <n v="0.1797951253973861"/>
  </r>
  <r>
    <x v="19"/>
    <x v="4"/>
    <n v="6697"/>
    <n v="922"/>
    <n v="5702"/>
    <n v="39"/>
    <n v="9"/>
    <n v="110201"/>
    <n v="76"/>
    <n v="45722"/>
    <n v="58"/>
    <n v="18"/>
    <n v="-1"/>
    <n v="1"/>
    <n v="1017"/>
    <n v="115"/>
    <n v="1132"/>
    <n v="1.0199115044247788"/>
    <n v="40"/>
    <x v="19"/>
    <s v="jueves"/>
    <n v="1.0810810810810811"/>
    <n v="45.552593240093245"/>
    <n v="-5.5525932400932447"/>
    <n v="347"/>
    <n v="791"/>
    <n v="0.26387832699619773"/>
    <n v="0.32538050185109008"/>
  </r>
  <r>
    <x v="19"/>
    <x v="5"/>
    <n v="9670"/>
    <n v="1323"/>
    <n v="8170"/>
    <n v="63"/>
    <n v="7"/>
    <n v="182331"/>
    <n v="179"/>
    <n v="91366"/>
    <n v="78"/>
    <n v="2"/>
    <n v="-7"/>
    <n v="1"/>
    <n v="2383"/>
    <n v="222"/>
    <n v="2605"/>
    <n v="1.0015140045420137"/>
    <n v="76"/>
    <x v="19"/>
    <s v="jueves"/>
    <n v="1.1515151515151516"/>
    <n v="60.864616619831388"/>
    <n v="15.135383380168612"/>
    <n v="573"/>
    <n v="1258"/>
    <n v="0.33745583038869259"/>
    <n v="0.39534883720930231"/>
  </r>
  <r>
    <x v="19"/>
    <x v="6"/>
    <n v="12060"/>
    <n v="1279"/>
    <n v="10525"/>
    <n v="50"/>
    <n v="12"/>
    <n v="233697"/>
    <n v="257"/>
    <n v="57808"/>
    <n v="65"/>
    <n v="14"/>
    <n v="-4"/>
    <n v="1"/>
    <n v="1969"/>
    <n v="120"/>
    <n v="2089"/>
    <n v="1.0110671936758893"/>
    <n v="51"/>
    <x v="19"/>
    <s v="jueves"/>
    <n v="0.40157480314960631"/>
    <n v="143.64758052790293"/>
    <n v="-92.647580527902932"/>
    <n v="548"/>
    <n v="1111"/>
    <n v="0.28261990716864366"/>
    <n v="0.30580787228186074"/>
  </r>
  <r>
    <x v="19"/>
    <x v="7"/>
    <n v="60765"/>
    <n v="5754"/>
    <n v="53662"/>
    <n v="265"/>
    <n v="54"/>
    <n v="1082674"/>
    <n v="1354"/>
    <n v="442796"/>
    <n v="370"/>
    <n v="99"/>
    <n v="-21"/>
    <n v="3"/>
    <n v="9972"/>
    <n v="999"/>
    <n v="10971"/>
    <n v="1.0175066312997347"/>
    <n v="271"/>
    <x v="19"/>
    <s v="jueves"/>
    <n v="0.75698324022346364"/>
    <n v="401.8868248976097"/>
    <n v="-130.8868248976097"/>
    <n v="2424"/>
    <n v="5044"/>
    <n v="0.21368124118476728"/>
    <n v="0.24182567839677821"/>
  </r>
  <r>
    <x v="20"/>
    <x v="0"/>
    <n v="13276"/>
    <n v="901"/>
    <n v="12072"/>
    <n v="56"/>
    <n v="17"/>
    <n v="228245"/>
    <n v="307"/>
    <n v="76537"/>
    <n v="59"/>
    <n v="2"/>
    <n v="0"/>
    <n v="-1"/>
    <n v="1156"/>
    <n v="75"/>
    <n v="1231"/>
    <n v="1.0022246941045607"/>
    <n v="55"/>
    <x v="20"/>
    <s v="viernes"/>
    <n v="1.0784313725490196"/>
    <n v="59.277736652703972"/>
    <n v="-4.2777366527039717"/>
    <n v="393"/>
    <n v="748"/>
    <n v="0.13192346424974824"/>
    <n v="0.13757586904542946"/>
  </r>
  <r>
    <x v="20"/>
    <x v="1"/>
    <n v="3900"/>
    <n v="382"/>
    <n v="3429"/>
    <n v="26"/>
    <n v="2"/>
    <n v="75272"/>
    <n v="87"/>
    <n v="30026"/>
    <n v="12"/>
    <n v="-16"/>
    <n v="-3"/>
    <n v="1"/>
    <n v="487"/>
    <n v="21"/>
    <n v="508"/>
    <n v="0.95979899497487442"/>
    <n v="26"/>
    <x v="20"/>
    <s v="viernes"/>
    <n v="0.83870967741935487"/>
    <n v="45.560614402765943"/>
    <n v="-19.560614402765943"/>
    <n v="107"/>
    <n v="289"/>
    <n v="0.1281437125748503"/>
    <n v="0.17632702867602196"/>
  </r>
  <r>
    <x v="20"/>
    <x v="2"/>
    <n v="6939"/>
    <n v="381"/>
    <n v="6412"/>
    <n v="10"/>
    <n v="4"/>
    <n v="122144"/>
    <n v="144"/>
    <n v="74395"/>
    <n v="35"/>
    <n v="-1"/>
    <n v="0"/>
    <n v="1"/>
    <n v="404"/>
    <n v="39"/>
    <n v="443"/>
    <n v="0.99738219895287961"/>
    <n v="36"/>
    <x v="20"/>
    <s v="viernes"/>
    <n v="1.8947368421052631"/>
    <n v="21.043045977011491"/>
    <n v="14.956954022988509"/>
    <n v="187"/>
    <n v="343"/>
    <n v="0.16907775768535263"/>
    <n v="0.17323232323232324"/>
  </r>
  <r>
    <x v="20"/>
    <x v="3"/>
    <n v="8371"/>
    <n v="558"/>
    <n v="7504"/>
    <n v="20"/>
    <n v="3"/>
    <n v="133368"/>
    <n v="308"/>
    <n v="67117"/>
    <n v="42"/>
    <n v="7"/>
    <n v="2"/>
    <n v="-1"/>
    <n v="537"/>
    <n v="40"/>
    <n v="577"/>
    <n v="1.0127041742286751"/>
    <n v="35"/>
    <x v="20"/>
    <s v="viernes"/>
    <n v="1.1290322580645162"/>
    <n v="29.68144743208682"/>
    <n v="5.31855256791318"/>
    <n v="276"/>
    <n v="520"/>
    <n v="0.17590822179732313"/>
    <n v="0.18368067820558107"/>
  </r>
  <r>
    <x v="20"/>
    <x v="4"/>
    <n v="6736"/>
    <n v="907"/>
    <n v="5755"/>
    <n v="45"/>
    <n v="9"/>
    <n v="110689"/>
    <n v="77"/>
    <n v="45786"/>
    <n v="39"/>
    <n v="-15"/>
    <n v="6"/>
    <n v="0"/>
    <n v="488"/>
    <n v="64"/>
    <n v="552"/>
    <n v="0.98373101952277653"/>
    <n v="53"/>
    <x v="20"/>
    <s v="viernes"/>
    <n v="0.828125"/>
    <n v="77.192927192927201"/>
    <n v="-24.192927192927201"/>
    <n v="322"/>
    <n v="766"/>
    <n v="0.24486692015209124"/>
    <n v="0.31509666803784453"/>
  </r>
  <r>
    <x v="20"/>
    <x v="5"/>
    <n v="9769"/>
    <n v="1355"/>
    <n v="8234"/>
    <n v="65"/>
    <n v="7"/>
    <n v="184272"/>
    <n v="182"/>
    <n v="91457"/>
    <n v="99"/>
    <n v="32"/>
    <n v="2"/>
    <n v="0"/>
    <n v="1941"/>
    <n v="91"/>
    <n v="2032"/>
    <n v="1.0241874527588812"/>
    <n v="64"/>
    <x v="20"/>
    <s v="viernes"/>
    <n v="0.70329670329670335"/>
    <n v="87.397476166725454"/>
    <n v="-23.397476166725454"/>
    <n v="571"/>
    <n v="1266"/>
    <n v="0.33627797408716137"/>
    <n v="0.39786297925832809"/>
  </r>
  <r>
    <x v="20"/>
    <x v="6"/>
    <n v="12148"/>
    <n v="1232"/>
    <n v="10659"/>
    <n v="51"/>
    <n v="13"/>
    <n v="234881"/>
    <n v="258"/>
    <n v="57852"/>
    <n v="88"/>
    <n v="-47"/>
    <n v="1"/>
    <n v="1"/>
    <n v="1184"/>
    <n v="44"/>
    <n v="1228"/>
    <n v="0.96325254104769353"/>
    <n v="134"/>
    <x v="20"/>
    <s v="viernes"/>
    <n v="2.5283018867924527"/>
    <n v="53.503423674401937"/>
    <n v="80.496576325598056"/>
    <n v="553"/>
    <n v="1146"/>
    <n v="0.2851985559566787"/>
    <n v="0.31544178364987613"/>
  </r>
  <r>
    <x v="20"/>
    <x v="7"/>
    <n v="61139"/>
    <n v="5716"/>
    <n v="54065"/>
    <n v="273"/>
    <n v="55"/>
    <n v="1088871"/>
    <n v="1363"/>
    <n v="443170"/>
    <n v="374"/>
    <n v="-38"/>
    <n v="8"/>
    <n v="1"/>
    <n v="6197"/>
    <n v="374"/>
    <n v="6571"/>
    <n v="0.99339589850538756"/>
    <n v="403"/>
    <x v="20"/>
    <s v="viernes"/>
    <n v="1.1852941176470588"/>
    <n v="360.96257091524046"/>
    <n v="42.037429084759538"/>
    <n v="2409"/>
    <n v="5078"/>
    <n v="0.21235895627644569"/>
    <n v="0.24345574839390163"/>
  </r>
  <r>
    <x v="21"/>
    <x v="0"/>
    <n v="13312"/>
    <n v="873"/>
    <n v="12136"/>
    <n v="61"/>
    <n v="18"/>
    <n v="228586"/>
    <n v="307"/>
    <n v="76600"/>
    <n v="36"/>
    <n v="-28"/>
    <n v="5"/>
    <n v="1"/>
    <n v="341"/>
    <n v="63"/>
    <n v="404"/>
    <n v="0.96892341842397334"/>
    <n v="64"/>
    <x v="21"/>
    <s v="sábado"/>
    <n v="1.5238095238095237"/>
    <n v="48.313696460732217"/>
    <n v="15.686303539267783"/>
    <n v="362"/>
    <n v="742"/>
    <n v="0.12151728768042967"/>
    <n v="0.13647231929372816"/>
  </r>
  <r>
    <x v="21"/>
    <x v="1"/>
    <n v="3909"/>
    <n v="348"/>
    <n v="3472"/>
    <n v="25"/>
    <n v="3"/>
    <n v="75538"/>
    <n v="87"/>
    <n v="30043"/>
    <n v="9"/>
    <n v="-34"/>
    <n v="-1"/>
    <n v="1"/>
    <n v="266"/>
    <n v="17"/>
    <n v="283"/>
    <n v="0.91099476439790572"/>
    <n v="43"/>
    <x v="21"/>
    <s v="sábado"/>
    <n v="1.6538461538461537"/>
    <n v="35.868460123647395"/>
    <n v="7.1315398763526048"/>
    <n v="105"/>
    <n v="272"/>
    <n v="0.12574850299401197"/>
    <n v="0.16595485051860892"/>
  </r>
  <r>
    <x v="21"/>
    <x v="2"/>
    <n v="6950"/>
    <n v="374"/>
    <n v="6429"/>
    <n v="9"/>
    <n v="4"/>
    <n v="122460"/>
    <n v="145"/>
    <n v="74455"/>
    <n v="11"/>
    <n v="-7"/>
    <n v="-1"/>
    <n v="0"/>
    <n v="316"/>
    <n v="60"/>
    <n v="376"/>
    <n v="0.98162729658792647"/>
    <n v="17"/>
    <x v="21"/>
    <s v="sábado"/>
    <n v="0.73913043478260865"/>
    <n v="28.059701840808916"/>
    <n v="-11.059701840808916"/>
    <n v="169"/>
    <n v="331"/>
    <n v="0.15280289330922242"/>
    <n v="0.16717171717171717"/>
  </r>
  <r>
    <x v="21"/>
    <x v="3"/>
    <n v="8387"/>
    <n v="540"/>
    <n v="7538"/>
    <n v="19"/>
    <n v="4"/>
    <n v="133619"/>
    <n v="308"/>
    <n v="67183"/>
    <n v="16"/>
    <n v="-18"/>
    <n v="-1"/>
    <n v="1"/>
    <n v="251"/>
    <n v="66"/>
    <n v="317"/>
    <n v="0.967741935483871"/>
    <n v="34"/>
    <x v="21"/>
    <s v="sábado"/>
    <n v="0.70833333333333337"/>
    <n v="47.134824241663608"/>
    <n v="-13.134824241663608"/>
    <n v="277"/>
    <n v="488"/>
    <n v="0.17654557042702357"/>
    <n v="0.17237725185446839"/>
  </r>
  <r>
    <x v="21"/>
    <x v="4"/>
    <n v="6782"/>
    <n v="896"/>
    <n v="5812"/>
    <n v="45"/>
    <n v="11"/>
    <n v="111195"/>
    <n v="77"/>
    <n v="45839"/>
    <n v="46"/>
    <n v="-11"/>
    <n v="0"/>
    <n v="2"/>
    <n v="506"/>
    <n v="53"/>
    <n v="559"/>
    <n v="0.98787210584343987"/>
    <n v="57"/>
    <x v="21"/>
    <s v="sábado"/>
    <n v="0.83823529411764708"/>
    <n v="78.345344407844422"/>
    <n v="-21.345344407844422"/>
    <n v="310"/>
    <n v="744"/>
    <n v="0.23574144486692014"/>
    <n v="0.3060468942821884"/>
  </r>
  <r>
    <x v="21"/>
    <x v="5"/>
    <n v="9848"/>
    <n v="1352"/>
    <n v="8314"/>
    <n v="69"/>
    <n v="7"/>
    <n v="184920"/>
    <n v="184"/>
    <n v="91549"/>
    <n v="79"/>
    <n v="-3"/>
    <n v="4"/>
    <n v="0"/>
    <n v="648"/>
    <n v="92"/>
    <n v="740"/>
    <n v="0.99778597785977863"/>
    <n v="80"/>
    <x v="21"/>
    <s v="sábado"/>
    <n v="0.83333333333333337"/>
    <n v="88.673385042439349"/>
    <n v="-8.6733850424393495"/>
    <n v="569"/>
    <n v="1249"/>
    <n v="0.33510011778563015"/>
    <n v="0.39252042740414833"/>
  </r>
  <r>
    <x v="21"/>
    <x v="6"/>
    <n v="12187"/>
    <n v="1226"/>
    <n v="10701"/>
    <n v="50"/>
    <n v="11"/>
    <n v="235406"/>
    <n v="261"/>
    <n v="57919"/>
    <n v="39"/>
    <n v="-6"/>
    <n v="-1"/>
    <n v="-2"/>
    <n v="525"/>
    <n v="67"/>
    <n v="592"/>
    <n v="0.99512987012987009"/>
    <n v="42"/>
    <x v="21"/>
    <s v="sábado"/>
    <n v="0.45161290322580644"/>
    <n v="114.06175312753714"/>
    <n v="-72.061753127537145"/>
    <n v="516"/>
    <n v="1092"/>
    <n v="0.26611655492521918"/>
    <n v="0.30057803468208094"/>
  </r>
  <r>
    <x v="21"/>
    <x v="7"/>
    <n v="61375"/>
    <n v="5609"/>
    <n v="54402"/>
    <n v="278"/>
    <n v="58"/>
    <n v="1091724"/>
    <n v="1369"/>
    <n v="443588"/>
    <n v="236"/>
    <n v="-107"/>
    <n v="5"/>
    <n v="3"/>
    <n v="2853"/>
    <n v="418"/>
    <n v="3271"/>
    <n v="0.98128061581525539"/>
    <n v="337"/>
    <x v="21"/>
    <s v="sábado"/>
    <n v="0.85101010101010099"/>
    <n v="427.40969264479469"/>
    <n v="-90.409692644794688"/>
    <n v="2308"/>
    <n v="4918"/>
    <n v="0.20345557122708038"/>
    <n v="0.2357848307603797"/>
  </r>
  <r>
    <x v="22"/>
    <x v="0"/>
    <n v="13360"/>
    <n v="860"/>
    <n v="12197"/>
    <n v="66"/>
    <n v="17"/>
    <n v="229720"/>
    <n v="307"/>
    <n v="76680"/>
    <n v="48"/>
    <n v="-13"/>
    <n v="5"/>
    <n v="-1"/>
    <n v="1134"/>
    <n v="80"/>
    <n v="1214"/>
    <n v="0.98510882016036661"/>
    <n v="61"/>
    <x v="22"/>
    <s v="domingo"/>
    <n v="0.93846153846153846"/>
    <n v="77.805749671527266"/>
    <n v="-16.805749671527266"/>
    <n v="357"/>
    <n v="725"/>
    <n v="0.11983887210473314"/>
    <n v="0.13334559499724113"/>
  </r>
  <r>
    <x v="22"/>
    <x v="1"/>
    <n v="3925"/>
    <n v="336"/>
    <n v="3500"/>
    <n v="24"/>
    <n v="4"/>
    <n v="75919"/>
    <n v="87"/>
    <n v="30082"/>
    <n v="16"/>
    <n v="-12"/>
    <n v="-1"/>
    <n v="1"/>
    <n v="381"/>
    <n v="39"/>
    <n v="420"/>
    <n v="0.96551724137931039"/>
    <n v="28"/>
    <x v="22"/>
    <s v="domingo"/>
    <n v="0.5714285714285714"/>
    <n v="69.278277992360856"/>
    <n v="-41.278277992360856"/>
    <n v="108"/>
    <n v="239"/>
    <n v="0.12934131736526946"/>
    <n v="0.14582062233068943"/>
  </r>
  <r>
    <x v="22"/>
    <x v="2"/>
    <n v="6993"/>
    <n v="397"/>
    <n v="6449"/>
    <n v="11"/>
    <n v="3"/>
    <n v="123071"/>
    <n v="145"/>
    <n v="74519"/>
    <n v="43"/>
    <n v="23"/>
    <n v="2"/>
    <n v="-1"/>
    <n v="611"/>
    <n v="64"/>
    <n v="675"/>
    <n v="1.0614973262032086"/>
    <n v="20"/>
    <x v="22"/>
    <s v="domingo"/>
    <n v="1"/>
    <n v="23.197599226702437"/>
    <n v="-3.1975992267024367"/>
    <n v="195"/>
    <n v="354"/>
    <n v="0.1763110307414105"/>
    <n v="0.1787878787878788"/>
  </r>
  <r>
    <x v="22"/>
    <x v="3"/>
    <n v="8408"/>
    <n v="525"/>
    <n v="7574"/>
    <n v="22"/>
    <n v="4"/>
    <n v="134040"/>
    <n v="308"/>
    <n v="67234"/>
    <n v="21"/>
    <n v="-15"/>
    <n v="3"/>
    <n v="0"/>
    <n v="421"/>
    <n v="51"/>
    <n v="472"/>
    <n v="0.97222222222222221"/>
    <n v="36"/>
    <x v="22"/>
    <s v="domingo"/>
    <n v="0.87804878048780488"/>
    <n v="38.85857957645171"/>
    <n v="-2.8585795764517101"/>
    <n v="254"/>
    <n v="468"/>
    <n v="0.16188655194391333"/>
    <n v="0.16531261038502296"/>
  </r>
  <r>
    <x v="22"/>
    <x v="4"/>
    <n v="6819"/>
    <n v="866"/>
    <n v="5879"/>
    <n v="50"/>
    <n v="11"/>
    <n v="111937"/>
    <n v="77"/>
    <n v="45905"/>
    <n v="37"/>
    <n v="-30"/>
    <n v="5"/>
    <n v="0"/>
    <n v="742"/>
    <n v="66"/>
    <n v="808"/>
    <n v="0.9665178571428571"/>
    <n v="67"/>
    <x v="22"/>
    <s v="domingo"/>
    <n v="1.2884615384615385"/>
    <n v="57.870781919954723"/>
    <n v="9.1292180800452769"/>
    <n v="321"/>
    <n v="729"/>
    <n v="0.24410646387832699"/>
    <n v="0.29987659399424105"/>
  </r>
  <r>
    <x v="22"/>
    <x v="5"/>
    <n v="9924"/>
    <n v="1347"/>
    <n v="8395"/>
    <n v="71"/>
    <n v="7"/>
    <n v="185800"/>
    <n v="184"/>
    <n v="91655"/>
    <n v="76"/>
    <n v="-5"/>
    <n v="2"/>
    <n v="0"/>
    <n v="880"/>
    <n v="106"/>
    <n v="986"/>
    <n v="0.99630177514792895"/>
    <n v="81"/>
    <x v="22"/>
    <s v="domingo"/>
    <n v="0.92045454545454541"/>
    <n v="80.290110919456552"/>
    <n v="0.7098890805434479"/>
    <n v="581"/>
    <n v="1237"/>
    <n v="0.34216725559481742"/>
    <n v="0.38874921433060966"/>
  </r>
  <r>
    <x v="22"/>
    <x v="6"/>
    <n v="12239"/>
    <n v="1177"/>
    <n v="10801"/>
    <n v="51"/>
    <n v="12"/>
    <n v="236261"/>
    <n v="262"/>
    <n v="57983"/>
    <n v="52"/>
    <n v="-49"/>
    <n v="1"/>
    <n v="1"/>
    <n v="855"/>
    <n v="64"/>
    <n v="919"/>
    <n v="0.96003262642740617"/>
    <n v="100"/>
    <x v="22"/>
    <s v="domingo"/>
    <n v="1.7857142857142858"/>
    <n v="63.25834304569161"/>
    <n v="36.74165695430839"/>
    <n v="499"/>
    <n v="1088"/>
    <n v="0.25734914904589995"/>
    <n v="0.29947701624002204"/>
  </r>
  <r>
    <x v="22"/>
    <x v="7"/>
    <n v="61668"/>
    <n v="5508"/>
    <n v="54795"/>
    <n v="295"/>
    <n v="58"/>
    <n v="1096748"/>
    <n v="1370"/>
    <n v="444058"/>
    <n v="293"/>
    <n v="-101"/>
    <n v="17"/>
    <n v="0"/>
    <n v="5024"/>
    <n v="470"/>
    <n v="5494"/>
    <n v="0.98199322517382781"/>
    <n v="393"/>
    <x v="22"/>
    <s v="domingo"/>
    <n v="1.059299191374663"/>
    <n v="389.83900624953651"/>
    <n v="3.16099375046349"/>
    <n v="2315"/>
    <n v="4840"/>
    <n v="0.20407263751763047"/>
    <n v="0.23204525841403778"/>
  </r>
  <r>
    <x v="23"/>
    <x v="0"/>
    <n v="13414"/>
    <n v="884"/>
    <n v="12223"/>
    <n v="71"/>
    <n v="18"/>
    <n v="230377"/>
    <n v="311"/>
    <n v="76850"/>
    <n v="54"/>
    <n v="24"/>
    <n v="5"/>
    <n v="1"/>
    <n v="657"/>
    <n v="170"/>
    <n v="827"/>
    <n v="1.027906976744186"/>
    <n v="26"/>
    <x v="23"/>
    <s v="lunes"/>
    <n v="1.2380952380952381"/>
    <n v="24.53395888002834"/>
    <n v="1.4660411199716599"/>
    <n v="388"/>
    <n v="758"/>
    <n v="0.13024504867405171"/>
    <n v="0.13941511863159831"/>
  </r>
  <r>
    <x v="23"/>
    <x v="1"/>
    <n v="3954"/>
    <n v="337"/>
    <n v="3527"/>
    <n v="27"/>
    <n v="4"/>
    <n v="76156"/>
    <n v="88"/>
    <n v="30134"/>
    <n v="29"/>
    <n v="1"/>
    <n v="3"/>
    <n v="0"/>
    <n v="237"/>
    <n v="52"/>
    <n v="289"/>
    <n v="1.0029761904761905"/>
    <n v="27"/>
    <x v="23"/>
    <s v="lunes"/>
    <n v="1.5"/>
    <n v="23.764335670974972"/>
    <n v="3.2356643290250275"/>
    <n v="125"/>
    <n v="250"/>
    <n v="0.1497005988023952"/>
    <n v="0.1525320317266626"/>
  </r>
  <r>
    <x v="23"/>
    <x v="2"/>
    <n v="7009"/>
    <n v="397"/>
    <n v="6465"/>
    <n v="10"/>
    <n v="3"/>
    <n v="123460"/>
    <n v="145"/>
    <n v="74626"/>
    <n v="16"/>
    <n v="0"/>
    <n v="-1"/>
    <n v="0"/>
    <n v="389"/>
    <n v="107"/>
    <n v="496"/>
    <n v="1"/>
    <n v="16"/>
    <x v="23"/>
    <s v="lunes"/>
    <n v="1.2307692307692308"/>
    <n v="14.847501775428075"/>
    <n v="1.1524982245719251"/>
    <n v="194"/>
    <n v="357"/>
    <n v="0.17540687160940324"/>
    <n v="0.1803030303030303"/>
  </r>
  <r>
    <x v="23"/>
    <x v="3"/>
    <n v="8435"/>
    <n v="525"/>
    <n v="7601"/>
    <n v="21"/>
    <n v="4"/>
    <n v="134691"/>
    <n v="308"/>
    <n v="67336"/>
    <n v="27"/>
    <n v="0"/>
    <n v="-1"/>
    <n v="0"/>
    <n v="651"/>
    <n v="102"/>
    <n v="753"/>
    <n v="1"/>
    <n v="27"/>
    <x v="23"/>
    <s v="lunes"/>
    <n v="2.25"/>
    <n v="11.280280865418332"/>
    <n v="15.719719134581668"/>
    <n v="230"/>
    <n v="483"/>
    <n v="0.14659018483110262"/>
    <n v="0.17061109148710704"/>
  </r>
  <r>
    <x v="23"/>
    <x v="4"/>
    <n v="6858"/>
    <n v="852"/>
    <n v="5932"/>
    <n v="44"/>
    <n v="10"/>
    <n v="112437"/>
    <n v="77"/>
    <n v="46011"/>
    <n v="39"/>
    <n v="-14"/>
    <n v="-6"/>
    <n v="-1"/>
    <n v="500"/>
    <n v="106"/>
    <n v="606"/>
    <n v="0.9838337182448037"/>
    <n v="53"/>
    <x v="23"/>
    <s v="lunes"/>
    <n v="0.64634146341463417"/>
    <n v="92.857335340791238"/>
    <n v="-39.857335340791238"/>
    <n v="315"/>
    <n v="686"/>
    <n v="0.23954372623574144"/>
    <n v="0.28218839983545868"/>
  </r>
  <r>
    <x v="23"/>
    <x v="5"/>
    <n v="9996"/>
    <n v="1336"/>
    <n v="8474"/>
    <n v="74"/>
    <n v="5"/>
    <n v="186535"/>
    <n v="188"/>
    <n v="91849"/>
    <n v="72"/>
    <n v="-11"/>
    <n v="3"/>
    <n v="-2"/>
    <n v="735"/>
    <n v="194"/>
    <n v="929"/>
    <n v="0.99183370452858199"/>
    <n v="79"/>
    <x v="23"/>
    <s v="lunes"/>
    <n v="1.0128205128205128"/>
    <n v="71.236147997147597"/>
    <n v="7.7638520028524027"/>
    <n v="598"/>
    <n v="1231"/>
    <n v="0.35217903415783275"/>
    <n v="0.38686360779384033"/>
  </r>
  <r>
    <x v="23"/>
    <x v="6"/>
    <n v="12316"/>
    <n v="1192"/>
    <n v="10862"/>
    <n v="44"/>
    <n v="12"/>
    <n v="236973"/>
    <n v="263"/>
    <n v="58090"/>
    <n v="77"/>
    <n v="15"/>
    <n v="-7"/>
    <n v="0"/>
    <n v="712"/>
    <n v="107"/>
    <n v="819"/>
    <n v="1.0127442650807137"/>
    <n v="61"/>
    <x v="23"/>
    <s v="lunes"/>
    <n v="1.22"/>
    <n v="60.125669083882237"/>
    <n v="0.87433091611776348"/>
    <n v="530"/>
    <n v="1115"/>
    <n v="0.27333677153171737"/>
    <n v="0.30690889072391964"/>
  </r>
  <r>
    <x v="23"/>
    <x v="7"/>
    <n v="61982"/>
    <n v="5523"/>
    <n v="55084"/>
    <n v="291"/>
    <n v="56"/>
    <n v="1100629"/>
    <n v="1380"/>
    <n v="444896"/>
    <n v="314"/>
    <n v="15"/>
    <n v="-4"/>
    <n v="-2"/>
    <n v="3881"/>
    <n v="838"/>
    <n v="4719"/>
    <n v="1.002723311546841"/>
    <n v="289"/>
    <x v="23"/>
    <s v="lunes"/>
    <n v="1.0547445255474452"/>
    <n v="288.17283668732676"/>
    <n v="0.8271633126732354"/>
    <n v="2380"/>
    <n v="4880"/>
    <n v="0.20980253878702398"/>
    <n v="0.23396298782241826"/>
  </r>
  <r>
    <x v="24"/>
    <x v="0"/>
    <n v="13535"/>
    <n v="956"/>
    <n v="12272"/>
    <n v="71"/>
    <n v="18"/>
    <n v="231633"/>
    <n v="311"/>
    <n v="77039"/>
    <n v="121"/>
    <n v="72"/>
    <n v="0"/>
    <n v="0"/>
    <n v="1256"/>
    <n v="189"/>
    <n v="1445"/>
    <n v="1.0814479638009049"/>
    <n v="49"/>
    <x v="24"/>
    <s v="martes"/>
    <n v="1.0888888888888888"/>
    <n v="52.886920697197517"/>
    <n v="-3.8869206971975174"/>
    <n v="445"/>
    <n v="834"/>
    <n v="0.14937898623699228"/>
    <n v="0.15339341548648153"/>
  </r>
  <r>
    <x v="24"/>
    <x v="1"/>
    <n v="3969"/>
    <n v="327"/>
    <n v="3551"/>
    <n v="31"/>
    <n v="3"/>
    <n v="76468"/>
    <n v="89"/>
    <n v="30177"/>
    <n v="15"/>
    <n v="-10"/>
    <n v="4"/>
    <n v="-1"/>
    <n v="312"/>
    <n v="43"/>
    <n v="355"/>
    <n v="0.97032640949554894"/>
    <n v="24"/>
    <x v="24"/>
    <s v="martes"/>
    <n v="0.70588235294117652"/>
    <n v="45.499370640657453"/>
    <n v="-21.499370640657453"/>
    <n v="123"/>
    <n v="231"/>
    <n v="0.14730538922155689"/>
    <n v="0.14093959731543623"/>
  </r>
  <r>
    <x v="24"/>
    <x v="2"/>
    <n v="7059"/>
    <n v="430"/>
    <n v="6482"/>
    <n v="12"/>
    <n v="2"/>
    <n v="124244"/>
    <n v="145"/>
    <n v="74737"/>
    <n v="50"/>
    <n v="33"/>
    <n v="2"/>
    <n v="-1"/>
    <n v="784"/>
    <n v="111"/>
    <n v="895"/>
    <n v="1.0831234256926952"/>
    <n v="17"/>
    <x v="24"/>
    <s v="martes"/>
    <n v="0.51515151515151514"/>
    <n v="37.982369440785675"/>
    <n v="-20.982369440785675"/>
    <n v="218"/>
    <n v="374"/>
    <n v="0.19710669077757687"/>
    <n v="0.18888888888888888"/>
  </r>
  <r>
    <x v="24"/>
    <x v="3"/>
    <n v="8484"/>
    <n v="545"/>
    <n v="7630"/>
    <n v="22"/>
    <n v="3"/>
    <n v="135342"/>
    <n v="308"/>
    <n v="67470"/>
    <n v="49"/>
    <n v="20"/>
    <n v="1"/>
    <n v="-1"/>
    <n v="651"/>
    <n v="134"/>
    <n v="785"/>
    <n v="1.0380952380952382"/>
    <n v="29"/>
    <x v="24"/>
    <s v="martes"/>
    <n v="1.0357142857142858"/>
    <n v="29.988589817378497"/>
    <n v="-0.9885898173784966"/>
    <n v="252"/>
    <n v="504"/>
    <n v="0.16061185468451242"/>
    <n v="0.17802896503002472"/>
  </r>
  <r>
    <x v="24"/>
    <x v="4"/>
    <n v="6911"/>
    <n v="821"/>
    <n v="6016"/>
    <n v="41"/>
    <n v="11"/>
    <n v="113362"/>
    <n v="77"/>
    <n v="46138"/>
    <n v="53"/>
    <n v="-31"/>
    <n v="-3"/>
    <n v="1"/>
    <n v="925"/>
    <n v="127"/>
    <n v="1052"/>
    <n v="0.96361502347417838"/>
    <n v="84"/>
    <x v="24"/>
    <s v="martes"/>
    <n v="1.8666666666666667"/>
    <n v="48.771000991488357"/>
    <n v="35.228999008511643"/>
    <n v="332"/>
    <n v="694"/>
    <n v="0.25247148288973387"/>
    <n v="0.28547922665569725"/>
  </r>
  <r>
    <x v="24"/>
    <x v="5"/>
    <n v="10117"/>
    <n v="1373"/>
    <n v="8557"/>
    <n v="65"/>
    <n v="7"/>
    <n v="187694"/>
    <n v="189"/>
    <n v="92122"/>
    <n v="121"/>
    <n v="37"/>
    <n v="-9"/>
    <n v="2"/>
    <n v="1159"/>
    <n v="273"/>
    <n v="1432"/>
    <n v="1.027694610778443"/>
    <n v="83"/>
    <x v="24"/>
    <s v="martes"/>
    <n v="0.70338983050847459"/>
    <n v="108.94203740124455"/>
    <n v="-25.942037401244548"/>
    <n v="639"/>
    <n v="1234"/>
    <n v="0.37632508833922262"/>
    <n v="0.38780641106222502"/>
  </r>
  <r>
    <x v="24"/>
    <x v="6"/>
    <n v="12391"/>
    <n v="1173"/>
    <n v="10952"/>
    <n v="40"/>
    <n v="11"/>
    <n v="238334"/>
    <n v="267"/>
    <n v="58197"/>
    <n v="75"/>
    <n v="-19"/>
    <n v="-4"/>
    <n v="-1"/>
    <n v="1361"/>
    <n v="107"/>
    <n v="1468"/>
    <n v="0.98406040268456374"/>
    <n v="90"/>
    <x v="24"/>
    <s v="martes"/>
    <n v="0.74380165289256195"/>
    <n v="145.71570726469551"/>
    <n v="-55.71570726469551"/>
    <n v="513"/>
    <n v="1069"/>
    <n v="0.26456936565239814"/>
    <n v="0.29424717864024225"/>
  </r>
  <r>
    <x v="24"/>
    <x v="7"/>
    <n v="62466"/>
    <n v="5625"/>
    <n v="55460"/>
    <n v="282"/>
    <n v="55"/>
    <n v="1107077"/>
    <n v="1386"/>
    <n v="445880"/>
    <n v="484"/>
    <n v="102"/>
    <n v="-9"/>
    <n v="-1"/>
    <n v="6448"/>
    <n v="984"/>
    <n v="7432"/>
    <n v="1.0184682237914178"/>
    <n v="376"/>
    <x v="24"/>
    <s v="martes"/>
    <n v="0.8867924528301887"/>
    <n v="446.05968788278796"/>
    <n v="-70.059687882787955"/>
    <n v="2522"/>
    <n v="4940"/>
    <n v="0.22232016925246825"/>
    <n v="0.23683958193498897"/>
  </r>
  <r>
    <x v="25"/>
    <x v="0"/>
    <n v="13669"/>
    <n v="1029"/>
    <n v="12333"/>
    <n v="70"/>
    <n v="19"/>
    <n v="233058"/>
    <n v="311"/>
    <n v="77228"/>
    <n v="134"/>
    <n v="73"/>
    <n v="-1"/>
    <n v="1"/>
    <n v="1425"/>
    <n v="189"/>
    <n v="1614"/>
    <n v="1.0763598326359833"/>
    <n v="61"/>
    <x v="25"/>
    <s v="miércoles"/>
    <n v="1"/>
    <n v="71.212164899576734"/>
    <n v="-10.212164899576734"/>
    <n v="519"/>
    <n v="907"/>
    <n v="0.17421953675730112"/>
    <n v="0.16681993746551407"/>
  </r>
  <r>
    <x v="25"/>
    <x v="1"/>
    <n v="3993"/>
    <n v="312"/>
    <n v="3589"/>
    <n v="33"/>
    <n v="3"/>
    <n v="76840"/>
    <n v="90"/>
    <n v="30208"/>
    <n v="24"/>
    <n v="-15"/>
    <n v="2"/>
    <n v="0"/>
    <n v="372"/>
    <n v="31"/>
    <n v="403"/>
    <n v="0.95412844036697253"/>
    <n v="38"/>
    <x v="25"/>
    <s v="miércoles"/>
    <n v="2.375"/>
    <n v="20.491709364987145"/>
    <n v="17.508290635012855"/>
    <n v="127"/>
    <n v="239"/>
    <n v="0.15209580838323353"/>
    <n v="0.14582062233068943"/>
  </r>
  <r>
    <x v="25"/>
    <x v="2"/>
    <n v="7108"/>
    <n v="444"/>
    <n v="6517"/>
    <n v="16"/>
    <n v="2"/>
    <n v="125028"/>
    <n v="145"/>
    <n v="74843"/>
    <n v="49"/>
    <n v="14"/>
    <n v="4"/>
    <n v="0"/>
    <n v="784"/>
    <n v="106"/>
    <n v="890"/>
    <n v="1.0325581395348837"/>
    <n v="35"/>
    <x v="25"/>
    <s v="miércoles"/>
    <n v="1.5217391304347827"/>
    <n v="25.143099094712689"/>
    <n v="9.8569009052873113"/>
    <n v="232"/>
    <n v="400"/>
    <n v="0.20976491862567812"/>
    <n v="0.20202020202020202"/>
  </r>
  <r>
    <x v="25"/>
    <x v="3"/>
    <n v="8553"/>
    <n v="573"/>
    <n v="7671"/>
    <n v="24"/>
    <n v="3"/>
    <n v="135753"/>
    <n v="308"/>
    <n v="67695"/>
    <n v="69"/>
    <n v="28"/>
    <n v="2"/>
    <n v="0"/>
    <n v="411"/>
    <n v="225"/>
    <n v="636"/>
    <n v="1.0513761467889908"/>
    <n v="41"/>
    <x v="25"/>
    <s v="miércoles"/>
    <n v="1"/>
    <n v="43.780265665990854"/>
    <n v="-2.7802656659908536"/>
    <n v="276"/>
    <n v="532"/>
    <n v="0.17590822179732313"/>
    <n v="0.18791946308724833"/>
  </r>
  <r>
    <x v="25"/>
    <x v="4"/>
    <n v="6941"/>
    <n v="816"/>
    <n v="6050"/>
    <n v="42"/>
    <n v="10"/>
    <n v="114435"/>
    <n v="78"/>
    <n v="46229"/>
    <n v="30"/>
    <n v="-5"/>
    <n v="1"/>
    <n v="-1"/>
    <n v="1073"/>
    <n v="91"/>
    <n v="1164"/>
    <n v="0.99390986601705233"/>
    <n v="34"/>
    <x v="25"/>
    <s v="miércoles"/>
    <n v="0.55737704918032782"/>
    <n v="70.453152736985658"/>
    <n v="-36.453152736985658"/>
    <n v="302"/>
    <n v="663"/>
    <n v="0.22965779467680608"/>
    <n v="0.27272727272727271"/>
  </r>
  <r>
    <x v="25"/>
    <x v="5"/>
    <n v="10232"/>
    <n v="1369"/>
    <n v="8674"/>
    <n v="69"/>
    <n v="7"/>
    <n v="188719"/>
    <n v="191"/>
    <n v="92370"/>
    <n v="115"/>
    <n v="-4"/>
    <n v="4"/>
    <n v="0"/>
    <n v="1025"/>
    <n v="248"/>
    <n v="1273"/>
    <n v="0.99708667152221409"/>
    <n v="117"/>
    <x v="25"/>
    <s v="miércoles"/>
    <n v="1.0636363636363637"/>
    <n v="99.357658814614012"/>
    <n v="17.642341185385988"/>
    <n v="640"/>
    <n v="1239"/>
    <n v="0.37691401648998824"/>
    <n v="0.38937774984286611"/>
  </r>
  <r>
    <x v="25"/>
    <x v="6"/>
    <n v="12482"/>
    <n v="1137"/>
    <n v="11076"/>
    <n v="42"/>
    <n v="11"/>
    <n v="239822"/>
    <n v="270"/>
    <n v="58318"/>
    <n v="91"/>
    <n v="-36"/>
    <n v="2"/>
    <n v="0"/>
    <n v="1488"/>
    <n v="121"/>
    <n v="1609"/>
    <n v="0.96930946291560105"/>
    <n v="124"/>
    <x v="25"/>
    <s v="miércoles"/>
    <n v="1.3052631578947369"/>
    <n v="110.42819075992543"/>
    <n v="13.571809240074572"/>
    <n v="487"/>
    <n v="1065"/>
    <n v="0.25116039195461576"/>
    <n v="0.29314616019818329"/>
  </r>
  <r>
    <x v="25"/>
    <x v="7"/>
    <n v="62978"/>
    <n v="5680"/>
    <n v="55910"/>
    <n v="296"/>
    <n v="55"/>
    <n v="1113655"/>
    <n v="1393"/>
    <n v="446891"/>
    <n v="512"/>
    <n v="55"/>
    <n v="14"/>
    <n v="0"/>
    <n v="6578"/>
    <n v="1011"/>
    <n v="7589"/>
    <n v="1.0097777777777779"/>
    <n v="450"/>
    <x v="25"/>
    <s v="miércoles"/>
    <n v="1.1056511056511056"/>
    <n v="422.06152008639515"/>
    <n v="27.938479913604851"/>
    <n v="2583"/>
    <n v="5045"/>
    <n v="0.22769746121297602"/>
    <n v="0.24187362163198772"/>
  </r>
  <r>
    <x v="26"/>
    <x v="0"/>
    <n v="13776"/>
    <n v="1091"/>
    <n v="12377"/>
    <n v="67"/>
    <n v="20"/>
    <n v="234308"/>
    <n v="312"/>
    <n v="77433"/>
    <n v="107"/>
    <n v="62"/>
    <n v="-3"/>
    <n v="1"/>
    <n v="1250"/>
    <n v="205"/>
    <n v="1455"/>
    <n v="1.0602526724975705"/>
    <n v="44"/>
    <x v="26"/>
    <s v="jueves"/>
    <n v="1"/>
    <n v="50.752305753272047"/>
    <n v="-6.7523057532720472"/>
    <n v="559"/>
    <n v="970"/>
    <n v="0.18764686136287345"/>
    <n v="0.17840720985837777"/>
  </r>
  <r>
    <x v="26"/>
    <x v="1"/>
    <n v="4017"/>
    <n v="307"/>
    <n v="3618"/>
    <n v="35"/>
    <n v="2"/>
    <n v="77124"/>
    <n v="90"/>
    <n v="30256"/>
    <n v="24"/>
    <n v="-5"/>
    <n v="2"/>
    <n v="-1"/>
    <n v="284"/>
    <n v="48"/>
    <n v="332"/>
    <n v="0.98397435897435892"/>
    <n v="29"/>
    <x v="26"/>
    <s v="jueves"/>
    <n v="1"/>
    <n v="39.785704622035929"/>
    <n v="-10.785704622035929"/>
    <n v="129"/>
    <n v="234"/>
    <n v="0.15449101796407186"/>
    <n v="0.14276998169615621"/>
  </r>
  <r>
    <x v="26"/>
    <x v="2"/>
    <n v="7155"/>
    <n v="463"/>
    <n v="6545"/>
    <n v="13"/>
    <n v="2"/>
    <n v="125659"/>
    <n v="145"/>
    <n v="74958"/>
    <n v="47"/>
    <n v="19"/>
    <n v="-3"/>
    <n v="0"/>
    <n v="631"/>
    <n v="115"/>
    <n v="746"/>
    <n v="1.0427927927927927"/>
    <n v="28"/>
    <x v="26"/>
    <s v="jueves"/>
    <n v="2.1538461538461537"/>
    <n v="14.675591197622877"/>
    <n v="13.324408802377123"/>
    <n v="251"/>
    <n v="434"/>
    <n v="0.22694394213381555"/>
    <n v="0.21919191919191919"/>
  </r>
  <r>
    <x v="26"/>
    <x v="3"/>
    <n v="8622"/>
    <n v="600"/>
    <n v="7712"/>
    <n v="21"/>
    <n v="2"/>
    <n v="136517"/>
    <n v="309"/>
    <n v="67852"/>
    <n v="69"/>
    <n v="27"/>
    <n v="-3"/>
    <n v="-1"/>
    <n v="764"/>
    <n v="157"/>
    <n v="921"/>
    <n v="1.0471204188481675"/>
    <n v="41"/>
    <x v="26"/>
    <s v="jueves"/>
    <n v="0.80392156862745101"/>
    <n v="54.170180972806648"/>
    <n v="-13.170180972806648"/>
    <n v="293"/>
    <n v="550"/>
    <n v="0.18674314850223073"/>
    <n v="0.19427764040974921"/>
  </r>
  <r>
    <x v="26"/>
    <x v="4"/>
    <n v="6992"/>
    <n v="789"/>
    <n v="6126"/>
    <n v="39"/>
    <n v="12"/>
    <n v="115421"/>
    <n v="80"/>
    <n v="46347"/>
    <n v="51"/>
    <n v="-27"/>
    <n v="-3"/>
    <n v="2"/>
    <n v="986"/>
    <n v="118"/>
    <n v="1104"/>
    <n v="0.96691176470588236"/>
    <n v="76"/>
    <x v="26"/>
    <s v="jueves"/>
    <n v="1.0555555555555556"/>
    <n v="79.57226361706644"/>
    <n v="-3.5722636170664401"/>
    <n v="295"/>
    <n v="642"/>
    <n v="0.22433460076045628"/>
    <n v="0.26408885232414642"/>
  </r>
  <r>
    <x v="26"/>
    <x v="5"/>
    <n v="10335"/>
    <n v="1346"/>
    <n v="8798"/>
    <n v="75"/>
    <n v="8"/>
    <n v="190051"/>
    <n v="193"/>
    <n v="92624"/>
    <n v="103"/>
    <n v="-23"/>
    <n v="6"/>
    <n v="1"/>
    <n v="1332"/>
    <n v="254"/>
    <n v="1586"/>
    <n v="0.98319941563184809"/>
    <n v="124"/>
    <x v="26"/>
    <s v="jueves"/>
    <n v="1.1923076923076923"/>
    <n v="95.328152790847298"/>
    <n v="28.671847209152702"/>
    <n v="665"/>
    <n v="1238"/>
    <n v="0.39163722025912839"/>
    <n v="0.38906348208673791"/>
  </r>
  <r>
    <x v="26"/>
    <x v="6"/>
    <n v="12613"/>
    <n v="1181"/>
    <n v="11162"/>
    <n v="40"/>
    <n v="9"/>
    <n v="241510"/>
    <n v="271"/>
    <n v="58439"/>
    <n v="131"/>
    <n v="44"/>
    <n v="-2"/>
    <n v="-2"/>
    <n v="1688"/>
    <n v="121"/>
    <n v="1809"/>
    <n v="1.0386983289357961"/>
    <n v="86"/>
    <x v="26"/>
    <s v="jueves"/>
    <n v="0.90526315789473688"/>
    <n v="111.55917486326499"/>
    <n v="-25.559174863264985"/>
    <n v="553"/>
    <n v="1101"/>
    <n v="0.2851985559566787"/>
    <n v="0.30305532617671344"/>
  </r>
  <r>
    <x v="26"/>
    <x v="7"/>
    <n v="63510"/>
    <n v="5777"/>
    <n v="56338"/>
    <n v="290"/>
    <n v="55"/>
    <n v="1120590"/>
    <n v="1400"/>
    <n v="447909"/>
    <n v="532"/>
    <n v="97"/>
    <n v="-6"/>
    <n v="0"/>
    <n v="6935"/>
    <n v="1018"/>
    <n v="7953"/>
    <n v="1.0170774647887324"/>
    <n v="428"/>
    <x v="26"/>
    <s v="jueves"/>
    <n v="1.0490196078431373"/>
    <n v="425.43245334720336"/>
    <n v="2.5675466527966364"/>
    <n v="2745"/>
    <n v="5169"/>
    <n v="0.24197813822284908"/>
    <n v="0.2478185827979672"/>
  </r>
  <r>
    <x v="27"/>
    <x v="0"/>
    <n v="13894"/>
    <n v="1150"/>
    <n v="12434"/>
    <n v="72"/>
    <n v="20"/>
    <n v="235418"/>
    <n v="314"/>
    <n v="77528"/>
    <n v="118"/>
    <n v="59"/>
    <n v="5"/>
    <n v="0"/>
    <n v="1110"/>
    <n v="95"/>
    <n v="1205"/>
    <n v="1.0540788267644363"/>
    <n v="57"/>
    <x v="27"/>
    <s v="viernes"/>
    <n v="0.74025974025974028"/>
    <n v="87.907570832208705"/>
    <n v="-30.907570832208705"/>
    <n v="618"/>
    <n v="1011"/>
    <n v="0.20745216515609266"/>
    <n v="0.18594813316167003"/>
  </r>
  <r>
    <x v="27"/>
    <x v="1"/>
    <n v="4038"/>
    <n v="309"/>
    <n v="3637"/>
    <n v="37"/>
    <n v="2"/>
    <n v="77386"/>
    <n v="90"/>
    <n v="30271"/>
    <n v="21"/>
    <n v="2"/>
    <n v="2"/>
    <n v="0"/>
    <n v="262"/>
    <n v="15"/>
    <n v="277"/>
    <n v="1.006514657980456"/>
    <n v="19"/>
    <x v="27"/>
    <s v="viernes"/>
    <n v="1.9"/>
    <n v="13.433115529560508"/>
    <n v="5.5668844704394917"/>
    <n v="138"/>
    <n v="245"/>
    <n v="0.16526946107784432"/>
    <n v="0.14948139109212935"/>
  </r>
  <r>
    <x v="27"/>
    <x v="2"/>
    <n v="7190"/>
    <n v="475"/>
    <n v="6568"/>
    <n v="14"/>
    <n v="2"/>
    <n v="126196"/>
    <n v="145"/>
    <n v="75004"/>
    <n v="35"/>
    <n v="12"/>
    <n v="1"/>
    <n v="0"/>
    <n v="537"/>
    <n v="46"/>
    <n v="583"/>
    <n v="1.0259179265658747"/>
    <n v="23"/>
    <x v="27"/>
    <s v="viernes"/>
    <n v="0.74193548387096775"/>
    <n v="37.439762872874027"/>
    <n v="-14.439762872874027"/>
    <n v="251"/>
    <n v="438"/>
    <n v="0.22694394213381555"/>
    <n v="0.22121212121212122"/>
  </r>
  <r>
    <x v="27"/>
    <x v="3"/>
    <n v="8653"/>
    <n v="595"/>
    <n v="7748"/>
    <n v="22"/>
    <n v="2"/>
    <n v="136922"/>
    <n v="309"/>
    <n v="67926"/>
    <n v="31"/>
    <n v="-5"/>
    <n v="1"/>
    <n v="0"/>
    <n v="405"/>
    <n v="74"/>
    <n v="479"/>
    <n v="0.9916666666666667"/>
    <n v="36"/>
    <x v="27"/>
    <s v="viernes"/>
    <n v="1.5652173913043479"/>
    <n v="23.972805352178938"/>
    <n v="12.027194647821062"/>
    <n v="282"/>
    <n v="558"/>
    <n v="0.17973231357552583"/>
    <n v="0.19710349699752738"/>
  </r>
  <r>
    <x v="27"/>
    <x v="4"/>
    <n v="7038"/>
    <n v="773"/>
    <n v="6188"/>
    <n v="32"/>
    <n v="12"/>
    <n v="115751"/>
    <n v="81"/>
    <n v="46420"/>
    <n v="46"/>
    <n v="-16"/>
    <n v="-7"/>
    <n v="0"/>
    <n v="330"/>
    <n v="73"/>
    <n v="403"/>
    <n v="0.97972116603295312"/>
    <n v="62"/>
    <x v="27"/>
    <s v="viernes"/>
    <n v="0.96875"/>
    <n v="70.486643651610066"/>
    <n v="-8.4866436516100663"/>
    <n v="302"/>
    <n v="624"/>
    <n v="0.22965779467680608"/>
    <n v="0.25668449197860965"/>
  </r>
  <r>
    <x v="27"/>
    <x v="5"/>
    <n v="10457"/>
    <n v="1356"/>
    <n v="8910"/>
    <n v="79"/>
    <n v="8"/>
    <n v="190999"/>
    <n v="193"/>
    <n v="92720"/>
    <n v="122"/>
    <n v="10"/>
    <n v="4"/>
    <n v="0"/>
    <n v="948"/>
    <n v="96"/>
    <n v="1044"/>
    <n v="1.0074294205052006"/>
    <n v="112"/>
    <x v="27"/>
    <s v="viernes"/>
    <n v="1.108910891089109"/>
    <n v="94.720207975227012"/>
    <n v="17.279792024772988"/>
    <n v="688"/>
    <n v="1259"/>
    <n v="0.40518256772673733"/>
    <n v="0.39566310496543056"/>
  </r>
  <r>
    <x v="27"/>
    <x v="6"/>
    <n v="12684"/>
    <n v="1175"/>
    <n v="11239"/>
    <n v="41"/>
    <n v="11"/>
    <n v="242347"/>
    <n v="271"/>
    <n v="58492"/>
    <n v="71"/>
    <n v="-6"/>
    <n v="1"/>
    <n v="2"/>
    <n v="837"/>
    <n v="53"/>
    <n v="890"/>
    <n v="0.99491955969517354"/>
    <n v="77"/>
    <x v="27"/>
    <s v="viernes"/>
    <n v="0.92771084337349397"/>
    <n v="95.749747501062274"/>
    <n v="-18.749747501062274"/>
    <n v="536"/>
    <n v="1089"/>
    <n v="0.27643115007735947"/>
    <n v="0.29975227085053674"/>
  </r>
  <r>
    <x v="27"/>
    <x v="7"/>
    <n v="63954"/>
    <n v="5833"/>
    <n v="56724"/>
    <n v="297"/>
    <n v="57"/>
    <n v="1125019"/>
    <n v="1403"/>
    <n v="448361"/>
    <n v="444"/>
    <n v="56"/>
    <n v="7"/>
    <n v="2"/>
    <n v="4429"/>
    <n v="452"/>
    <n v="4881"/>
    <n v="1.0096936126016964"/>
    <n v="386"/>
    <x v="27"/>
    <s v="viernes"/>
    <n v="0.99228791773778924"/>
    <n v="405.80895403935619"/>
    <n v="-19.808954039356195"/>
    <n v="2815"/>
    <n v="5224"/>
    <n v="0.24814880112834978"/>
    <n v="0.25045546073449038"/>
  </r>
  <r>
    <x v="28"/>
    <x v="0"/>
    <n v="13940"/>
    <n v="1134"/>
    <n v="12496"/>
    <n v="77"/>
    <n v="18"/>
    <n v="236006"/>
    <n v="314"/>
    <n v="77651"/>
    <n v="46"/>
    <n v="-16"/>
    <n v="5"/>
    <n v="-2"/>
    <n v="588"/>
    <n v="123"/>
    <n v="711"/>
    <n v="0.98608695652173917"/>
    <n v="62"/>
    <x v="28"/>
    <s v="sábado"/>
    <n v="0.92537313432835822"/>
    <n v="74.57003172064357"/>
    <n v="-12.57003172064357"/>
    <n v="628"/>
    <n v="990"/>
    <n v="0.21080899630748573"/>
    <n v="0.18208570903071547"/>
  </r>
  <r>
    <x v="28"/>
    <x v="1"/>
    <n v="4049"/>
    <n v="295"/>
    <n v="3662"/>
    <n v="41"/>
    <n v="2"/>
    <n v="77572"/>
    <n v="90"/>
    <n v="30286"/>
    <n v="11"/>
    <n v="-14"/>
    <n v="4"/>
    <n v="0"/>
    <n v="186"/>
    <n v="15"/>
    <n v="201"/>
    <n v="0.95469255663430419"/>
    <n v="25"/>
    <x v="28"/>
    <s v="sábado"/>
    <n v="2.2727272727272729"/>
    <n v="15.213825148051088"/>
    <n v="9.7861748519489122"/>
    <n v="140"/>
    <n v="245"/>
    <n v="0.16766467065868262"/>
    <n v="0.14948139109212935"/>
  </r>
  <r>
    <x v="28"/>
    <x v="2"/>
    <n v="7223"/>
    <n v="483"/>
    <n v="6593"/>
    <n v="16"/>
    <n v="2"/>
    <n v="126441"/>
    <n v="145"/>
    <n v="75074"/>
    <n v="33"/>
    <n v="8"/>
    <n v="2"/>
    <n v="0"/>
    <n v="245"/>
    <n v="70"/>
    <n v="315"/>
    <n v="1.016842105263158"/>
    <n v="25"/>
    <x v="28"/>
    <s v="sábado"/>
    <n v="0.86206896551724133"/>
    <n v="34.059425352703933"/>
    <n v="-9.0594253527039328"/>
    <n v="273"/>
    <n v="442"/>
    <n v="0.24683544303797469"/>
    <n v="0.22323232323232323"/>
  </r>
  <r>
    <x v="28"/>
    <x v="3"/>
    <n v="8683"/>
    <n v="605"/>
    <n v="7768"/>
    <n v="23"/>
    <n v="3"/>
    <n v="137290"/>
    <n v="309"/>
    <n v="68012"/>
    <n v="30"/>
    <n v="10"/>
    <n v="1"/>
    <n v="1"/>
    <n v="368"/>
    <n v="86"/>
    <n v="454"/>
    <n v="1.0168067226890756"/>
    <n v="20"/>
    <x v="28"/>
    <s v="sábado"/>
    <n v="1.3333333333333333"/>
    <n v="16.194711315760539"/>
    <n v="3.8052886842394607"/>
    <n v="296"/>
    <n v="573"/>
    <n v="0.18865519439133205"/>
    <n v="0.20240197809961144"/>
  </r>
  <r>
    <x v="28"/>
    <x v="4"/>
    <n v="7064"/>
    <n v="710"/>
    <n v="6274"/>
    <n v="35"/>
    <n v="9"/>
    <n v="116039"/>
    <n v="83"/>
    <n v="46508"/>
    <n v="26"/>
    <n v="-63"/>
    <n v="3"/>
    <n v="-3"/>
    <n v="288"/>
    <n v="88"/>
    <n v="376"/>
    <n v="0.91849935316946962"/>
    <n v="86"/>
    <x v="28"/>
    <s v="sábado"/>
    <n v="1.4827586206896552"/>
    <n v="63.32916218003794"/>
    <n v="22.67083781996206"/>
    <n v="282"/>
    <n v="592"/>
    <n v="0.21444866920152092"/>
    <n v="0.2435211846976553"/>
  </r>
  <r>
    <x v="28"/>
    <x v="5"/>
    <n v="10523"/>
    <n v="1332"/>
    <n v="8996"/>
    <n v="76"/>
    <n v="11"/>
    <n v="191595"/>
    <n v="197"/>
    <n v="92859"/>
    <n v="66"/>
    <n v="-24"/>
    <n v="-3"/>
    <n v="3"/>
    <n v="596"/>
    <n v="139"/>
    <n v="735"/>
    <n v="0.98230088495575218"/>
    <n v="86"/>
    <x v="28"/>
    <s v="sábado"/>
    <n v="1.0617283950617284"/>
    <n v="76.953591936289996"/>
    <n v="9.0464080637100039"/>
    <n v="675"/>
    <n v="1244"/>
    <n v="0.39752650176678445"/>
    <n v="0.39094908862350725"/>
  </r>
  <r>
    <x v="28"/>
    <x v="6"/>
    <n v="12769"/>
    <n v="1173"/>
    <n v="11326"/>
    <n v="43"/>
    <n v="12"/>
    <n v="243394"/>
    <n v="271"/>
    <n v="58559"/>
    <n v="85"/>
    <n v="-2"/>
    <n v="2"/>
    <n v="1"/>
    <n v="1047"/>
    <n v="67"/>
    <n v="1114"/>
    <n v="0.99829787234042555"/>
    <n v="87"/>
    <x v="28"/>
    <s v="sábado"/>
    <n v="1.1447368421052631"/>
    <n v="86.448150198837823"/>
    <n v="0.5518498011621773"/>
    <n v="582"/>
    <n v="1098"/>
    <n v="0.30015471892728213"/>
    <n v="0.30222956234516929"/>
  </r>
  <r>
    <x v="28"/>
    <x v="7"/>
    <n v="64251"/>
    <n v="5732"/>
    <n v="57115"/>
    <n v="311"/>
    <n v="57"/>
    <n v="1128337"/>
    <n v="1409"/>
    <n v="448949"/>
    <n v="297"/>
    <n v="-101"/>
    <n v="14"/>
    <n v="0"/>
    <n v="3318"/>
    <n v="588"/>
    <n v="3906"/>
    <n v="0.98268472484141955"/>
    <n v="391"/>
    <x v="28"/>
    <s v="sábado"/>
    <n v="1.1602373887240356"/>
    <n v="350.33621513889454"/>
    <n v="40.663784861105455"/>
    <n v="2876"/>
    <n v="5184"/>
    <n v="0.25352609308885754"/>
    <n v="0.24853773132610987"/>
  </r>
  <r>
    <x v="29"/>
    <x v="0"/>
    <n v="14058"/>
    <n v="1193"/>
    <n v="12554"/>
    <n v="83"/>
    <n v="19"/>
    <n v="236832"/>
    <n v="315"/>
    <n v="77770"/>
    <n v="118"/>
    <n v="59"/>
    <n v="6"/>
    <n v="1"/>
    <n v="826"/>
    <n v="119"/>
    <n v="945"/>
    <n v="1.0520282186948853"/>
    <n v="58"/>
    <x v="29"/>
    <s v="domingo"/>
    <n v="1.0943396226415094"/>
    <n v="57.75928948477349"/>
    <n v="0.24071051522651032"/>
    <n v="698"/>
    <n v="1055"/>
    <n v="0.23430681436723733"/>
    <n v="0.19404083134081296"/>
  </r>
  <r>
    <x v="29"/>
    <x v="1"/>
    <n v="4103"/>
    <n v="343"/>
    <n v="3668"/>
    <n v="45"/>
    <n v="1"/>
    <n v="77922"/>
    <n v="90"/>
    <n v="30308"/>
    <n v="54"/>
    <n v="48"/>
    <n v="4"/>
    <n v="-1"/>
    <n v="350"/>
    <n v="22"/>
    <n v="372"/>
    <n v="1.1627118644067798"/>
    <n v="6"/>
    <x v="29"/>
    <s v="domingo"/>
    <n v="0.46153846153846156"/>
    <n v="17.70837720771933"/>
    <n v="-11.70837720771933"/>
    <n v="178"/>
    <n v="286"/>
    <n v="0.21317365269461078"/>
    <n v="0.17449664429530201"/>
  </r>
  <r>
    <x v="29"/>
    <x v="2"/>
    <n v="7283"/>
    <n v="507"/>
    <n v="6629"/>
    <n v="17"/>
    <n v="0"/>
    <n v="127325"/>
    <n v="145"/>
    <n v="75158"/>
    <n v="60"/>
    <n v="24"/>
    <n v="1"/>
    <n v="-2"/>
    <n v="884"/>
    <n v="84"/>
    <n v="968"/>
    <n v="1.0496894409937889"/>
    <n v="36"/>
    <x v="29"/>
    <s v="domingo"/>
    <n v="2.1176470588235294"/>
    <n v="18.584096635328912"/>
    <n v="17.415903364671088"/>
    <n v="290"/>
    <n v="485"/>
    <n v="0.26220614828209765"/>
    <n v="0.24494949494949494"/>
  </r>
  <r>
    <x v="29"/>
    <x v="3"/>
    <n v="8770"/>
    <n v="670"/>
    <n v="7790"/>
    <n v="25"/>
    <n v="3"/>
    <n v="138003"/>
    <n v="309"/>
    <n v="68096"/>
    <n v="87"/>
    <n v="65"/>
    <n v="2"/>
    <n v="0"/>
    <n v="713"/>
    <n v="84"/>
    <n v="797"/>
    <n v="1.1074380165289257"/>
    <n v="22"/>
    <x v="29"/>
    <s v="domingo"/>
    <n v="0.5"/>
    <n v="48.409248430992811"/>
    <n v="-26.409248430992811"/>
    <n v="362"/>
    <n v="616"/>
    <n v="0.23072020395156151"/>
    <n v="0.21759095725891911"/>
  </r>
  <r>
    <x v="29"/>
    <x v="4"/>
    <n v="7123"/>
    <n v="731"/>
    <n v="6312"/>
    <n v="39"/>
    <n v="8"/>
    <n v="116387"/>
    <n v="83"/>
    <n v="46572"/>
    <n v="59"/>
    <n v="21"/>
    <n v="4"/>
    <n v="-1"/>
    <n v="348"/>
    <n v="64"/>
    <n v="412"/>
    <n v="1.0295774647887324"/>
    <n v="38"/>
    <x v="29"/>
    <s v="domingo"/>
    <n v="1.4615384615384615"/>
    <n v="28.883942092955362"/>
    <n v="9.1160579070446381"/>
    <n v="304"/>
    <n v="625"/>
    <n v="0.23117870722433459"/>
    <n v="0.25709584533113944"/>
  </r>
  <r>
    <x v="29"/>
    <x v="5"/>
    <n v="10576"/>
    <n v="1327"/>
    <n v="9051"/>
    <n v="74"/>
    <n v="12"/>
    <n v="192423"/>
    <n v="200"/>
    <n v="93010"/>
    <n v="53"/>
    <n v="-5"/>
    <n v="-2"/>
    <n v="1"/>
    <n v="828"/>
    <n v="151"/>
    <n v="979"/>
    <n v="0.99624624624624625"/>
    <n v="55"/>
    <x v="29"/>
    <s v="domingo"/>
    <n v="0.859375"/>
    <n v="60.381728318674924"/>
    <n v="-5.3817283186749236"/>
    <n v="652"/>
    <n v="1233"/>
    <n v="0.38398115429917551"/>
    <n v="0.38749214330609677"/>
  </r>
  <r>
    <x v="29"/>
    <x v="6"/>
    <n v="12802"/>
    <n v="1134"/>
    <n v="11397"/>
    <n v="51"/>
    <n v="11"/>
    <n v="244550"/>
    <n v="272"/>
    <n v="58615"/>
    <n v="33"/>
    <n v="-39"/>
    <n v="8"/>
    <n v="-1"/>
    <n v="1156"/>
    <n v="56"/>
    <n v="1212"/>
    <n v="0.96675191815856776"/>
    <n v="71"/>
    <x v="29"/>
    <s v="domingo"/>
    <n v="1.0289855072463767"/>
    <n v="79.794927821397977"/>
    <n v="-8.7949278213979767"/>
    <n v="563"/>
    <n v="1062"/>
    <n v="0.29035585353274884"/>
    <n v="0.29232039636663915"/>
  </r>
  <r>
    <x v="29"/>
    <x v="7"/>
    <n v="64715"/>
    <n v="5905"/>
    <n v="57401"/>
    <n v="334"/>
    <n v="54"/>
    <n v="1133442"/>
    <n v="1414"/>
    <n v="449529"/>
    <n v="464"/>
    <n v="173"/>
    <n v="23"/>
    <n v="-3"/>
    <n v="5105"/>
    <n v="580"/>
    <n v="5685"/>
    <n v="1.0301814375436147"/>
    <n v="286"/>
    <x v="29"/>
    <s v="domingo"/>
    <n v="1"/>
    <n v="294.86311395344421"/>
    <n v="-8.8631139534442127"/>
    <n v="3047"/>
    <n v="5362"/>
    <n v="0.26860014104372354"/>
    <n v="0.25707162719340299"/>
  </r>
  <r>
    <x v="30"/>
    <x v="0"/>
    <n v="14144"/>
    <n v="1224"/>
    <n v="12604"/>
    <n v="81"/>
    <n v="17"/>
    <n v="237316"/>
    <n v="321"/>
    <n v="77919"/>
    <n v="86"/>
    <n v="31"/>
    <n v="-2"/>
    <n v="-2"/>
    <n v="484"/>
    <n v="149"/>
    <n v="633"/>
    <n v="1.0259849119865885"/>
    <n v="50"/>
    <x v="30"/>
    <s v="lunes"/>
    <n v="2.1739130434782608"/>
    <n v="25.065352040562079"/>
    <n v="24.934647959437921"/>
    <n v="730"/>
    <n v="1118"/>
    <n v="0.2450486740516952"/>
    <n v="0.20562810373367665"/>
  </r>
  <r>
    <x v="30"/>
    <x v="1"/>
    <n v="4125"/>
    <n v="348"/>
    <n v="3685"/>
    <n v="50"/>
    <n v="1"/>
    <n v="78261"/>
    <n v="90"/>
    <n v="30348"/>
    <n v="22"/>
    <n v="5"/>
    <n v="5"/>
    <n v="0"/>
    <n v="339"/>
    <n v="40"/>
    <n v="379"/>
    <n v="1.0145772594752187"/>
    <n v="17"/>
    <x v="30"/>
    <s v="lunes"/>
    <n v="1.4166666666666667"/>
    <n v="15.765608265000994"/>
    <n v="1.2343917349990061"/>
    <n v="171"/>
    <n v="296"/>
    <n v="0.20479041916167665"/>
    <n v="0.18059792556436852"/>
  </r>
  <r>
    <x v="30"/>
    <x v="2"/>
    <n v="7328"/>
    <n v="531"/>
    <n v="6649"/>
    <n v="17"/>
    <n v="0"/>
    <n v="128312"/>
    <n v="145"/>
    <n v="75322"/>
    <n v="45"/>
    <n v="24"/>
    <n v="0"/>
    <n v="0"/>
    <n v="987"/>
    <n v="164"/>
    <n v="1151"/>
    <n v="1.0473372781065089"/>
    <n v="20"/>
    <x v="30"/>
    <s v="lunes"/>
    <n v="1.1764705882352942"/>
    <n v="20.359958704294428"/>
    <n v="-0.35995870429442789"/>
    <n v="319"/>
    <n v="513"/>
    <n v="0.2884267631103074"/>
    <n v="0.25909090909090909"/>
  </r>
  <r>
    <x v="30"/>
    <x v="3"/>
    <n v="8832"/>
    <n v="688"/>
    <n v="7834"/>
    <n v="28"/>
    <n v="2"/>
    <n v="138494"/>
    <n v="310"/>
    <n v="68234"/>
    <n v="62"/>
    <n v="18"/>
    <n v="3"/>
    <n v="-1"/>
    <n v="491"/>
    <n v="138"/>
    <n v="629"/>
    <n v="1.026865671641791"/>
    <n v="44"/>
    <x v="30"/>
    <s v="lunes"/>
    <n v="0.86274509803921573"/>
    <n v="54.130906107690848"/>
    <n v="-10.130906107690848"/>
    <n v="397"/>
    <n v="627"/>
    <n v="0.25302740599107709"/>
    <n v="0.22147651006711411"/>
  </r>
  <r>
    <x v="30"/>
    <x v="4"/>
    <n v="7167"/>
    <n v="751"/>
    <n v="6336"/>
    <n v="37"/>
    <n v="11"/>
    <n v="116987"/>
    <n v="83"/>
    <n v="46682"/>
    <n v="44"/>
    <n v="20"/>
    <n v="-2"/>
    <n v="3"/>
    <n v="600"/>
    <n v="110"/>
    <n v="710"/>
    <n v="1.027359781121751"/>
    <n v="24"/>
    <x v="30"/>
    <s v="lunes"/>
    <n v="0.53333333333333333"/>
    <n v="50.403526149895264"/>
    <n v="-26.403526149895264"/>
    <n v="309"/>
    <n v="624"/>
    <n v="0.23498098859315589"/>
    <n v="0.25668449197860965"/>
  </r>
  <r>
    <x v="30"/>
    <x v="5"/>
    <n v="10636"/>
    <n v="1336"/>
    <n v="9102"/>
    <n v="80"/>
    <n v="13"/>
    <n v="193006"/>
    <n v="200"/>
    <n v="93241"/>
    <n v="60"/>
    <n v="9"/>
    <n v="6"/>
    <n v="1"/>
    <n v="583"/>
    <n v="231"/>
    <n v="814"/>
    <n v="1.0067822155237378"/>
    <n v="51"/>
    <x v="30"/>
    <s v="lunes"/>
    <n v="0.92727272727272725"/>
    <n v="51.588852295137855"/>
    <n v="-0.58885229513785475"/>
    <n v="640"/>
    <n v="1238"/>
    <n v="0.37691401648998824"/>
    <n v="0.38906348208673791"/>
  </r>
  <r>
    <x v="30"/>
    <x v="6"/>
    <n v="12834"/>
    <n v="1113"/>
    <n v="11450"/>
    <n v="49"/>
    <n v="12"/>
    <n v="245275"/>
    <n v="272"/>
    <n v="58724"/>
    <n v="32"/>
    <n v="-21"/>
    <n v="-2"/>
    <n v="1"/>
    <n v="725"/>
    <n v="109"/>
    <n v="834"/>
    <n v="0.98148148148148151"/>
    <n v="53"/>
    <x v="30"/>
    <s v="lunes"/>
    <n v="1.1521739130434783"/>
    <n v="52.485926723699286"/>
    <n v="0.51407327630071364"/>
    <n v="518"/>
    <n v="1048"/>
    <n v="0.26714801444043323"/>
    <n v="0.288466831819433"/>
  </r>
  <r>
    <x v="30"/>
    <x v="7"/>
    <n v="65066"/>
    <n v="5991"/>
    <n v="57660"/>
    <n v="342"/>
    <n v="56"/>
    <n v="1137651"/>
    <n v="1421"/>
    <n v="450470"/>
    <n v="351"/>
    <n v="86"/>
    <n v="8"/>
    <n v="2"/>
    <n v="4209"/>
    <n v="941"/>
    <n v="5150"/>
    <n v="1.0145639288738357"/>
    <n v="259"/>
    <x v="30"/>
    <s v="lunes"/>
    <n v="1.0401606425702812"/>
    <n v="255.28843727096591"/>
    <n v="3.7115627290340854"/>
    <n v="3084"/>
    <n v="5464"/>
    <n v="0.27186177715091681"/>
    <n v="0.26196183718477323"/>
  </r>
  <r>
    <x v="31"/>
    <x v="0"/>
    <n v="14331"/>
    <n v="1377"/>
    <n v="12637"/>
    <n v="79"/>
    <n v="18"/>
    <n v="238580"/>
    <n v="322"/>
    <n v="78160"/>
    <n v="187"/>
    <n v="153"/>
    <n v="-2"/>
    <n v="1"/>
    <n v="1264"/>
    <n v="241"/>
    <n v="1505"/>
    <n v="1.125"/>
    <n v="33"/>
    <x v="31"/>
    <s v="martes"/>
    <n v="0.515625"/>
    <n v="74.866421927875962"/>
    <n v="-41.866421927875962"/>
    <n v="796"/>
    <n v="1241"/>
    <n v="0.26720375965088955"/>
    <n v="0.22825087364355343"/>
  </r>
  <r>
    <x v="31"/>
    <x v="1"/>
    <n v="4180"/>
    <n v="387"/>
    <n v="3700"/>
    <n v="46"/>
    <n v="1"/>
    <n v="78862"/>
    <n v="91"/>
    <n v="30389"/>
    <n v="55"/>
    <n v="39"/>
    <n v="-4"/>
    <n v="0"/>
    <n v="601"/>
    <n v="41"/>
    <n v="642"/>
    <n v="1.1120689655172413"/>
    <n v="15"/>
    <x v="31"/>
    <s v="martes"/>
    <n v="0.88235294117647056"/>
    <n v="22.30931408970379"/>
    <n v="-7.3093140897037898"/>
    <n v="211"/>
    <n v="334"/>
    <n v="0.25269461077844313"/>
    <n v="0.20378279438682123"/>
  </r>
  <r>
    <x v="31"/>
    <x v="2"/>
    <n v="7391"/>
    <n v="575"/>
    <n v="6668"/>
    <n v="18"/>
    <n v="0"/>
    <n v="129326"/>
    <n v="145"/>
    <n v="75446"/>
    <n v="63"/>
    <n v="44"/>
    <n v="1"/>
    <n v="0"/>
    <n v="1014"/>
    <n v="124"/>
    <n v="1138"/>
    <n v="1.0828625235404896"/>
    <n v="19"/>
    <x v="31"/>
    <s v="martes"/>
    <n v="0.73076923076923073"/>
    <n v="30.847443844663189"/>
    <n v="-11.847443844663189"/>
    <n v="332"/>
    <n v="550"/>
    <n v="0.30018083182640143"/>
    <n v="0.27777777777777779"/>
  </r>
  <r>
    <x v="31"/>
    <x v="3"/>
    <n v="8927"/>
    <n v="734"/>
    <n v="7881"/>
    <n v="31"/>
    <n v="1"/>
    <n v="139315"/>
    <n v="312"/>
    <n v="68540"/>
    <n v="95"/>
    <n v="46"/>
    <n v="3"/>
    <n v="-1"/>
    <n v="821"/>
    <n v="306"/>
    <n v="1127"/>
    <n v="1.066860465116279"/>
    <n v="47"/>
    <x v="31"/>
    <s v="martes"/>
    <n v="1.7407407407407407"/>
    <n v="28.480494982910436"/>
    <n v="18.519505017089564"/>
    <n v="443"/>
    <n v="695"/>
    <n v="0.28234544295729763"/>
    <n v="0.24549629106322854"/>
  </r>
  <r>
    <x v="31"/>
    <x v="4"/>
    <n v="7200"/>
    <n v="743"/>
    <n v="6377"/>
    <n v="44"/>
    <n v="11"/>
    <n v="117753"/>
    <n v="83"/>
    <n v="46801"/>
    <n v="33"/>
    <n v="-8"/>
    <n v="7"/>
    <n v="0"/>
    <n v="766"/>
    <n v="119"/>
    <n v="885"/>
    <n v="0.98934753661784292"/>
    <n v="41"/>
    <x v="31"/>
    <s v="martes"/>
    <n v="1.1388888888888888"/>
    <n v="39.356587153682447"/>
    <n v="1.6434128463175526"/>
    <n v="289"/>
    <n v="621"/>
    <n v="0.21977186311787072"/>
    <n v="0.25545043192102018"/>
  </r>
  <r>
    <x v="31"/>
    <x v="5"/>
    <n v="10792"/>
    <n v="1442"/>
    <n v="9151"/>
    <n v="83"/>
    <n v="13"/>
    <n v="194985"/>
    <n v="201"/>
    <n v="93535"/>
    <n v="156"/>
    <n v="106"/>
    <n v="3"/>
    <n v="0"/>
    <n v="1979"/>
    <n v="294"/>
    <n v="2273"/>
    <n v="1.0793413173652695"/>
    <n v="49"/>
    <x v="31"/>
    <s v="martes"/>
    <n v="0.61250000000000004"/>
    <n v="76.644724217503239"/>
    <n v="-27.644724217503239"/>
    <n v="675"/>
    <n v="1314"/>
    <n v="0.39752650176678445"/>
    <n v="0.41294783155248271"/>
  </r>
  <r>
    <x v="31"/>
    <x v="6"/>
    <n v="12929"/>
    <n v="1146"/>
    <n v="11511"/>
    <n v="41"/>
    <n v="13"/>
    <n v="246582"/>
    <n v="273"/>
    <n v="58862"/>
    <n v="95"/>
    <n v="33"/>
    <n v="-8"/>
    <n v="1"/>
    <n v="1307"/>
    <n v="138"/>
    <n v="1445"/>
    <n v="1.0296495956873315"/>
    <n v="61"/>
    <x v="31"/>
    <s v="martes"/>
    <n v="0.66304347826086951"/>
    <n v="107.28613916168426"/>
    <n v="-46.286139161684261"/>
    <n v="538"/>
    <n v="1051"/>
    <n v="0.27746260959257352"/>
    <n v="0.28929259565097715"/>
  </r>
  <r>
    <x v="31"/>
    <x v="7"/>
    <n v="65750"/>
    <n v="6404"/>
    <n v="57925"/>
    <n v="342"/>
    <n v="57"/>
    <n v="1145403"/>
    <n v="1427"/>
    <n v="451733"/>
    <n v="684"/>
    <n v="413"/>
    <n v="0"/>
    <n v="1"/>
    <n v="7752"/>
    <n v="1263"/>
    <n v="9015"/>
    <n v="1.0689367384409949"/>
    <n v="265"/>
    <x v="31"/>
    <s v="martes"/>
    <n v="0.77485380116959068"/>
    <n v="353.94916839132634"/>
    <n v="-88.949168391326339"/>
    <n v="3284"/>
    <n v="5806"/>
    <n v="0.28949224259520451"/>
    <n v="0.27835842362642632"/>
  </r>
  <r>
    <x v="32"/>
    <x v="0"/>
    <n v="14489"/>
    <n v="1470"/>
    <n v="12700"/>
    <n v="85"/>
    <n v="19"/>
    <n v="239718"/>
    <n v="324"/>
    <n v="78249"/>
    <n v="158"/>
    <n v="93"/>
    <n v="6"/>
    <n v="1"/>
    <n v="1138"/>
    <n v="89"/>
    <n v="1227"/>
    <n v="1.0675381263616557"/>
    <n v="63"/>
    <x v="32"/>
    <s v="miércoles"/>
    <n v="1.05"/>
    <n v="67.837821469237809"/>
    <n v="-4.8378214692378094"/>
    <n v="820"/>
    <n v="1339"/>
    <n v="0.27526015441423296"/>
    <n v="0.24627551958800808"/>
  </r>
  <r>
    <x v="32"/>
    <x v="1"/>
    <n v="4211"/>
    <n v="399"/>
    <n v="3718"/>
    <n v="44"/>
    <n v="3"/>
    <n v="79320"/>
    <n v="92"/>
    <n v="30418"/>
    <n v="31"/>
    <n v="12"/>
    <n v="-2"/>
    <n v="2"/>
    <n v="458"/>
    <n v="29"/>
    <n v="487"/>
    <n v="1.0310077519379846"/>
    <n v="18"/>
    <x v="32"/>
    <s v="miércoles"/>
    <n v="0.9"/>
    <n v="26.470341506094101"/>
    <n v="-8.4703415060941012"/>
    <n v="218"/>
    <n v="345"/>
    <n v="0.26107784431137726"/>
    <n v="0.21049420378279438"/>
  </r>
  <r>
    <x v="32"/>
    <x v="2"/>
    <n v="7460"/>
    <n v="619"/>
    <n v="6693"/>
    <n v="19"/>
    <n v="0"/>
    <n v="130505"/>
    <n v="145"/>
    <n v="75518"/>
    <n v="69"/>
    <n v="44"/>
    <n v="1"/>
    <n v="0"/>
    <n v="1179"/>
    <n v="72"/>
    <n v="1251"/>
    <n v="1.0765217391304347"/>
    <n v="25"/>
    <x v="32"/>
    <s v="miércoles"/>
    <n v="0.7142857142857143"/>
    <n v="40.935661585764542"/>
    <n v="-15.935661585764542"/>
    <n v="352"/>
    <n v="584"/>
    <n v="0.31826401446654612"/>
    <n v="0.29494949494949496"/>
  </r>
  <r>
    <x v="32"/>
    <x v="3"/>
    <n v="9007"/>
    <n v="764"/>
    <n v="7931"/>
    <n v="32"/>
    <n v="2"/>
    <n v="140160"/>
    <n v="312"/>
    <n v="68633"/>
    <n v="80"/>
    <n v="30"/>
    <n v="1"/>
    <n v="1"/>
    <n v="845"/>
    <n v="93"/>
    <n v="938"/>
    <n v="1.0408719346049047"/>
    <n v="50"/>
    <x v="32"/>
    <s v="miércoles"/>
    <n v="1.1111111111111112"/>
    <n v="49.281217128380135"/>
    <n v="0.7187828716198652"/>
    <n v="454"/>
    <n v="730"/>
    <n v="0.28935627788400253"/>
    <n v="0.25785941363475806"/>
  </r>
  <r>
    <x v="32"/>
    <x v="4"/>
    <n v="7250"/>
    <n v="735"/>
    <n v="6435"/>
    <n v="46"/>
    <n v="10"/>
    <n v="118495"/>
    <n v="83"/>
    <n v="46878"/>
    <n v="50"/>
    <n v="-8"/>
    <n v="2"/>
    <n v="-1"/>
    <n v="742"/>
    <n v="77"/>
    <n v="819"/>
    <n v="0.98923283983849264"/>
    <n v="58"/>
    <x v="32"/>
    <s v="miércoles"/>
    <n v="0.96666666666666667"/>
    <n v="66.278835732327892"/>
    <n v="-8.2788357323278916"/>
    <n v="309"/>
    <n v="611"/>
    <n v="0.23498098859315589"/>
    <n v="0.25133689839572193"/>
  </r>
  <r>
    <x v="32"/>
    <x v="5"/>
    <n v="10898"/>
    <n v="1453"/>
    <n v="9245"/>
    <n v="91"/>
    <n v="9"/>
    <n v="197078"/>
    <n v="202"/>
    <n v="93644"/>
    <n v="106"/>
    <n v="11"/>
    <n v="8"/>
    <n v="-4"/>
    <n v="2093"/>
    <n v="109"/>
    <n v="2202"/>
    <n v="1.007628294036061"/>
    <n v="94"/>
    <x v="32"/>
    <s v="miércoles"/>
    <n v="0.82456140350877194"/>
    <n v="105.60245842503643"/>
    <n v="-11.602458425036431"/>
    <n v="666"/>
    <n v="1306"/>
    <n v="0.392226148409894"/>
    <n v="0.41043368950345693"/>
  </r>
  <r>
    <x v="32"/>
    <x v="6"/>
    <n v="13113"/>
    <n v="1260"/>
    <n v="11581"/>
    <n v="45"/>
    <n v="14"/>
    <n v="248071"/>
    <n v="273"/>
    <n v="58939"/>
    <n v="184"/>
    <n v="114"/>
    <n v="4"/>
    <n v="1"/>
    <n v="1489"/>
    <n v="77"/>
    <n v="1566"/>
    <n v="1.0994764397905759"/>
    <n v="70"/>
    <x v="32"/>
    <s v="miércoles"/>
    <n v="0.59829059829059827"/>
    <n v="129.60409603546137"/>
    <n v="-59.604096035461367"/>
    <n v="631"/>
    <n v="1118"/>
    <n v="0.32542547705002578"/>
    <n v="0.30773465455546378"/>
  </r>
  <r>
    <x v="32"/>
    <x v="7"/>
    <n v="66428"/>
    <n v="6700"/>
    <n v="58303"/>
    <n v="362"/>
    <n v="57"/>
    <n v="1153347"/>
    <n v="1431"/>
    <n v="452279"/>
    <n v="678"/>
    <n v="296"/>
    <n v="20"/>
    <n v="0"/>
    <n v="7944"/>
    <n v="546"/>
    <n v="8490"/>
    <n v="1.0462211118051219"/>
    <n v="378"/>
    <x v="32"/>
    <s v="miércoles"/>
    <n v="0.83813747228381374"/>
    <n v="456.30201529298967"/>
    <n v="-78.302015292989665"/>
    <n v="3450"/>
    <n v="6033"/>
    <n v="0.30412552891396333"/>
    <n v="0.2892415380189855"/>
  </r>
  <r>
    <x v="33"/>
    <x v="0"/>
    <n v="14640"/>
    <n v="1557"/>
    <n v="12764"/>
    <n v="88"/>
    <n v="21"/>
    <n v="240574"/>
    <n v="324"/>
    <n v="78450"/>
    <n v="151"/>
    <n v="87"/>
    <n v="3"/>
    <n v="2"/>
    <n v="856"/>
    <n v="201"/>
    <n v="1057"/>
    <n v="1.0591836734693878"/>
    <n v="64"/>
    <x v="33"/>
    <s v="jueves"/>
    <n v="0.95522388059701491"/>
    <n v="73.87690174806859"/>
    <n v="-9.8769017480685903"/>
    <n v="864"/>
    <n v="1423"/>
    <n v="0.29003021148036257"/>
    <n v="0.26172521611182636"/>
  </r>
  <r>
    <x v="33"/>
    <x v="1"/>
    <n v="4261"/>
    <n v="432"/>
    <n v="3735"/>
    <n v="43"/>
    <n v="3"/>
    <n v="79637"/>
    <n v="92"/>
    <n v="30461"/>
    <n v="50"/>
    <n v="33"/>
    <n v="-1"/>
    <n v="0"/>
    <n v="317"/>
    <n v="43"/>
    <n v="360"/>
    <n v="1.0827067669172932"/>
    <n v="17"/>
    <x v="33"/>
    <s v="jueves"/>
    <n v="0.77272727272727271"/>
    <n v="27.192375656703501"/>
    <n v="-10.192375656703501"/>
    <n v="244"/>
    <n v="373"/>
    <n v="0.29221556886227545"/>
    <n v="0.22757779133618058"/>
  </r>
  <r>
    <x v="33"/>
    <x v="2"/>
    <n v="7502"/>
    <n v="626"/>
    <n v="6728"/>
    <n v="17"/>
    <n v="0"/>
    <n v="131040"/>
    <n v="145"/>
    <n v="75694"/>
    <n v="42"/>
    <n v="7"/>
    <n v="-2"/>
    <n v="0"/>
    <n v="535"/>
    <n v="176"/>
    <n v="711"/>
    <n v="1.0113085621970921"/>
    <n v="35"/>
    <x v="33"/>
    <s v="jueves"/>
    <n v="1.25"/>
    <n v="32.077100697183063"/>
    <n v="2.922899302816937"/>
    <n v="347"/>
    <n v="598"/>
    <n v="0.31374321880650996"/>
    <n v="0.30202020202020202"/>
  </r>
  <r>
    <x v="33"/>
    <x v="3"/>
    <n v="9109"/>
    <n v="818"/>
    <n v="7978"/>
    <n v="32"/>
    <n v="2"/>
    <n v="140922"/>
    <n v="313"/>
    <n v="68887"/>
    <n v="102"/>
    <n v="54"/>
    <n v="0"/>
    <n v="0"/>
    <n v="762"/>
    <n v="254"/>
    <n v="1016"/>
    <n v="1.0706806282722514"/>
    <n v="47"/>
    <x v="33"/>
    <s v="jueves"/>
    <n v="0.90384615384615385"/>
    <n v="57.719329654545973"/>
    <n v="-10.719329654545973"/>
    <n v="487"/>
    <n v="780"/>
    <n v="0.31038878266411729"/>
    <n v="0.27552101730837159"/>
  </r>
  <r>
    <x v="33"/>
    <x v="4"/>
    <n v="7305"/>
    <n v="717"/>
    <n v="6507"/>
    <n v="39"/>
    <n v="12"/>
    <n v="118973"/>
    <n v="84"/>
    <n v="46976"/>
    <n v="55"/>
    <n v="-18"/>
    <n v="-7"/>
    <n v="2"/>
    <n v="478"/>
    <n v="98"/>
    <n v="576"/>
    <n v="0.97551020408163269"/>
    <n v="72"/>
    <x v="33"/>
    <s v="jueves"/>
    <n v="1.2413793103448276"/>
    <n v="60.957086995462745"/>
    <n v="11.042913004537255"/>
    <n v="313"/>
    <n v="608"/>
    <n v="0.23802281368821293"/>
    <n v="0.25010283833813246"/>
  </r>
  <r>
    <x v="33"/>
    <x v="5"/>
    <n v="11077"/>
    <n v="1517"/>
    <n v="9360"/>
    <n v="92"/>
    <n v="9"/>
    <n v="199738"/>
    <n v="202"/>
    <n v="93851"/>
    <n v="179"/>
    <n v="64"/>
    <n v="1"/>
    <n v="0"/>
    <n v="2660"/>
    <n v="207"/>
    <n v="2867"/>
    <n v="1.0440467997247076"/>
    <n v="115"/>
    <x v="33"/>
    <s v="jueves"/>
    <n v="1.4743589743589745"/>
    <n v="72.289857063199918"/>
    <n v="42.710142936800082"/>
    <n v="742"/>
    <n v="1407"/>
    <n v="0.43698468786808009"/>
    <n v="0.44217473287240727"/>
  </r>
  <r>
    <x v="33"/>
    <x v="6"/>
    <n v="13191"/>
    <n v="1222"/>
    <n v="11694"/>
    <n v="39"/>
    <n v="16"/>
    <n v="248732"/>
    <n v="276"/>
    <n v="59037"/>
    <n v="78"/>
    <n v="-38"/>
    <n v="-6"/>
    <n v="2"/>
    <n v="661"/>
    <n v="98"/>
    <n v="759"/>
    <n v="0.96984126984126984"/>
    <n v="113"/>
    <x v="33"/>
    <s v="jueves"/>
    <n v="1.7384615384615385"/>
    <n v="68.976481924462661"/>
    <n v="44.023518075537339"/>
    <n v="578"/>
    <n v="1131"/>
    <n v="0.29809179989685403"/>
    <n v="0.31131296449215523"/>
  </r>
  <r>
    <x v="33"/>
    <x v="7"/>
    <n v="67085"/>
    <n v="6889"/>
    <n v="58766"/>
    <n v="350"/>
    <n v="63"/>
    <n v="1159616"/>
    <n v="1436"/>
    <n v="453356"/>
    <n v="657"/>
    <n v="189"/>
    <n v="-12"/>
    <n v="6"/>
    <n v="6269"/>
    <n v="1077"/>
    <n v="7346"/>
    <n v="1.0282089552238807"/>
    <n v="463"/>
    <x v="33"/>
    <s v="jueves"/>
    <n v="1.2513513513513514"/>
    <n v="363.51103420762064"/>
    <n v="99.488965792379361"/>
    <n v="3575"/>
    <n v="6320"/>
    <n v="0.31514456981664318"/>
    <n v="0.30300124652411542"/>
  </r>
  <r>
    <x v="34"/>
    <x v="0"/>
    <n v="14839"/>
    <n v="1696"/>
    <n v="12822"/>
    <n v="84"/>
    <n v="18"/>
    <n v="242068"/>
    <n v="326"/>
    <n v="78718"/>
    <n v="199"/>
    <n v="139"/>
    <n v="-4"/>
    <n v="-3"/>
    <n v="1494"/>
    <n v="268"/>
    <n v="1762"/>
    <n v="1.0892742453436095"/>
    <n v="58"/>
    <x v="34"/>
    <s v="viernes"/>
    <n v="0.98305084745762716"/>
    <n v="64.57305985738833"/>
    <n v="-6.5730598573883299"/>
    <n v="945"/>
    <n v="1563"/>
    <n v="0.31722054380664655"/>
    <n v="0.28747471031819016"/>
  </r>
  <r>
    <x v="34"/>
    <x v="1"/>
    <n v="4294"/>
    <n v="437"/>
    <n v="3762"/>
    <n v="35"/>
    <n v="4"/>
    <n v="80005"/>
    <n v="93"/>
    <n v="30507"/>
    <n v="33"/>
    <n v="5"/>
    <n v="-8"/>
    <n v="1"/>
    <n v="368"/>
    <n v="46"/>
    <n v="414"/>
    <n v="1.0115740740740742"/>
    <n v="27"/>
    <x v="34"/>
    <s v="viernes"/>
    <n v="2.25"/>
    <n v="14.78646803183263"/>
    <n v="12.21353196816737"/>
    <n v="256"/>
    <n v="394"/>
    <n v="0.30658682634730539"/>
    <n v="0.24039048200122026"/>
  </r>
  <r>
    <x v="34"/>
    <x v="2"/>
    <n v="7598"/>
    <n v="699"/>
    <n v="6750"/>
    <n v="18"/>
    <n v="0"/>
    <n v="131831"/>
    <n v="146"/>
    <n v="75975"/>
    <n v="96"/>
    <n v="73"/>
    <n v="1"/>
    <n v="0"/>
    <n v="791"/>
    <n v="281"/>
    <n v="1072"/>
    <n v="1.1166134185303513"/>
    <n v="22"/>
    <x v="34"/>
    <s v="viernes"/>
    <n v="0.62857142857142856"/>
    <n v="41.621375871478826"/>
    <n v="-19.621375871478826"/>
    <n v="408"/>
    <n v="659"/>
    <n v="0.36889692585895117"/>
    <n v="0.33282828282828281"/>
  </r>
  <r>
    <x v="34"/>
    <x v="3"/>
    <n v="9209"/>
    <n v="856"/>
    <n v="8040"/>
    <n v="30"/>
    <n v="3"/>
    <n v="142045"/>
    <n v="313"/>
    <n v="69256"/>
    <n v="100"/>
    <n v="38"/>
    <n v="-2"/>
    <n v="1"/>
    <n v="1123"/>
    <n v="369"/>
    <n v="1492"/>
    <n v="1.0464547677261613"/>
    <n v="62"/>
    <x v="34"/>
    <s v="viernes"/>
    <n v="1.4761904761904763"/>
    <n v="47.466132163806883"/>
    <n v="14.533867836193117"/>
    <n v="556"/>
    <n v="838"/>
    <n v="0.35436583811344807"/>
    <n v="0.29600847756976334"/>
  </r>
  <r>
    <x v="34"/>
    <x v="4"/>
    <n v="7368"/>
    <n v="724"/>
    <n v="6563"/>
    <n v="40"/>
    <n v="12"/>
    <n v="119477"/>
    <n v="84"/>
    <n v="47095"/>
    <n v="63"/>
    <n v="7"/>
    <n v="1"/>
    <n v="0"/>
    <n v="504"/>
    <n v="119"/>
    <n v="623"/>
    <n v="1.0097629009762901"/>
    <n v="56"/>
    <x v="34"/>
    <s v="viernes"/>
    <n v="1.4358974358974359"/>
    <n v="41.43493115039071"/>
    <n v="14.56506884960929"/>
    <n v="330"/>
    <n v="632"/>
    <n v="0.2509505703422053"/>
    <n v="0.25997531879884822"/>
  </r>
  <r>
    <x v="34"/>
    <x v="5"/>
    <n v="11280"/>
    <n v="1650"/>
    <n v="9430"/>
    <n v="94"/>
    <n v="8"/>
    <n v="201981"/>
    <n v="202"/>
    <n v="94266"/>
    <n v="203"/>
    <n v="133"/>
    <n v="2"/>
    <n v="-1"/>
    <n v="2243"/>
    <n v="415"/>
    <n v="2658"/>
    <n v="1.0876730388925511"/>
    <n v="70"/>
    <x v="34"/>
    <s v="viernes"/>
    <n v="0.70707070707070707"/>
    <n v="94.035477920874641"/>
    <n v="-24.035477920874641"/>
    <n v="823"/>
    <n v="1511"/>
    <n v="0.48468786808009423"/>
    <n v="0.47485857950974231"/>
  </r>
  <r>
    <x v="34"/>
    <x v="6"/>
    <n v="13411"/>
    <n v="1330"/>
    <n v="11805"/>
    <n v="41"/>
    <n v="18"/>
    <n v="250599"/>
    <n v="277"/>
    <n v="59226"/>
    <n v="220"/>
    <n v="108"/>
    <n v="2"/>
    <n v="2"/>
    <n v="1867"/>
    <n v="189"/>
    <n v="2056"/>
    <n v="1.0883797054009821"/>
    <n v="111"/>
    <x v="34"/>
    <s v="viernes"/>
    <n v="1.2613636363636365"/>
    <n v="101.78683280980468"/>
    <n v="9.2131671901953212"/>
    <n v="727"/>
    <n v="1263"/>
    <n v="0.37493553378029915"/>
    <n v="0.34764657308009911"/>
  </r>
  <r>
    <x v="34"/>
    <x v="7"/>
    <n v="67999"/>
    <n v="7392"/>
    <n v="59172"/>
    <n v="342"/>
    <n v="63"/>
    <n v="1168006"/>
    <n v="1441"/>
    <n v="455043"/>
    <n v="914"/>
    <n v="503"/>
    <n v="-8"/>
    <n v="0"/>
    <n v="8390"/>
    <n v="1687"/>
    <n v="10077"/>
    <n v="1.0730149513717522"/>
    <n v="406"/>
    <x v="34"/>
    <s v="viernes"/>
    <n v="1.0855614973262031"/>
    <n v="380.6475741947836"/>
    <n v="25.352425805216399"/>
    <n v="4045"/>
    <n v="6860"/>
    <n v="0.35657616361071931"/>
    <n v="0.32889059353725192"/>
  </r>
  <r>
    <x v="35"/>
    <x v="0"/>
    <n v="15023"/>
    <n v="1831"/>
    <n v="12871"/>
    <n v="83"/>
    <n v="18"/>
    <n v="243463"/>
    <n v="327"/>
    <n v="78812"/>
    <n v="184"/>
    <n v="135"/>
    <n v="-1"/>
    <n v="0"/>
    <n v="1395"/>
    <n v="94"/>
    <n v="1489"/>
    <n v="1.0795990566037736"/>
    <n v="49"/>
    <x v="35"/>
    <s v="sábado"/>
    <n v="1.3611111111111112"/>
    <n v="39.155246892045518"/>
    <n v="9.8447531079544817"/>
    <n v="1083"/>
    <n v="1711"/>
    <n v="0.36354481369587111"/>
    <n v="0.31469560419348908"/>
  </r>
  <r>
    <x v="35"/>
    <x v="1"/>
    <n v="4358"/>
    <n v="491"/>
    <n v="3772"/>
    <n v="43"/>
    <n v="3"/>
    <n v="80740"/>
    <n v="93"/>
    <n v="30543"/>
    <n v="64"/>
    <n v="54"/>
    <n v="8"/>
    <n v="-1"/>
    <n v="735"/>
    <n v="36"/>
    <n v="771"/>
    <n v="1.1235697940503433"/>
    <n v="10"/>
    <x v="35"/>
    <s v="sábado"/>
    <n v="1.1111111111111112"/>
    <n v="11.9971090883906"/>
    <n v="-1.9971090883905998"/>
    <n v="309"/>
    <n v="449"/>
    <n v="0.37005988023952097"/>
    <n v="0.27394752898108604"/>
  </r>
  <r>
    <x v="35"/>
    <x v="2"/>
    <n v="7673"/>
    <n v="751"/>
    <n v="6773"/>
    <n v="20"/>
    <n v="2"/>
    <n v="132730"/>
    <n v="146"/>
    <n v="76051"/>
    <n v="75"/>
    <n v="52"/>
    <n v="2"/>
    <n v="2"/>
    <n v="899"/>
    <n v="76"/>
    <n v="975"/>
    <n v="1.0743919885550788"/>
    <n v="23"/>
    <x v="35"/>
    <s v="sábado"/>
    <n v="2.0909090909090908"/>
    <n v="12.086159591831047"/>
    <n v="10.913840408168953"/>
    <n v="450"/>
    <n v="723"/>
    <n v="0.40687160940325495"/>
    <n v="0.36515151515151517"/>
  </r>
  <r>
    <x v="35"/>
    <x v="3"/>
    <n v="9319"/>
    <n v="947"/>
    <n v="8058"/>
    <n v="37"/>
    <n v="3"/>
    <n v="143165"/>
    <n v="314"/>
    <n v="69514"/>
    <n v="110"/>
    <n v="91"/>
    <n v="7"/>
    <n v="0"/>
    <n v="1120"/>
    <n v="258"/>
    <n v="1378"/>
    <n v="1.1063084112149533"/>
    <n v="18"/>
    <x v="35"/>
    <s v="sábado"/>
    <n v="1.125"/>
    <n v="18.479088311689434"/>
    <n v="-0.47908831168943422"/>
    <n v="636"/>
    <n v="932"/>
    <n v="0.40535372848948376"/>
    <n v="0.32921229247615685"/>
  </r>
  <r>
    <x v="35"/>
    <x v="4"/>
    <n v="7418"/>
    <n v="736"/>
    <n v="6599"/>
    <n v="38"/>
    <n v="12"/>
    <n v="120151"/>
    <n v="86"/>
    <n v="47192"/>
    <n v="50"/>
    <n v="12"/>
    <n v="-2"/>
    <n v="0"/>
    <n v="674"/>
    <n v="97"/>
    <n v="771"/>
    <n v="1.0165745856353592"/>
    <n v="36"/>
    <x v="35"/>
    <s v="sábado"/>
    <n v="0.78260869565217395"/>
    <n v="50.868936649911383"/>
    <n v="-14.868936649911383"/>
    <n v="354"/>
    <n v="636"/>
    <n v="0.26920152091254751"/>
    <n v="0.26162073220896748"/>
  </r>
  <r>
    <x v="35"/>
    <x v="5"/>
    <n v="11378"/>
    <n v="1642"/>
    <n v="9536"/>
    <n v="98"/>
    <n v="7"/>
    <n v="204277"/>
    <n v="202"/>
    <n v="94457"/>
    <n v="98"/>
    <n v="-8"/>
    <n v="4"/>
    <n v="-1"/>
    <n v="2296"/>
    <n v="191"/>
    <n v="2487"/>
    <n v="0.99515151515151512"/>
    <n v="106"/>
    <x v="35"/>
    <s v="sábado"/>
    <n v="1.3417721518987342"/>
    <n v="75.059707838386615"/>
    <n v="30.940292161613385"/>
    <n v="855"/>
    <n v="1530"/>
    <n v="0.50353356890459366"/>
    <n v="0.48082966687617851"/>
  </r>
  <r>
    <x v="35"/>
    <x v="6"/>
    <n v="13547"/>
    <n v="1397"/>
    <n v="11874"/>
    <n v="41"/>
    <n v="16"/>
    <n v="252346"/>
    <n v="277"/>
    <n v="59305"/>
    <n v="136"/>
    <n v="67"/>
    <n v="0"/>
    <n v="-2"/>
    <n v="1747"/>
    <n v="79"/>
    <n v="1826"/>
    <n v="1.050375939849624"/>
    <n v="69"/>
    <x v="35"/>
    <s v="sábado"/>
    <n v="1.7692307692307692"/>
    <n v="41.580745648280569"/>
    <n v="27.419254351719431"/>
    <n v="778"/>
    <n v="1360"/>
    <n v="0.40123775141825685"/>
    <n v="0.37434627030002754"/>
  </r>
  <r>
    <x v="35"/>
    <x v="7"/>
    <n v="68716"/>
    <n v="7795"/>
    <n v="59483"/>
    <n v="360"/>
    <n v="61"/>
    <n v="1176872"/>
    <n v="1445"/>
    <n v="455874"/>
    <n v="717"/>
    <n v="403"/>
    <n v="18"/>
    <n v="-2"/>
    <n v="8866"/>
    <n v="831"/>
    <n v="9697"/>
    <n v="1.0545183982683983"/>
    <n v="311"/>
    <x v="35"/>
    <s v="sábado"/>
    <n v="1.3177966101694916"/>
    <n v="238.51351893421787"/>
    <n v="72.486481065782129"/>
    <n v="4465"/>
    <n v="7341"/>
    <n v="0.39360014104372354"/>
    <n v="0.35195128967302713"/>
  </r>
  <r>
    <x v="36"/>
    <x v="0"/>
    <n v="15181"/>
    <n v="1944"/>
    <n v="12916"/>
    <n v="93"/>
    <n v="21"/>
    <n v="244567"/>
    <n v="327"/>
    <n v="78963"/>
    <n v="158"/>
    <n v="113"/>
    <n v="10"/>
    <n v="3"/>
    <n v="1104"/>
    <n v="151"/>
    <n v="1255"/>
    <n v="1.0617149098853085"/>
    <n v="45"/>
    <x v="36"/>
    <s v="domingo"/>
    <n v="0.9375"/>
    <n v="51.649172726808978"/>
    <n v="-6.6491727268089775"/>
    <n v="1123"/>
    <n v="1821"/>
    <n v="0.37697213830144344"/>
    <n v="0.33492734964134635"/>
  </r>
  <r>
    <x v="36"/>
    <x v="1"/>
    <n v="4445"/>
    <n v="567"/>
    <n v="3783"/>
    <n v="54"/>
    <n v="6"/>
    <n v="81369"/>
    <n v="93"/>
    <n v="30566"/>
    <n v="87"/>
    <n v="76"/>
    <n v="11"/>
    <n v="3"/>
    <n v="629"/>
    <n v="23"/>
    <n v="652"/>
    <n v="1.154786150712831"/>
    <n v="11"/>
    <x v="36"/>
    <s v="domingo"/>
    <n v="0.6875"/>
    <n v="20.707925314648005"/>
    <n v="-9.7079253146480049"/>
    <n v="342"/>
    <n v="520"/>
    <n v="0.40958083832335329"/>
    <n v="0.31726662599145822"/>
  </r>
  <r>
    <x v="36"/>
    <x v="2"/>
    <n v="7730"/>
    <n v="778"/>
    <n v="6802"/>
    <n v="21"/>
    <n v="3"/>
    <n v="133652"/>
    <n v="147"/>
    <n v="76110"/>
    <n v="57"/>
    <n v="27"/>
    <n v="1"/>
    <n v="1"/>
    <n v="922"/>
    <n v="59"/>
    <n v="981"/>
    <n v="1.0359520639147803"/>
    <n v="29"/>
    <x v="36"/>
    <s v="domingo"/>
    <n v="0.67441860465116277"/>
    <n v="51.39778817292283"/>
    <n v="-22.39778817292283"/>
    <n v="447"/>
    <n v="737"/>
    <n v="0.40415913200723325"/>
    <n v="0.37222222222222223"/>
  </r>
  <r>
    <x v="36"/>
    <x v="3"/>
    <n v="9433"/>
    <n v="1040"/>
    <n v="8078"/>
    <n v="42"/>
    <n v="3"/>
    <n v="144529"/>
    <n v="315"/>
    <n v="69623"/>
    <n v="114"/>
    <n v="93"/>
    <n v="5"/>
    <n v="0"/>
    <n v="1364"/>
    <n v="109"/>
    <n v="1473"/>
    <n v="1.0982048574445618"/>
    <n v="20"/>
    <x v="36"/>
    <s v="domingo"/>
    <n v="0.95238095238095233"/>
    <n v="24.878803409092381"/>
    <n v="-4.8788034090923809"/>
    <n v="663"/>
    <n v="1025"/>
    <n v="0.42256214149139582"/>
    <n v="0.36206287530907805"/>
  </r>
  <r>
    <x v="36"/>
    <x v="4"/>
    <n v="7485"/>
    <n v="758"/>
    <n v="6644"/>
    <n v="44"/>
    <n v="11"/>
    <n v="120500"/>
    <n v="87"/>
    <n v="47268"/>
    <n v="67"/>
    <n v="22"/>
    <n v="6"/>
    <n v="-1"/>
    <n v="349"/>
    <n v="76"/>
    <n v="425"/>
    <n v="1.0298913043478262"/>
    <n v="45"/>
    <x v="36"/>
    <s v="domingo"/>
    <n v="1.2162162162162162"/>
    <n v="40.769305456624011"/>
    <n v="4.2306945433759893"/>
    <n v="362"/>
    <n v="666"/>
    <n v="0.2752851711026616"/>
    <n v="0.27396133278486218"/>
  </r>
  <r>
    <x v="36"/>
    <x v="5"/>
    <n v="11477"/>
    <n v="1679"/>
    <n v="9596"/>
    <n v="101"/>
    <n v="8"/>
    <n v="206256"/>
    <n v="204"/>
    <n v="94568"/>
    <n v="99"/>
    <n v="37"/>
    <n v="3"/>
    <n v="1"/>
    <n v="1979"/>
    <n v="111"/>
    <n v="2090"/>
    <n v="1.0225334957369061"/>
    <n v="60"/>
    <x v="36"/>
    <s v="domingo"/>
    <n v="0.78947368421052633"/>
    <n v="74.969435629936712"/>
    <n v="-14.969435629936712"/>
    <n v="901"/>
    <n v="1553"/>
    <n v="0.53062426383981154"/>
    <n v="0.4880578252671276"/>
  </r>
  <r>
    <x v="36"/>
    <x v="6"/>
    <n v="13667"/>
    <n v="1484"/>
    <n v="11906"/>
    <n v="42"/>
    <n v="19"/>
    <n v="254048"/>
    <n v="277"/>
    <n v="59344"/>
    <n v="120"/>
    <n v="87"/>
    <n v="1"/>
    <n v="3"/>
    <n v="1702"/>
    <n v="39"/>
    <n v="1741"/>
    <n v="1.0622763063707945"/>
    <n v="32"/>
    <x v="36"/>
    <s v="domingo"/>
    <n v="0.61538461538461542"/>
    <n v="60.33500341429729"/>
    <n v="-28.33500341429729"/>
    <n v="865"/>
    <n v="1428"/>
    <n v="0.44610624033006707"/>
    <n v="0.39306358381502893"/>
  </r>
  <r>
    <x v="36"/>
    <x v="7"/>
    <n v="69418"/>
    <n v="8250"/>
    <n v="59725"/>
    <n v="397"/>
    <n v="71"/>
    <n v="1184921"/>
    <n v="1450"/>
    <n v="456442"/>
    <n v="702"/>
    <n v="455"/>
    <n v="37"/>
    <n v="10"/>
    <n v="8049"/>
    <n v="568"/>
    <n v="8617"/>
    <n v="1.0583707504810775"/>
    <n v="242"/>
    <x v="36"/>
    <s v="domingo"/>
    <n v="0.82593856655290099"/>
    <n v="305.88977245869108"/>
    <n v="-63.889772458691084"/>
    <n v="4703"/>
    <n v="7750"/>
    <n v="0.41458039492242593"/>
    <n v="0.37156007287371751"/>
  </r>
  <r>
    <x v="37"/>
    <x v="0"/>
    <n v="15360"/>
    <n v="2064"/>
    <n v="12973"/>
    <n v="95"/>
    <n v="22"/>
    <n v="245390"/>
    <n v="329"/>
    <n v="79413"/>
    <n v="179"/>
    <n v="120"/>
    <n v="2"/>
    <n v="1"/>
    <n v="823"/>
    <n v="450"/>
    <n v="1273"/>
    <n v="1.0617283950617284"/>
    <n v="57"/>
    <x v="37"/>
    <s v="lunes"/>
    <n v="1.0555555555555556"/>
    <n v="58.101610526451317"/>
    <n v="-1.1016105264513172"/>
    <n v="1216"/>
    <n v="1946"/>
    <n v="0.40819066800939913"/>
    <n v="0.35791796946845689"/>
  </r>
  <r>
    <x v="37"/>
    <x v="1"/>
    <n v="4496"/>
    <n v="598"/>
    <n v="3800"/>
    <n v="62"/>
    <n v="5"/>
    <n v="81907"/>
    <n v="96"/>
    <n v="30633"/>
    <n v="51"/>
    <n v="31"/>
    <n v="8"/>
    <n v="-1"/>
    <n v="538"/>
    <n v="67"/>
    <n v="605"/>
    <n v="1.0546737213403881"/>
    <n v="17"/>
    <x v="37"/>
    <s v="lunes"/>
    <n v="0.58620689655172409"/>
    <n v="37.773548306268893"/>
    <n v="-20.773548306268893"/>
    <n v="371"/>
    <n v="542"/>
    <n v="0.44431137724550901"/>
    <n v="0.33068944478340451"/>
  </r>
  <r>
    <x v="37"/>
    <x v="2"/>
    <n v="7777"/>
    <n v="810"/>
    <n v="6815"/>
    <n v="25"/>
    <n v="2"/>
    <n v="134704"/>
    <n v="148"/>
    <n v="76350"/>
    <n v="47"/>
    <n v="32"/>
    <n v="4"/>
    <n v="-1"/>
    <n v="1052"/>
    <n v="240"/>
    <n v="1292"/>
    <n v="1.0411311053984575"/>
    <n v="13"/>
    <x v="37"/>
    <s v="lunes"/>
    <n v="0.8125"/>
    <n v="18.75266536666896"/>
    <n v="-5.7526653666689604"/>
    <n v="449"/>
    <n v="768"/>
    <n v="0.40596745027124775"/>
    <n v="0.38787878787878788"/>
  </r>
  <r>
    <x v="37"/>
    <x v="3"/>
    <n v="9557"/>
    <n v="1140"/>
    <n v="8101"/>
    <n v="44"/>
    <n v="4"/>
    <n v="145561"/>
    <n v="316"/>
    <n v="69872"/>
    <n v="124"/>
    <n v="100"/>
    <n v="2"/>
    <n v="1"/>
    <n v="1032"/>
    <n v="249"/>
    <n v="1281"/>
    <n v="1.0961538461538463"/>
    <n v="23"/>
    <x v="37"/>
    <s v="lunes"/>
    <n v="0.85185185185185186"/>
    <n v="32.130387857484124"/>
    <n v="-9.1303878574841235"/>
    <n v="725"/>
    <n v="1122"/>
    <n v="0.46207775653282346"/>
    <n v="0.39632638643588836"/>
  </r>
  <r>
    <x v="37"/>
    <x v="4"/>
    <n v="7580"/>
    <n v="809"/>
    <n v="6687"/>
    <n v="45"/>
    <n v="10"/>
    <n v="120914"/>
    <n v="88"/>
    <n v="47435"/>
    <n v="95"/>
    <n v="51"/>
    <n v="1"/>
    <n v="-1"/>
    <n v="414"/>
    <n v="167"/>
    <n v="581"/>
    <n v="1.067282321899736"/>
    <n v="43"/>
    <x v="37"/>
    <s v="lunes"/>
    <n v="1.1025641025641026"/>
    <n v="42.771796871267782"/>
    <n v="0.22820312873221837"/>
    <n v="413"/>
    <n v="722"/>
    <n v="0.31406844106463877"/>
    <n v="0.29699712052653227"/>
  </r>
  <r>
    <x v="37"/>
    <x v="5"/>
    <n v="11677"/>
    <n v="1810"/>
    <n v="9664"/>
    <n v="105"/>
    <n v="7"/>
    <n v="207313"/>
    <n v="206"/>
    <n v="94818"/>
    <n v="200"/>
    <n v="131"/>
    <n v="4"/>
    <n v="-1"/>
    <n v="1057"/>
    <n v="250"/>
    <n v="1307"/>
    <n v="1.0780226325193567"/>
    <n v="68"/>
    <x v="37"/>
    <s v="lunes"/>
    <n v="0.94444444444444442"/>
    <n v="70.350060002113665"/>
    <n v="-2.3500600021136648"/>
    <n v="1041"/>
    <n v="1681"/>
    <n v="0.61307420494699649"/>
    <n v="0.52828409805153986"/>
  </r>
  <r>
    <x v="37"/>
    <x v="6"/>
    <n v="13815"/>
    <n v="1579"/>
    <n v="11957"/>
    <n v="45"/>
    <n v="20"/>
    <n v="255364"/>
    <n v="279"/>
    <n v="59450"/>
    <n v="148"/>
    <n v="95"/>
    <n v="3"/>
    <n v="1"/>
    <n v="1316"/>
    <n v="106"/>
    <n v="1422"/>
    <n v="1.0640161725067385"/>
    <n v="51"/>
    <x v="37"/>
    <s v="lunes"/>
    <n v="0.66233766233766234"/>
    <n v="82.905403407434719"/>
    <n v="-31.905403407434719"/>
    <n v="981"/>
    <n v="1499"/>
    <n v="0.50593089221248067"/>
    <n v="0.41260666116157446"/>
  </r>
  <r>
    <x v="37"/>
    <x v="7"/>
    <n v="70262"/>
    <n v="8810"/>
    <n v="59997"/>
    <n v="421"/>
    <n v="70"/>
    <n v="1191153"/>
    <n v="1462"/>
    <n v="457971"/>
    <n v="844"/>
    <n v="560"/>
    <n v="24"/>
    <n v="-1"/>
    <n v="6232"/>
    <n v="1529"/>
    <n v="7761"/>
    <n v="1.0678787878787879"/>
    <n v="272"/>
    <x v="37"/>
    <s v="lunes"/>
    <n v="0.86624203821656054"/>
    <n v="322.57966736312881"/>
    <n v="-50.579667363128806"/>
    <n v="5196"/>
    <n v="8280"/>
    <n v="0.45803949224259521"/>
    <n v="0.39696998753475887"/>
  </r>
  <r>
    <x v="38"/>
    <x v="0"/>
    <n v="15616"/>
    <n v="2260"/>
    <n v="13031"/>
    <n v="108"/>
    <n v="22"/>
    <n v="247114"/>
    <n v="331"/>
    <n v="79691"/>
    <n v="256"/>
    <n v="196"/>
    <n v="13"/>
    <n v="0"/>
    <n v="1724"/>
    <n v="278"/>
    <n v="2002"/>
    <n v="1.0949612403100775"/>
    <n v="58"/>
    <x v="38"/>
    <s v="martes"/>
    <n v="0.47933884297520662"/>
    <n v="128.61298141017758"/>
    <n v="-70.612981410177582"/>
    <n v="1285"/>
    <n v="2081"/>
    <n v="0.43135280295401141"/>
    <n v="0.38274783888173625"/>
  </r>
  <r>
    <x v="38"/>
    <x v="1"/>
    <n v="4570"/>
    <n v="659"/>
    <n v="3813"/>
    <n v="74"/>
    <n v="5"/>
    <n v="82576"/>
    <n v="96"/>
    <n v="30702"/>
    <n v="74"/>
    <n v="61"/>
    <n v="12"/>
    <n v="0"/>
    <n v="669"/>
    <n v="69"/>
    <n v="738"/>
    <n v="1.1020066889632107"/>
    <n v="13"/>
    <x v="38"/>
    <s v="martes"/>
    <n v="0.8666666666666667"/>
    <n v="18.558978187971597"/>
    <n v="-5.5589781879715972"/>
    <n v="390"/>
    <n v="601"/>
    <n v="0.46706586826347307"/>
    <n v="0.3666870042708969"/>
  </r>
  <r>
    <x v="38"/>
    <x v="2"/>
    <n v="7881"/>
    <n v="890"/>
    <n v="6838"/>
    <n v="28"/>
    <n v="4"/>
    <n v="136017"/>
    <n v="148"/>
    <n v="76690"/>
    <n v="104"/>
    <n v="80"/>
    <n v="3"/>
    <n v="2"/>
    <n v="1313"/>
    <n v="340"/>
    <n v="1653"/>
    <n v="1.0987654320987654"/>
    <n v="23"/>
    <x v="38"/>
    <s v="martes"/>
    <n v="0.46"/>
    <n v="57.108260589521819"/>
    <n v="-34.108260589521819"/>
    <n v="490"/>
    <n v="822"/>
    <n v="0.44303797468354428"/>
    <n v="0.41515151515151516"/>
  </r>
  <r>
    <x v="38"/>
    <x v="3"/>
    <n v="9692"/>
    <n v="1232"/>
    <n v="8144"/>
    <n v="44"/>
    <n v="4"/>
    <n v="146929"/>
    <n v="316"/>
    <n v="70172"/>
    <n v="135"/>
    <n v="92"/>
    <n v="0"/>
    <n v="0"/>
    <n v="1368"/>
    <n v="300"/>
    <n v="1668"/>
    <n v="1.0807017543859649"/>
    <n v="43"/>
    <x v="38"/>
    <s v="martes"/>
    <n v="0.87755102040816324"/>
    <n v="53.417185370989714"/>
    <n v="-10.417185370989714"/>
    <n v="765"/>
    <n v="1208"/>
    <n v="0.4875717017208413"/>
    <n v="0.42670434475450369"/>
  </r>
  <r>
    <x v="38"/>
    <x v="4"/>
    <n v="7642"/>
    <n v="832"/>
    <n v="6726"/>
    <n v="47"/>
    <n v="10"/>
    <n v="121546"/>
    <n v="88"/>
    <n v="47570"/>
    <n v="62"/>
    <n v="23"/>
    <n v="2"/>
    <n v="0"/>
    <n v="632"/>
    <n v="135"/>
    <n v="767"/>
    <n v="1.0284301606922126"/>
    <n v="39"/>
    <x v="38"/>
    <s v="martes"/>
    <n v="0.73584905660377353"/>
    <n v="59.852903797807038"/>
    <n v="-20.852903797807038"/>
    <n v="442"/>
    <n v="731"/>
    <n v="0.3361216730038023"/>
    <n v="0.30069930069930068"/>
  </r>
  <r>
    <x v="38"/>
    <x v="5"/>
    <n v="11872"/>
    <n v="1886"/>
    <n v="9775"/>
    <n v="93"/>
    <n v="6"/>
    <n v="209553"/>
    <n v="215"/>
    <n v="95267"/>
    <n v="195"/>
    <n v="76"/>
    <n v="-12"/>
    <n v="-1"/>
    <n v="2240"/>
    <n v="449"/>
    <n v="2689"/>
    <n v="1.0419889502762432"/>
    <n v="111"/>
    <x v="38"/>
    <s v="martes"/>
    <n v="0.9173553719008265"/>
    <n v="117.63621957925419"/>
    <n v="-6.6362195792541883"/>
    <n v="1080"/>
    <n v="1755"/>
    <n v="0.63604240282685509"/>
    <n v="0.55153991200502828"/>
  </r>
  <r>
    <x v="38"/>
    <x v="6"/>
    <n v="14036"/>
    <n v="1720"/>
    <n v="12036"/>
    <n v="44"/>
    <n v="22"/>
    <n v="257339"/>
    <n v="280"/>
    <n v="59668"/>
    <n v="221"/>
    <n v="141"/>
    <n v="-1"/>
    <n v="2"/>
    <n v="1975"/>
    <n v="218"/>
    <n v="2193"/>
    <n v="1.0892970234325523"/>
    <n v="79"/>
    <x v="38"/>
    <s v="martes"/>
    <n v="1.0533333333333332"/>
    <n v="77.764539497037532"/>
    <n v="1.2354605029624679"/>
    <n v="1107"/>
    <n v="1645"/>
    <n v="0.57091284167096445"/>
    <n v="0.45279383429672448"/>
  </r>
  <r>
    <x v="38"/>
    <x v="7"/>
    <n v="71309"/>
    <n v="9479"/>
    <n v="60363"/>
    <n v="438"/>
    <n v="73"/>
    <n v="1201074"/>
    <n v="1474"/>
    <n v="459760"/>
    <n v="1047"/>
    <n v="669"/>
    <n v="17"/>
    <n v="3"/>
    <n v="9921"/>
    <n v="1789"/>
    <n v="11710"/>
    <n v="1.0759364358683314"/>
    <n v="366"/>
    <x v="38"/>
    <s v="martes"/>
    <n v="0.75619834710743805"/>
    <n v="490.70790992674296"/>
    <n v="-124.70790992674296"/>
    <n v="5559"/>
    <n v="8843"/>
    <n v="0.49003878702397741"/>
    <n v="0.42396202895771407"/>
  </r>
  <r>
    <x v="39"/>
    <x v="0"/>
    <n v="15914"/>
    <n v="2469"/>
    <n v="13119"/>
    <n v="123"/>
    <n v="27"/>
    <n v="249368"/>
    <n v="333"/>
    <n v="80099"/>
    <n v="298"/>
    <n v="209"/>
    <n v="15"/>
    <n v="5"/>
    <n v="2254"/>
    <n v="408"/>
    <n v="2662"/>
    <n v="1.0924778761061946"/>
    <n v="88"/>
    <x v="39"/>
    <s v="miércoles"/>
    <n v="0.65671641791044777"/>
    <n v="136.59664030758481"/>
    <n v="-48.596640307584806"/>
    <n v="1425"/>
    <n v="2245"/>
    <n v="0.4783484390735146"/>
    <n v="0.41291153209490528"/>
  </r>
  <r>
    <x v="39"/>
    <x v="1"/>
    <n v="4638"/>
    <n v="710"/>
    <n v="3830"/>
    <n v="73"/>
    <n v="6"/>
    <n v="83246"/>
    <n v="96"/>
    <n v="30746"/>
    <n v="68"/>
    <n v="51"/>
    <n v="-1"/>
    <n v="1"/>
    <n v="670"/>
    <n v="44"/>
    <n v="714"/>
    <n v="1.0773899848254931"/>
    <n v="17"/>
    <x v="39"/>
    <s v="miércoles"/>
    <n v="0.70833333333333337"/>
    <n v="29.969995352855396"/>
    <n v="-12.969995352855396"/>
    <n v="427"/>
    <n v="645"/>
    <n v="0.511377245508982"/>
    <n v="0.39353264185478953"/>
  </r>
  <r>
    <x v="39"/>
    <x v="2"/>
    <n v="7980"/>
    <n v="945"/>
    <n v="6881"/>
    <n v="31"/>
    <n v="3"/>
    <n v="137147"/>
    <n v="149"/>
    <n v="76890"/>
    <n v="99"/>
    <n v="55"/>
    <n v="3"/>
    <n v="-1"/>
    <n v="1130"/>
    <n v="200"/>
    <n v="1330"/>
    <n v="1.0617977528089888"/>
    <n v="43"/>
    <x v="39"/>
    <s v="miércoles"/>
    <n v="0.87755102040816324"/>
    <n v="55.77306507470108"/>
    <n v="-12.77306507470108"/>
    <n v="520"/>
    <n v="872"/>
    <n v="0.47016274864376129"/>
    <n v="0.44040404040404041"/>
  </r>
  <r>
    <x v="39"/>
    <x v="3"/>
    <n v="9856"/>
    <n v="1348"/>
    <n v="8191"/>
    <n v="46"/>
    <n v="7"/>
    <n v="148464"/>
    <n v="317"/>
    <n v="70434"/>
    <n v="164"/>
    <n v="116"/>
    <n v="2"/>
    <n v="3"/>
    <n v="1535"/>
    <n v="262"/>
    <n v="1797"/>
    <n v="1.0941558441558441"/>
    <n v="47"/>
    <x v="39"/>
    <s v="miércoles"/>
    <n v="0.6811594202898551"/>
    <n v="74.440599225037985"/>
    <n v="-27.440599225037985"/>
    <n v="849"/>
    <n v="1303"/>
    <n v="0.54110898661567874"/>
    <n v="0.46026139173436947"/>
  </r>
  <r>
    <x v="39"/>
    <x v="4"/>
    <n v="7727"/>
    <n v="867"/>
    <n v="6775"/>
    <n v="51"/>
    <n v="9"/>
    <n v="122322"/>
    <n v="89"/>
    <n v="47705"/>
    <n v="85"/>
    <n v="35"/>
    <n v="4"/>
    <n v="-1"/>
    <n v="776"/>
    <n v="135"/>
    <n v="911"/>
    <n v="1.0420673076923077"/>
    <n v="49"/>
    <x v="39"/>
    <s v="miércoles"/>
    <n v="1.6333333333333333"/>
    <n v="31.45582155671018"/>
    <n v="17.54417844328982"/>
    <n v="477"/>
    <n v="786"/>
    <n v="0.36273764258555136"/>
    <n v="0.32332373508844098"/>
  </r>
  <r>
    <x v="39"/>
    <x v="5"/>
    <n v="12103"/>
    <n v="1983"/>
    <n v="9909"/>
    <n v="92"/>
    <n v="8"/>
    <n v="211665"/>
    <n v="215"/>
    <n v="95629"/>
    <n v="231"/>
    <n v="97"/>
    <n v="-1"/>
    <n v="2"/>
    <n v="2112"/>
    <n v="362"/>
    <n v="2474"/>
    <n v="1.0514316012725344"/>
    <n v="134"/>
    <x v="39"/>
    <s v="miércoles"/>
    <n v="1.1652173913043478"/>
    <n v="113.56059269839071"/>
    <n v="20.439407301609293"/>
    <n v="1205"/>
    <n v="1871"/>
    <n v="0.70965842167255599"/>
    <n v="0.58799497171590198"/>
  </r>
  <r>
    <x v="39"/>
    <x v="6"/>
    <n v="14280"/>
    <n v="1893"/>
    <n v="12106"/>
    <n v="47"/>
    <n v="22"/>
    <n v="259614"/>
    <n v="281"/>
    <n v="59944"/>
    <n v="244"/>
    <n v="173"/>
    <n v="3"/>
    <n v="0"/>
    <n v="2275"/>
    <n v="276"/>
    <n v="2551"/>
    <n v="1.1005813953488373"/>
    <n v="70"/>
    <x v="39"/>
    <s v="miércoles"/>
    <n v="0.76923076923076927"/>
    <n v="96.366263845937198"/>
    <n v="-26.366263845937198"/>
    <n v="1167"/>
    <n v="1798"/>
    <n v="0.6018566271273853"/>
    <n v="0.49490778970547755"/>
  </r>
  <r>
    <x v="39"/>
    <x v="7"/>
    <n v="72498"/>
    <n v="10215"/>
    <n v="60811"/>
    <n v="463"/>
    <n v="82"/>
    <n v="1211826"/>
    <n v="1480"/>
    <n v="461447"/>
    <n v="1189"/>
    <n v="736"/>
    <n v="25"/>
    <n v="9"/>
    <n v="10752"/>
    <n v="1687"/>
    <n v="12439"/>
    <n v="1.0776453212364174"/>
    <n v="448"/>
    <x v="39"/>
    <s v="miércoles"/>
    <n v="0.875"/>
    <n v="514.31995782230672"/>
    <n v="-66.319957822306719"/>
    <n v="6070"/>
    <n v="9520"/>
    <n v="0.53508462623413255"/>
    <n v="0.45641959919455366"/>
  </r>
  <r>
    <x v="40"/>
    <x v="0"/>
    <n v="16209"/>
    <n v="2635"/>
    <n v="13248"/>
    <n v="138"/>
    <n v="26"/>
    <n v="251728"/>
    <n v="333"/>
    <n v="80515"/>
    <n v="295"/>
    <n v="166"/>
    <n v="15"/>
    <n v="-1"/>
    <n v="2360"/>
    <n v="416"/>
    <n v="2776"/>
    <n v="1.0672336978533818"/>
    <n v="129"/>
    <x v="40"/>
    <s v="jueves"/>
    <n v="1.205607476635514"/>
    <n v="106.44976928612049"/>
    <n v="22.550230713879515"/>
    <n v="1569"/>
    <n v="2433"/>
    <n v="0.52668680765357501"/>
    <n v="0.44748942431487954"/>
  </r>
  <r>
    <x v="40"/>
    <x v="1"/>
    <n v="4751"/>
    <n v="796"/>
    <n v="3855"/>
    <n v="77"/>
    <n v="9"/>
    <n v="83828"/>
    <n v="98"/>
    <n v="30818"/>
    <n v="113"/>
    <n v="86"/>
    <n v="4"/>
    <n v="3"/>
    <n v="582"/>
    <n v="72"/>
    <n v="654"/>
    <n v="1.1211267605633803"/>
    <n v="25"/>
    <x v="40"/>
    <s v="jueves"/>
    <n v="1.0416666666666667"/>
    <n v="27.112852495712545"/>
    <n v="-2.112852495712545"/>
    <n v="490"/>
    <n v="734"/>
    <n v="0.58682634730538918"/>
    <n v="0.44783404514948139"/>
  </r>
  <r>
    <x v="40"/>
    <x v="2"/>
    <n v="8065"/>
    <n v="992"/>
    <n v="6918"/>
    <n v="32"/>
    <n v="3"/>
    <n v="138110"/>
    <n v="150"/>
    <n v="77068"/>
    <n v="85"/>
    <n v="47"/>
    <n v="1"/>
    <n v="0"/>
    <n v="963"/>
    <n v="178"/>
    <n v="1141"/>
    <n v="1.0497354497354496"/>
    <n v="37"/>
    <x v="40"/>
    <s v="jueves"/>
    <n v="0.78723404255319152"/>
    <n v="51.333981926766782"/>
    <n v="-14.333981926766782"/>
    <n v="563"/>
    <n v="910"/>
    <n v="0.50904159132007232"/>
    <n v="0.45959595959595961"/>
  </r>
  <r>
    <x v="40"/>
    <x v="3"/>
    <n v="10050"/>
    <n v="1459"/>
    <n v="8273"/>
    <n v="54"/>
    <n v="9"/>
    <n v="150168"/>
    <n v="318"/>
    <n v="70807"/>
    <n v="194"/>
    <n v="111"/>
    <n v="8"/>
    <n v="2"/>
    <n v="1704"/>
    <n v="373"/>
    <n v="2077"/>
    <n v="1.0823442136498516"/>
    <n v="82"/>
    <x v="40"/>
    <s v="jueves"/>
    <n v="1.1884057971014492"/>
    <n v="72.86917065360943"/>
    <n v="9.1308293463905699"/>
    <n v="941"/>
    <n v="1428"/>
    <n v="0.59974506054811982"/>
    <n v="0.50441540091840342"/>
  </r>
  <r>
    <x v="40"/>
    <x v="4"/>
    <n v="7808"/>
    <n v="907"/>
    <n v="6816"/>
    <n v="54"/>
    <n v="11"/>
    <n v="123032"/>
    <n v="89"/>
    <n v="47914"/>
    <n v="81"/>
    <n v="40"/>
    <n v="3"/>
    <n v="2"/>
    <n v="710"/>
    <n v="209"/>
    <n v="919"/>
    <n v="1.0461361014994233"/>
    <n v="41"/>
    <x v="40"/>
    <s v="jueves"/>
    <n v="0.80392156862745101"/>
    <n v="57.394451681536111"/>
    <n v="-16.394451681536111"/>
    <n v="503"/>
    <n v="816"/>
    <n v="0.38250950570342207"/>
    <n v="0.33566433566433568"/>
  </r>
  <r>
    <x v="40"/>
    <x v="5"/>
    <n v="12313"/>
    <n v="2081"/>
    <n v="10020"/>
    <n v="94"/>
    <n v="10"/>
    <n v="213458"/>
    <n v="216"/>
    <n v="96010"/>
    <n v="210"/>
    <n v="98"/>
    <n v="2"/>
    <n v="2"/>
    <n v="1793"/>
    <n v="381"/>
    <n v="2174"/>
    <n v="1.0494200706001009"/>
    <n v="111"/>
    <x v="40"/>
    <s v="jueves"/>
    <n v="1.0776699029126213"/>
    <n v="102.45813785329605"/>
    <n v="8.5418621467039486"/>
    <n v="1236"/>
    <n v="1978"/>
    <n v="0.72791519434628971"/>
    <n v="0.6216216216216216"/>
  </r>
  <r>
    <x v="40"/>
    <x v="6"/>
    <n v="14471"/>
    <n v="1994"/>
    <n v="12196"/>
    <n v="56"/>
    <n v="22"/>
    <n v="261696"/>
    <n v="281"/>
    <n v="60315"/>
    <n v="191"/>
    <n v="101"/>
    <n v="9"/>
    <n v="0"/>
    <n v="2082"/>
    <n v="371"/>
    <n v="2453"/>
    <n v="1.0533544638140517"/>
    <n v="90"/>
    <x v="40"/>
    <s v="jueves"/>
    <n v="0.68702290076335881"/>
    <n v="133.70932950407041"/>
    <n v="-43.709329504070411"/>
    <n v="1280"/>
    <n v="1858"/>
    <n v="0.66013408973697785"/>
    <n v="0.51142306633636114"/>
  </r>
  <r>
    <x v="40"/>
    <x v="7"/>
    <n v="73667"/>
    <n v="10864"/>
    <n v="61326"/>
    <n v="505"/>
    <n v="90"/>
    <n v="1222020"/>
    <n v="1485"/>
    <n v="463447"/>
    <n v="1169"/>
    <n v="649"/>
    <n v="42"/>
    <n v="8"/>
    <n v="10194"/>
    <n v="2000"/>
    <n v="12194"/>
    <n v="1.0635340186000979"/>
    <n v="515"/>
    <x v="40"/>
    <s v="jueves"/>
    <n v="0.96804511278195493"/>
    <n v="525.64583915999856"/>
    <n v="-10.645839159998559"/>
    <n v="6582"/>
    <n v="10157"/>
    <n v="0.58021861777150918"/>
    <n v="0.48695944002301278"/>
  </r>
  <r>
    <x v="41"/>
    <x v="0"/>
    <n v="16539"/>
    <n v="2843"/>
    <n v="13366"/>
    <n v="130"/>
    <n v="26"/>
    <n v="253873"/>
    <n v="337"/>
    <n v="80867"/>
    <n v="330"/>
    <n v="208"/>
    <n v="-8"/>
    <n v="0"/>
    <n v="2145"/>
    <n v="352"/>
    <n v="2497"/>
    <n v="1.0789373814041745"/>
    <n v="118"/>
    <x v="41"/>
    <s v="viernes"/>
    <n v="1"/>
    <n v="119.12618081486718"/>
    <n v="-1.1261808148671832"/>
    <n v="1700"/>
    <n v="2645"/>
    <n v="0.57066129573682445"/>
    <n v="0.48648151554165903"/>
  </r>
  <r>
    <x v="41"/>
    <x v="1"/>
    <n v="4897"/>
    <n v="909"/>
    <n v="3887"/>
    <n v="80"/>
    <n v="9"/>
    <n v="84460"/>
    <n v="99"/>
    <n v="30951"/>
    <n v="146"/>
    <n v="113"/>
    <n v="3"/>
    <n v="0"/>
    <n v="632"/>
    <n v="133"/>
    <n v="765"/>
    <n v="1.1419597989949748"/>
    <n v="32"/>
    <x v="41"/>
    <s v="viernes"/>
    <n v="1.5238095238095237"/>
    <n v="23.786245933748472"/>
    <n v="8.2137540662515285"/>
    <n v="603"/>
    <n v="859"/>
    <n v="0.72215568862275448"/>
    <n v="0.5241000610128127"/>
  </r>
  <r>
    <x v="41"/>
    <x v="2"/>
    <n v="8156"/>
    <n v="1031"/>
    <n v="6968"/>
    <n v="35"/>
    <n v="4"/>
    <n v="139111"/>
    <n v="151"/>
    <n v="77429"/>
    <n v="91"/>
    <n v="39"/>
    <n v="3"/>
    <n v="1"/>
    <n v="1001"/>
    <n v="361"/>
    <n v="1362"/>
    <n v="1.0393145161290323"/>
    <n v="50"/>
    <x v="41"/>
    <s v="viernes"/>
    <n v="1.4285714285714286"/>
    <n v="34.810903071487537"/>
    <n v="15.189096928512463"/>
    <n v="558"/>
    <n v="966"/>
    <n v="0.50452079566003616"/>
    <n v="0.48787878787878786"/>
  </r>
  <r>
    <x v="41"/>
    <x v="3"/>
    <n v="10237"/>
    <n v="1605"/>
    <n v="8313"/>
    <n v="60"/>
    <n v="9"/>
    <n v="151870"/>
    <n v="319"/>
    <n v="71394"/>
    <n v="187"/>
    <n v="146"/>
    <n v="6"/>
    <n v="0"/>
    <n v="1702"/>
    <n v="587"/>
    <n v="2289"/>
    <n v="1.1000685400959562"/>
    <n v="40"/>
    <x v="41"/>
    <s v="viernes"/>
    <n v="1.2903225806451613"/>
    <n v="33.589680981751933"/>
    <n v="6.4103190182480674"/>
    <n v="1028"/>
    <n v="1584"/>
    <n v="0.65519439133205859"/>
    <n v="0.55951960438007775"/>
  </r>
  <r>
    <x v="41"/>
    <x v="4"/>
    <n v="7908"/>
    <n v="954"/>
    <n v="6869"/>
    <n v="54"/>
    <n v="12"/>
    <n v="123664"/>
    <n v="89"/>
    <n v="48086"/>
    <n v="100"/>
    <n v="47"/>
    <n v="0"/>
    <n v="1"/>
    <n v="632"/>
    <n v="172"/>
    <n v="804"/>
    <n v="1.0518191841234841"/>
    <n v="53"/>
    <x v="41"/>
    <s v="viernes"/>
    <n v="1.1521739130434783"/>
    <n v="50.940747268313622"/>
    <n v="2.059252731686378"/>
    <n v="540"/>
    <n v="870"/>
    <n v="0.41064638783269963"/>
    <n v="0.35787741670094614"/>
  </r>
  <r>
    <x v="41"/>
    <x v="5"/>
    <n v="12524"/>
    <n v="2157"/>
    <n v="10152"/>
    <n v="97"/>
    <n v="12"/>
    <n v="215235"/>
    <n v="220"/>
    <n v="96475"/>
    <n v="211"/>
    <n v="76"/>
    <n v="3"/>
    <n v="2"/>
    <n v="1777"/>
    <n v="465"/>
    <n v="2242"/>
    <n v="1.0365209034118212"/>
    <n v="132"/>
    <x v="41"/>
    <s v="viernes"/>
    <n v="1.0819672131147542"/>
    <n v="120.35919624957781"/>
    <n v="11.640803750422194"/>
    <n v="1244"/>
    <n v="2067"/>
    <n v="0.73262661955241459"/>
    <n v="0.64959145191703327"/>
  </r>
  <r>
    <x v="41"/>
    <x v="6"/>
    <n v="14749"/>
    <n v="2167"/>
    <n v="12298"/>
    <n v="50"/>
    <n v="19"/>
    <n v="263939"/>
    <n v="284"/>
    <n v="60626"/>
    <n v="278"/>
    <n v="173"/>
    <n v="-6"/>
    <n v="-3"/>
    <n v="2243"/>
    <n v="311"/>
    <n v="2554"/>
    <n v="1.0867602808425276"/>
    <n v="102"/>
    <x v="41"/>
    <s v="viernes"/>
    <n v="1.4366197183098592"/>
    <n v="71.361625351944937"/>
    <n v="30.638374648055063"/>
    <n v="1338"/>
    <n v="2065"/>
    <n v="0.69004641567818459"/>
    <n v="0.5684007707129094"/>
  </r>
  <r>
    <x v="41"/>
    <x v="7"/>
    <n v="75010"/>
    <n v="11666"/>
    <n v="61853"/>
    <n v="506"/>
    <n v="91"/>
    <n v="1232152"/>
    <n v="1499"/>
    <n v="465828"/>
    <n v="1343"/>
    <n v="802"/>
    <n v="1"/>
    <n v="1"/>
    <n v="10132"/>
    <n v="2381"/>
    <n v="12513"/>
    <n v="1.073821796759941"/>
    <n v="527"/>
    <x v="41"/>
    <s v="viernes"/>
    <n v="1.1869369369369369"/>
    <n v="436.12885508715613"/>
    <n v="90.871144912843874"/>
    <n v="7011"/>
    <n v="11056"/>
    <n v="0.6180359661495064"/>
    <n v="0.53006040847636393"/>
  </r>
  <r>
    <x v="42"/>
    <x v="0"/>
    <n v="16899"/>
    <n v="3129"/>
    <n v="13440"/>
    <n v="145"/>
    <n v="28"/>
    <n v="255964"/>
    <n v="337"/>
    <n v="81079"/>
    <n v="360"/>
    <n v="286"/>
    <n v="15"/>
    <n v="2"/>
    <n v="2091"/>
    <n v="212"/>
    <n v="2303"/>
    <n v="1.1005979599015125"/>
    <n v="74"/>
    <x v="42"/>
    <s v="sábado"/>
    <n v="1.6086956521739131"/>
    <n v="47.292451921697705"/>
    <n v="26.707548078302295"/>
    <n v="1876"/>
    <n v="2959"/>
    <n v="0.62974152400134276"/>
    <n v="0.54423395254736062"/>
  </r>
  <r>
    <x v="42"/>
    <x v="1"/>
    <n v="4981"/>
    <n v="981"/>
    <n v="3899"/>
    <n v="83"/>
    <n v="13"/>
    <n v="84829"/>
    <n v="99"/>
    <n v="31005"/>
    <n v="84"/>
    <n v="72"/>
    <n v="3"/>
    <n v="4"/>
    <n v="369"/>
    <n v="54"/>
    <n v="423"/>
    <n v="1.0792079207920793"/>
    <n v="12"/>
    <x v="42"/>
    <s v="sábado"/>
    <n v="1.0909090909090908"/>
    <n v="12.163883924480491"/>
    <n v="-0.16388392448049061"/>
    <n v="623"/>
    <n v="932"/>
    <n v="0.74610778443113768"/>
    <n v="0.56863941427699816"/>
  </r>
  <r>
    <x v="42"/>
    <x v="2"/>
    <n v="8264"/>
    <n v="1098"/>
    <n v="7009"/>
    <n v="37"/>
    <n v="6"/>
    <n v="140146"/>
    <n v="151"/>
    <n v="77612"/>
    <n v="108"/>
    <n v="67"/>
    <n v="2"/>
    <n v="2"/>
    <n v="1035"/>
    <n v="183"/>
    <n v="1218"/>
    <n v="1.0649854510184287"/>
    <n v="41"/>
    <x v="42"/>
    <s v="sábado"/>
    <n v="1.2424242424242424"/>
    <n v="34.4402076227679"/>
    <n v="6.5597923772320996"/>
    <n v="591"/>
    <n v="1041"/>
    <n v="0.53435804701627487"/>
    <n v="0.52575757575757576"/>
  </r>
  <r>
    <x v="42"/>
    <x v="3"/>
    <n v="10404"/>
    <n v="1739"/>
    <n v="8345"/>
    <n v="75"/>
    <n v="7"/>
    <n v="153161"/>
    <n v="320"/>
    <n v="71701"/>
    <n v="167"/>
    <n v="134"/>
    <n v="15"/>
    <n v="-2"/>
    <n v="1291"/>
    <n v="307"/>
    <n v="1598"/>
    <n v="1.0834890965732087"/>
    <n v="32"/>
    <x v="42"/>
    <s v="sábado"/>
    <n v="1.0666666666666667"/>
    <n v="31.917082577010991"/>
    <n v="8.2917422989009282E-2"/>
    <n v="1085"/>
    <n v="1721"/>
    <n v="0.69152326322498403"/>
    <n v="0.60791239844577882"/>
  </r>
  <r>
    <x v="42"/>
    <x v="4"/>
    <n v="8000"/>
    <n v="983"/>
    <n v="6931"/>
    <n v="56"/>
    <n v="12"/>
    <n v="124323"/>
    <n v="90"/>
    <n v="48180"/>
    <n v="92"/>
    <n v="29"/>
    <n v="2"/>
    <n v="0"/>
    <n v="659"/>
    <n v="94"/>
    <n v="753"/>
    <n v="1.0303983228511531"/>
    <n v="62"/>
    <x v="42"/>
    <s v="sábado"/>
    <n v="2.3846153846153846"/>
    <n v="29.133240692028195"/>
    <n v="32.866759307971805"/>
    <n v="582"/>
    <n v="936"/>
    <n v="0.44258555133079847"/>
    <n v="0.38502673796791442"/>
  </r>
  <r>
    <x v="42"/>
    <x v="5"/>
    <n v="12701"/>
    <n v="2245"/>
    <n v="10239"/>
    <n v="95"/>
    <n v="14"/>
    <n v="216816"/>
    <n v="222"/>
    <n v="96706"/>
    <n v="177"/>
    <n v="88"/>
    <n v="-2"/>
    <n v="2"/>
    <n v="1581"/>
    <n v="231"/>
    <n v="1812"/>
    <n v="1.0407974038015764"/>
    <n v="87"/>
    <x v="42"/>
    <s v="sábado"/>
    <n v="1.3181818181818181"/>
    <n v="64.985331873278909"/>
    <n v="22.014668126721091"/>
    <n v="1323"/>
    <n v="2178"/>
    <n v="0.77915194346289751"/>
    <n v="0.68447517284726589"/>
  </r>
  <r>
    <x v="42"/>
    <x v="6"/>
    <n v="15005"/>
    <n v="2333"/>
    <n v="12388"/>
    <n v="66"/>
    <n v="18"/>
    <n v="266422"/>
    <n v="284"/>
    <n v="60761"/>
    <n v="256"/>
    <n v="166"/>
    <n v="16"/>
    <n v="-1"/>
    <n v="2483"/>
    <n v="135"/>
    <n v="2618"/>
    <n v="1.0766035994462391"/>
    <n v="90"/>
    <x v="42"/>
    <s v="sábado"/>
    <n v="1.0588235294117647"/>
    <n v="88.522735642912934"/>
    <n v="1.4772643570870656"/>
    <n v="1458"/>
    <n v="2236"/>
    <n v="0.75193398659102628"/>
    <n v="0.61546930911092756"/>
  </r>
  <r>
    <x v="42"/>
    <x v="7"/>
    <n v="76254"/>
    <n v="12508"/>
    <n v="62251"/>
    <n v="557"/>
    <n v="98"/>
    <n v="1241661"/>
    <n v="1503"/>
    <n v="467044"/>
    <n v="1244"/>
    <n v="842"/>
    <n v="51"/>
    <n v="7"/>
    <n v="9509"/>
    <n v="1216"/>
    <n v="10725"/>
    <n v="1.0721755528887364"/>
    <n v="398"/>
    <x v="42"/>
    <s v="sábado"/>
    <n v="1.34006734006734"/>
    <n v="295.86418216154254"/>
    <n v="102.13581783845746"/>
    <n v="7538"/>
    <n v="12003"/>
    <n v="0.66449224259520456"/>
    <n v="0.57546265221977178"/>
  </r>
  <r>
    <x v="43"/>
    <x v="0"/>
    <n v="17181"/>
    <n v="3346"/>
    <n v="13502"/>
    <n v="163"/>
    <n v="31"/>
    <n v="257591"/>
    <n v="340"/>
    <n v="81240"/>
    <n v="282"/>
    <n v="217"/>
    <n v="18"/>
    <n v="3"/>
    <n v="1627"/>
    <n v="161"/>
    <n v="1788"/>
    <n v="1.0693512304250559"/>
    <n v="62"/>
    <x v="43"/>
    <s v="domingo"/>
    <n v="0.52542372881355937"/>
    <n v="127.0748527973762"/>
    <n v="-65.074852797376195"/>
    <n v="2000"/>
    <n v="3123"/>
    <n v="0.67136623027861697"/>
    <n v="0.57439764576052965"/>
  </r>
  <r>
    <x v="43"/>
    <x v="1"/>
    <n v="5080"/>
    <n v="1049"/>
    <n v="3928"/>
    <n v="89"/>
    <n v="11"/>
    <n v="85439"/>
    <n v="101"/>
    <n v="31106"/>
    <n v="99"/>
    <n v="68"/>
    <n v="6"/>
    <n v="-2"/>
    <n v="610"/>
    <n v="101"/>
    <n v="711"/>
    <n v="1.0693170234454639"/>
    <n v="29"/>
    <x v="43"/>
    <s v="domingo"/>
    <n v="0.53703703703703709"/>
    <n v="55.155170434462676"/>
    <n v="-26.155170434462676"/>
    <n v="635"/>
    <n v="977"/>
    <n v="0.76047904191616766"/>
    <n v="0.59609517998779749"/>
  </r>
  <r>
    <x v="43"/>
    <x v="2"/>
    <n v="8357"/>
    <n v="1146"/>
    <n v="7054"/>
    <n v="43"/>
    <n v="7"/>
    <n v="141309"/>
    <n v="151"/>
    <n v="77750"/>
    <n v="93"/>
    <n v="48"/>
    <n v="6"/>
    <n v="1"/>
    <n v="1163"/>
    <n v="138"/>
    <n v="1301"/>
    <n v="1.0437158469945356"/>
    <n v="45"/>
    <x v="43"/>
    <s v="domingo"/>
    <n v="0.75"/>
    <n v="64.248653358010614"/>
    <n v="-19.248653358010614"/>
    <n v="627"/>
    <n v="1074"/>
    <n v="0.56690777576853524"/>
    <n v="0.54242424242424248"/>
  </r>
  <r>
    <x v="43"/>
    <x v="3"/>
    <n v="10535"/>
    <n v="1830"/>
    <n v="8385"/>
    <n v="92"/>
    <n v="6"/>
    <n v="154790"/>
    <n v="320"/>
    <n v="72237"/>
    <n v="131"/>
    <n v="91"/>
    <n v="17"/>
    <n v="-1"/>
    <n v="1629"/>
    <n v="536"/>
    <n v="2165"/>
    <n v="1.0523289246693501"/>
    <n v="40"/>
    <x v="43"/>
    <s v="domingo"/>
    <n v="0.45977011494252873"/>
    <n v="90.902396616189023"/>
    <n v="-50.902396616189023"/>
    <n v="1102"/>
    <n v="1765"/>
    <n v="0.70235818992989163"/>
    <n v="0.62345460967855881"/>
  </r>
  <r>
    <x v="43"/>
    <x v="4"/>
    <n v="8126"/>
    <n v="1088"/>
    <n v="6951"/>
    <n v="64"/>
    <n v="13"/>
    <n v="125179"/>
    <n v="91"/>
    <n v="48294"/>
    <n v="126"/>
    <n v="105"/>
    <n v="8"/>
    <n v="1"/>
    <n v="856"/>
    <n v="114"/>
    <n v="970"/>
    <n v="1.1068158697863684"/>
    <n v="20"/>
    <x v="43"/>
    <s v="domingo"/>
    <n v="0.33898305084745761"/>
    <n v="69.910728262300438"/>
    <n v="-49.910728262300438"/>
    <n v="641"/>
    <n v="1003"/>
    <n v="0.48745247148288973"/>
    <n v="0.41258741258741261"/>
  </r>
  <r>
    <x v="43"/>
    <x v="5"/>
    <n v="12841"/>
    <n v="2341"/>
    <n v="10281"/>
    <n v="99"/>
    <n v="16"/>
    <n v="218343"/>
    <n v="224"/>
    <n v="96877"/>
    <n v="140"/>
    <n v="96"/>
    <n v="4"/>
    <n v="2"/>
    <n v="1527"/>
    <n v="171"/>
    <n v="1698"/>
    <n v="1.042761692650334"/>
    <n v="42"/>
    <x v="43"/>
    <s v="domingo"/>
    <n v="0.79245283018867929"/>
    <n v="53.15605013425003"/>
    <n v="-11.15605013425003"/>
    <n v="1364"/>
    <n v="2265"/>
    <n v="0.80329799764428744"/>
    <n v="0.71181646763042117"/>
  </r>
  <r>
    <x v="43"/>
    <x v="6"/>
    <n v="15159"/>
    <n v="2452"/>
    <n v="12422"/>
    <n v="85"/>
    <n v="20"/>
    <n v="267889"/>
    <n v="285"/>
    <n v="60887"/>
    <n v="154"/>
    <n v="119"/>
    <n v="19"/>
    <n v="2"/>
    <n v="1467"/>
    <n v="126"/>
    <n v="1593"/>
    <n v="1.0510072867552507"/>
    <n v="34"/>
    <x v="43"/>
    <s v="domingo"/>
    <n v="1.0303030303030303"/>
    <n v="34.165140357076062"/>
    <n v="-0.16514035707606212"/>
    <n v="1492"/>
    <n v="2357"/>
    <n v="0.76946879834966475"/>
    <n v="0.64877511698320944"/>
  </r>
  <r>
    <x v="43"/>
    <x v="7"/>
    <n v="77279"/>
    <n v="13252"/>
    <n v="62523"/>
    <n v="635"/>
    <n v="104"/>
    <n v="1250540"/>
    <n v="1512"/>
    <n v="468391"/>
    <n v="1025"/>
    <n v="744"/>
    <n v="78"/>
    <n v="6"/>
    <n v="8879"/>
    <n v="1347"/>
    <n v="10226"/>
    <n v="1.0594819315637991"/>
    <n v="272"/>
    <x v="43"/>
    <s v="domingo"/>
    <n v="0.58620689655172409"/>
    <n v="468.18560203369373"/>
    <n v="-196.18560203369373"/>
    <n v="7861"/>
    <n v="12564"/>
    <n v="0.69296544428772922"/>
    <n v="0.60235880717230794"/>
  </r>
  <r>
    <x v="44"/>
    <x v="0"/>
    <n v="17458"/>
    <n v="3533"/>
    <n v="13584"/>
    <n v="167"/>
    <n v="36"/>
    <n v="258846"/>
    <n v="347"/>
    <n v="81702"/>
    <n v="277"/>
    <n v="187"/>
    <n v="4"/>
    <n v="5"/>
    <n v="1255"/>
    <n v="462"/>
    <n v="1717"/>
    <n v="1.0558876270173341"/>
    <n v="82"/>
    <x v="44"/>
    <s v="lunes"/>
    <n v="0.95348837209302328"/>
    <n v="89.11910670549328"/>
    <n v="-7.1191067054932802"/>
    <n v="2098"/>
    <n v="3314"/>
    <n v="0.70426317556226925"/>
    <n v="0.60952731285635464"/>
  </r>
  <r>
    <x v="44"/>
    <x v="1"/>
    <n v="5184"/>
    <n v="1124"/>
    <n v="3953"/>
    <n v="96"/>
    <n v="11"/>
    <n v="86034"/>
    <n v="105"/>
    <n v="31270"/>
    <n v="104"/>
    <n v="75"/>
    <n v="7"/>
    <n v="0"/>
    <n v="595"/>
    <n v="164"/>
    <n v="759"/>
    <n v="1.0714966634890373"/>
    <n v="25"/>
    <x v="44"/>
    <s v="lunes"/>
    <n v="1.1363636363636365"/>
    <n v="22.589265610458742"/>
    <n v="2.4107343895412576"/>
    <n v="688"/>
    <n v="1059"/>
    <n v="0.82395209580838324"/>
    <n v="0.64612568639414281"/>
  </r>
  <r>
    <x v="44"/>
    <x v="2"/>
    <n v="8459"/>
    <n v="1210"/>
    <n v="7090"/>
    <n v="39"/>
    <n v="7"/>
    <n v="141992"/>
    <n v="152"/>
    <n v="78077"/>
    <n v="102"/>
    <n v="64"/>
    <n v="-4"/>
    <n v="0"/>
    <n v="683"/>
    <n v="327"/>
    <n v="1010"/>
    <n v="1.0558464223385688"/>
    <n v="36"/>
    <x v="44"/>
    <s v="lunes"/>
    <n v="0.8"/>
    <n v="43.790481615146618"/>
    <n v="-7.7904816151466179"/>
    <n v="682"/>
    <n v="1131"/>
    <n v="0.6166365280289331"/>
    <n v="0.57121212121212117"/>
  </r>
  <r>
    <x v="44"/>
    <x v="3"/>
    <n v="10742"/>
    <n v="1960"/>
    <n v="8461"/>
    <n v="105"/>
    <n v="8"/>
    <n v="156760"/>
    <n v="321"/>
    <n v="72739"/>
    <n v="207"/>
    <n v="130"/>
    <n v="13"/>
    <n v="2"/>
    <n v="1970"/>
    <n v="502"/>
    <n v="2472"/>
    <n v="1.0710382513661203"/>
    <n v="76"/>
    <x v="44"/>
    <s v="lunes"/>
    <n v="1.2258064516129032"/>
    <n v="64.602857358663442"/>
    <n v="11.397142641336558"/>
    <n v="1185"/>
    <n v="1910"/>
    <n v="0.75525812619502863"/>
    <n v="0.67467326033203812"/>
  </r>
  <r>
    <x v="44"/>
    <x v="4"/>
    <n v="8226"/>
    <n v="1145"/>
    <n v="6993"/>
    <n v="67"/>
    <n v="11"/>
    <n v="126045"/>
    <n v="92"/>
    <n v="48446"/>
    <n v="100"/>
    <n v="57"/>
    <n v="3"/>
    <n v="-2"/>
    <n v="866"/>
    <n v="152"/>
    <n v="1018"/>
    <n v="1.052389705882353"/>
    <n v="42"/>
    <x v="44"/>
    <s v="lunes"/>
    <n v="0.95454545454545459"/>
    <n v="48.608783006565652"/>
    <n v="-6.6087830065656519"/>
    <n v="646"/>
    <n v="1059"/>
    <n v="0.49125475285171105"/>
    <n v="0.43562320032908269"/>
  </r>
  <r>
    <x v="44"/>
    <x v="5"/>
    <n v="13047"/>
    <n v="2507"/>
    <n v="10317"/>
    <n v="100"/>
    <n v="20"/>
    <n v="220220"/>
    <n v="230"/>
    <n v="97275"/>
    <n v="206"/>
    <n v="166"/>
    <n v="1"/>
    <n v="4"/>
    <n v="1877"/>
    <n v="398"/>
    <n v="2275"/>
    <n v="1.070909867577958"/>
    <n v="36"/>
    <x v="44"/>
    <s v="lunes"/>
    <n v="0.6"/>
    <n v="59.889851230148288"/>
    <n v="-23.889851230148288"/>
    <n v="1370"/>
    <n v="2411"/>
    <n v="0.806831566548881"/>
    <n v="0.75769956002514138"/>
  </r>
  <r>
    <x v="44"/>
    <x v="6"/>
    <n v="15346"/>
    <n v="2596"/>
    <n v="12461"/>
    <n v="90"/>
    <n v="21"/>
    <n v="270462"/>
    <n v="289"/>
    <n v="61179"/>
    <n v="187"/>
    <n v="144"/>
    <n v="5"/>
    <n v="1"/>
    <n v="2573"/>
    <n v="292"/>
    <n v="2865"/>
    <n v="1.0587275693311582"/>
    <n v="39"/>
    <x v="44"/>
    <s v="lunes"/>
    <n v="1.21875"/>
    <n v="33.132844554800656"/>
    <n v="5.8671554451993444"/>
    <n v="1531"/>
    <n v="2512"/>
    <n v="0.78958225889633837"/>
    <n v="0.69143958161299202"/>
  </r>
  <r>
    <x v="44"/>
    <x v="7"/>
    <n v="78462"/>
    <n v="14075"/>
    <n v="62859"/>
    <n v="664"/>
    <n v="114"/>
    <n v="1260359"/>
    <n v="1536"/>
    <n v="470688"/>
    <n v="1183"/>
    <n v="823"/>
    <n v="29"/>
    <n v="10"/>
    <n v="9819"/>
    <n v="2297"/>
    <n v="12116"/>
    <n v="1.0621038333836401"/>
    <n v="336"/>
    <x v="44"/>
    <s v="lunes"/>
    <n v="0.95726495726495731"/>
    <n v="343.79187937093144"/>
    <n v="-7.79187937093144"/>
    <n v="8200"/>
    <n v="13396"/>
    <n v="0.72284908321579688"/>
    <n v="0.64224757886662187"/>
  </r>
  <r>
    <x v="45"/>
    <x v="0"/>
    <n v="17893"/>
    <n v="3839"/>
    <n v="13711"/>
    <n v="179"/>
    <n v="39"/>
    <n v="261208"/>
    <n v="349"/>
    <n v="82356"/>
    <n v="435"/>
    <n v="306"/>
    <n v="12"/>
    <n v="3"/>
    <n v="2362"/>
    <n v="654"/>
    <n v="3016"/>
    <n v="1.0866119445230682"/>
    <n v="127"/>
    <x v="45"/>
    <s v="martes"/>
    <n v="0.67914438502673802"/>
    <n v="177.48085696824256"/>
    <n v="-50.480856968242563"/>
    <n v="2277"/>
    <n v="3562"/>
    <n v="0.7643504531722054"/>
    <n v="0.65514070259334189"/>
  </r>
  <r>
    <x v="45"/>
    <x v="1"/>
    <n v="5282"/>
    <n v="1192"/>
    <n v="3982"/>
    <n v="97"/>
    <n v="13"/>
    <n v="86893"/>
    <n v="106"/>
    <n v="31412"/>
    <n v="98"/>
    <n v="68"/>
    <n v="1"/>
    <n v="2"/>
    <n v="859"/>
    <n v="142"/>
    <n v="1001"/>
    <n v="1.0604982206405693"/>
    <n v="29"/>
    <x v="45"/>
    <s v="martes"/>
    <n v="0.52727272727272723"/>
    <n v="55.371973549956373"/>
    <n v="-26.371973549956373"/>
    <n v="712"/>
    <n v="1102"/>
    <n v="0.85269461077844311"/>
    <n v="0.67236119585112875"/>
  </r>
  <r>
    <x v="45"/>
    <x v="2"/>
    <n v="8576"/>
    <n v="1273"/>
    <n v="7138"/>
    <n v="37"/>
    <n v="8"/>
    <n v="143195"/>
    <n v="157"/>
    <n v="78582"/>
    <n v="117"/>
    <n v="63"/>
    <n v="-2"/>
    <n v="1"/>
    <n v="1203"/>
    <n v="505"/>
    <n v="1708"/>
    <n v="1.0520661157024793"/>
    <n v="48"/>
    <x v="45"/>
    <s v="martes"/>
    <n v="0.76190476190476186"/>
    <n v="59.612556614146442"/>
    <n v="-11.612556614146442"/>
    <n v="695"/>
    <n v="1185"/>
    <n v="0.62839059674502717"/>
    <n v="0.59848484848484851"/>
  </r>
  <r>
    <x v="45"/>
    <x v="3"/>
    <n v="10947"/>
    <n v="2107"/>
    <n v="8519"/>
    <n v="103"/>
    <n v="10"/>
    <n v="158507"/>
    <n v="321"/>
    <n v="73220"/>
    <n v="205"/>
    <n v="147"/>
    <n v="-2"/>
    <n v="2"/>
    <n v="1747"/>
    <n v="481"/>
    <n v="2228"/>
    <n v="1.075"/>
    <n v="58"/>
    <x v="45"/>
    <s v="martes"/>
    <n v="0.61052631578947369"/>
    <n v="101.45187979213296"/>
    <n v="-43.451879792132956"/>
    <n v="1255"/>
    <n v="2020"/>
    <n v="0.79987253027405991"/>
    <n v="0.71352878841398804"/>
  </r>
  <r>
    <x v="45"/>
    <x v="4"/>
    <n v="8314"/>
    <n v="1195"/>
    <n v="7031"/>
    <n v="62"/>
    <n v="14"/>
    <n v="127167"/>
    <n v="92"/>
    <n v="48715"/>
    <n v="88"/>
    <n v="50"/>
    <n v="-5"/>
    <n v="3"/>
    <n v="1122"/>
    <n v="269"/>
    <n v="1391"/>
    <n v="1.0436681222707425"/>
    <n v="38"/>
    <x v="45"/>
    <s v="martes"/>
    <n v="1.1515151515151516"/>
    <n v="37.449444397781377"/>
    <n v="0.55055560221862265"/>
    <n v="672"/>
    <n v="1114"/>
    <n v="0.51102661596958177"/>
    <n v="0.45824763471822294"/>
  </r>
  <r>
    <x v="45"/>
    <x v="5"/>
    <n v="13237"/>
    <n v="2593"/>
    <n v="10418"/>
    <n v="106"/>
    <n v="26"/>
    <n v="222178"/>
    <n v="234"/>
    <n v="97852"/>
    <n v="190"/>
    <n v="86"/>
    <n v="6"/>
    <n v="6"/>
    <n v="1958"/>
    <n v="577"/>
    <n v="2535"/>
    <n v="1.0343039489429597"/>
    <n v="101"/>
    <x v="45"/>
    <s v="martes"/>
    <n v="0.64743589743589747"/>
    <n v="152.0668599516323"/>
    <n v="-51.066859951632296"/>
    <n v="1365"/>
    <n v="2445"/>
    <n v="0.80388692579505305"/>
    <n v="0.76838466373350089"/>
  </r>
  <r>
    <x v="45"/>
    <x v="6"/>
    <n v="15585"/>
    <n v="2776"/>
    <n v="12518"/>
    <n v="112"/>
    <n v="22"/>
    <n v="273041"/>
    <n v="291"/>
    <n v="61439"/>
    <n v="239"/>
    <n v="180"/>
    <n v="22"/>
    <n v="1"/>
    <n v="2579"/>
    <n v="260"/>
    <n v="2839"/>
    <n v="1.0693374422187982"/>
    <n v="57"/>
    <x v="45"/>
    <s v="martes"/>
    <n v="0.6"/>
    <n v="98.814898576412261"/>
    <n v="-41.814898576412261"/>
    <n v="1549"/>
    <n v="2656"/>
    <n v="0.79886539453326455"/>
    <n v="0.73107624552711259"/>
  </r>
  <r>
    <x v="45"/>
    <x v="7"/>
    <n v="79834"/>
    <n v="14975"/>
    <n v="63317"/>
    <n v="696"/>
    <n v="132"/>
    <n v="1272189"/>
    <n v="1550"/>
    <n v="473576"/>
    <n v="1372"/>
    <n v="900"/>
    <n v="32"/>
    <n v="18"/>
    <n v="11830"/>
    <n v="2888"/>
    <n v="14718"/>
    <n v="1.0639431616341031"/>
    <n v="458"/>
    <x v="45"/>
    <s v="martes"/>
    <n v="0.66959064327485385"/>
    <n v="665.90335961440724"/>
    <n v="-207.90335961440724"/>
    <n v="8525"/>
    <n v="14084"/>
    <n v="0.7514985895627645"/>
    <n v="0.67523252469076611"/>
  </r>
  <r>
    <x v="46"/>
    <x v="0"/>
    <n v="18335"/>
    <n v="4124"/>
    <n v="13867"/>
    <n v="188"/>
    <n v="38"/>
    <n v="263615"/>
    <n v="350"/>
    <n v="83883"/>
    <n v="442"/>
    <n v="285"/>
    <n v="9"/>
    <n v="-1"/>
    <n v="2407"/>
    <n v="1527"/>
    <n v="3934"/>
    <n v="1.0742380828340714"/>
    <n v="156"/>
    <x v="46"/>
    <s v="miércoles"/>
    <n v="0.98734177215189878"/>
    <n v="151.80252076537533"/>
    <n v="4.1974792346246659"/>
    <n v="2421"/>
    <n v="3846"/>
    <n v="0.81268882175226587"/>
    <n v="0.70737539084053702"/>
  </r>
  <r>
    <x v="46"/>
    <x v="1"/>
    <n v="5423"/>
    <n v="1284"/>
    <n v="4031"/>
    <n v="104"/>
    <n v="14"/>
    <n v="87871"/>
    <n v="106"/>
    <n v="31531"/>
    <n v="141"/>
    <n v="92"/>
    <n v="7"/>
    <n v="1"/>
    <n v="978"/>
    <n v="119"/>
    <n v="1097"/>
    <n v="1.0771812080536913"/>
    <n v="49"/>
    <x v="46"/>
    <s v="miércoles"/>
    <n v="1.5806451612903225"/>
    <n v="30.423408773993753"/>
    <n v="18.576591226006247"/>
    <n v="785"/>
    <n v="1212"/>
    <n v="0.94011976047904189"/>
    <n v="0.7394752898108603"/>
  </r>
  <r>
    <x v="46"/>
    <x v="2"/>
    <n v="8708"/>
    <n v="1361"/>
    <n v="7181"/>
    <n v="39"/>
    <n v="9"/>
    <n v="144363"/>
    <n v="158"/>
    <n v="78820"/>
    <n v="132"/>
    <n v="88"/>
    <n v="2"/>
    <n v="1"/>
    <n v="1168"/>
    <n v="238"/>
    <n v="1406"/>
    <n v="1.0691280439905735"/>
    <n v="43"/>
    <x v="46"/>
    <s v="miércoles"/>
    <n v="0.62318840579710144"/>
    <n v="65.443396647518838"/>
    <n v="-22.443396647518838"/>
    <n v="728"/>
    <n v="1248"/>
    <n v="0.65822784810126578"/>
    <n v="0.63030303030303025"/>
  </r>
  <r>
    <x v="46"/>
    <x v="3"/>
    <n v="11189"/>
    <n v="2251"/>
    <n v="8613"/>
    <n v="114"/>
    <n v="10"/>
    <n v="160146"/>
    <n v="325"/>
    <n v="73641"/>
    <n v="242"/>
    <n v="144"/>
    <n v="11"/>
    <n v="0"/>
    <n v="1639"/>
    <n v="421"/>
    <n v="2060"/>
    <n v="1.068343616516374"/>
    <n v="94"/>
    <x v="46"/>
    <s v="miércoles"/>
    <n v="1.175"/>
    <n v="78.974793787638561"/>
    <n v="15.025206212361439"/>
    <n v="1333"/>
    <n v="2182"/>
    <n v="0.84958572339069471"/>
    <n v="0.77075238431649595"/>
  </r>
  <r>
    <x v="46"/>
    <x v="4"/>
    <n v="8528"/>
    <n v="1374"/>
    <n v="7064"/>
    <n v="74"/>
    <n v="14"/>
    <n v="128359"/>
    <n v="94"/>
    <n v="49049"/>
    <n v="214"/>
    <n v="179"/>
    <n v="12"/>
    <n v="0"/>
    <n v="1192"/>
    <n v="334"/>
    <n v="1526"/>
    <n v="1.1497907949790795"/>
    <n v="33"/>
    <x v="46"/>
    <s v="miércoles"/>
    <n v="0.66"/>
    <n v="56.786676215974673"/>
    <n v="-23.786676215974673"/>
    <n v="801"/>
    <n v="1278"/>
    <n v="0.60912547528517114"/>
    <n v="0.52570958453311389"/>
  </r>
  <r>
    <x v="46"/>
    <x v="5"/>
    <n v="13470"/>
    <n v="2694"/>
    <n v="10547"/>
    <n v="108"/>
    <n v="28"/>
    <n v="224172"/>
    <n v="237"/>
    <n v="98367"/>
    <n v="233"/>
    <n v="101"/>
    <n v="2"/>
    <n v="2"/>
    <n v="1994"/>
    <n v="515"/>
    <n v="2509"/>
    <n v="1.03895102198226"/>
    <n v="129"/>
    <x v="46"/>
    <s v="miércoles"/>
    <n v="1.2169811320754718"/>
    <n v="103.59199641402122"/>
    <n v="25.408003585978776"/>
    <n v="1367"/>
    <n v="2572"/>
    <n v="0.80506478209658416"/>
    <n v="0.80829666876178508"/>
  </r>
  <r>
    <x v="46"/>
    <x v="6"/>
    <n v="15908"/>
    <n v="2942"/>
    <n v="12670"/>
    <n v="117"/>
    <n v="22"/>
    <n v="276342"/>
    <n v="296"/>
    <n v="61803"/>
    <n v="323"/>
    <n v="166"/>
    <n v="5"/>
    <n v="0"/>
    <n v="3301"/>
    <n v="364"/>
    <n v="3665"/>
    <n v="1.0597982708933718"/>
    <n v="152"/>
    <x v="46"/>
    <s v="miércoles"/>
    <n v="0.82608695652173914"/>
    <n v="190.56028476153233"/>
    <n v="-38.56028476153233"/>
    <n v="1628"/>
    <n v="2795"/>
    <n v="0.83960804538421863"/>
    <n v="0.76933663638865946"/>
  </r>
  <r>
    <x v="46"/>
    <x v="7"/>
    <n v="81561"/>
    <n v="16030"/>
    <n v="63973"/>
    <n v="744"/>
    <n v="135"/>
    <n v="1284868"/>
    <n v="1566"/>
    <n v="477094"/>
    <n v="1727"/>
    <n v="1055"/>
    <n v="48"/>
    <n v="3"/>
    <n v="12679"/>
    <n v="3518"/>
    <n v="16197"/>
    <n v="1.0704507512520869"/>
    <n v="656"/>
    <x v="46"/>
    <s v="miércoles"/>
    <n v="0.96755162241887904"/>
    <n v="654.96435771302765"/>
    <n v="1.0356422869723474"/>
    <n v="9063"/>
    <n v="15133"/>
    <n v="0.7989245416078985"/>
    <n v="0.7255249784255442"/>
  </r>
  <r>
    <x v="47"/>
    <x v="0"/>
    <n v="18781"/>
    <n v="4414"/>
    <n v="14019"/>
    <n v="210"/>
    <n v="38"/>
    <n v="266269"/>
    <n v="353"/>
    <n v="84532"/>
    <n v="446"/>
    <n v="290"/>
    <n v="22"/>
    <n v="0"/>
    <n v="2654"/>
    <n v="649"/>
    <n v="3303"/>
    <n v="1.0703200775945685"/>
    <n v="152"/>
    <x v="47"/>
    <s v="jueves"/>
    <n v="1.0066225165562914"/>
    <n v="144.40127888698166"/>
    <n v="7.5987211130183425"/>
    <n v="2572"/>
    <n v="4141"/>
    <n v="0.86337697213830145"/>
    <n v="0.76163325363251788"/>
  </r>
  <r>
    <x v="47"/>
    <x v="1"/>
    <n v="5552"/>
    <n v="1368"/>
    <n v="4073"/>
    <n v="117"/>
    <n v="16"/>
    <n v="88679"/>
    <n v="109"/>
    <n v="31633"/>
    <n v="129"/>
    <n v="84"/>
    <n v="13"/>
    <n v="2"/>
    <n v="808"/>
    <n v="102"/>
    <n v="910"/>
    <n v="1.0654205607476634"/>
    <n v="42"/>
    <x v="47"/>
    <s v="jueves"/>
    <n v="0.84"/>
    <n v="51.500889727639688"/>
    <n v="-9.500889727639688"/>
    <n v="801"/>
    <n v="1291"/>
    <n v="0.95928143712574854"/>
    <n v="0.78767541183648571"/>
  </r>
  <r>
    <x v="47"/>
    <x v="2"/>
    <n v="8871"/>
    <n v="1449"/>
    <n v="7256"/>
    <n v="36"/>
    <n v="10"/>
    <n v="145979"/>
    <n v="158"/>
    <n v="79113"/>
    <n v="163"/>
    <n v="88"/>
    <n v="-3"/>
    <n v="1"/>
    <n v="1616"/>
    <n v="293"/>
    <n v="1909"/>
    <n v="1.0646583394562821"/>
    <n v="75"/>
    <x v="47"/>
    <s v="jueves"/>
    <n v="1.7857142857142858"/>
    <n v="39.561819077371709"/>
    <n v="35.438180922628291"/>
    <n v="806"/>
    <n v="1369"/>
    <n v="0.72875226039783003"/>
    <n v="0.69141414141414137"/>
  </r>
  <r>
    <x v="47"/>
    <x v="3"/>
    <n v="11442"/>
    <n v="2413"/>
    <n v="8702"/>
    <n v="119"/>
    <n v="10"/>
    <n v="161116"/>
    <n v="327"/>
    <n v="74248"/>
    <n v="253"/>
    <n v="162"/>
    <n v="5"/>
    <n v="0"/>
    <n v="970"/>
    <n v="607"/>
    <n v="1577"/>
    <n v="1.071968014215904"/>
    <n v="89"/>
    <x v="47"/>
    <s v="jueves"/>
    <n v="0.87254901960784315"/>
    <n v="101.15833826971536"/>
    <n v="-12.158338269715358"/>
    <n v="1392"/>
    <n v="2333"/>
    <n v="0.88718929254302104"/>
    <n v="0.82409042741080896"/>
  </r>
  <r>
    <x v="47"/>
    <x v="4"/>
    <n v="8690"/>
    <n v="1485"/>
    <n v="7112"/>
    <n v="83"/>
    <n v="14"/>
    <n v="129727"/>
    <n v="96"/>
    <n v="49434"/>
    <n v="162"/>
    <n v="111"/>
    <n v="9"/>
    <n v="0"/>
    <n v="1368"/>
    <n v="385"/>
    <n v="1753"/>
    <n v="1.0807860262008733"/>
    <n v="48"/>
    <x v="47"/>
    <s v="jueves"/>
    <n v="0.87272727272727268"/>
    <n v="61.26058193281024"/>
    <n v="-13.26058193281024"/>
    <n v="882"/>
    <n v="1385"/>
    <n v="0.6707224334600761"/>
    <n v="0.56972439325380497"/>
  </r>
  <r>
    <x v="47"/>
    <x v="5"/>
    <n v="13765"/>
    <n v="2843"/>
    <n v="10691"/>
    <n v="114"/>
    <n v="28"/>
    <n v="226321"/>
    <n v="240"/>
    <n v="98916"/>
    <n v="295"/>
    <n v="149"/>
    <n v="6"/>
    <n v="0"/>
    <n v="2149"/>
    <n v="549"/>
    <n v="2698"/>
    <n v="1.0553080920564217"/>
    <n v="144"/>
    <x v="47"/>
    <s v="jueves"/>
    <n v="0.8044692737430168"/>
    <n v="179.95102085132194"/>
    <n v="-35.951020851321942"/>
    <n v="1452"/>
    <n v="2688"/>
    <n v="0.85512367491166075"/>
    <n v="0.84475172847265867"/>
  </r>
  <r>
    <x v="47"/>
    <x v="6"/>
    <n v="16262"/>
    <n v="3153"/>
    <n v="12809"/>
    <n v="116"/>
    <n v="21"/>
    <n v="278956"/>
    <n v="301"/>
    <n v="62382"/>
    <n v="354"/>
    <n v="211"/>
    <n v="-1"/>
    <n v="-1"/>
    <n v="2614"/>
    <n v="579"/>
    <n v="3193"/>
    <n v="1.0717199184228416"/>
    <n v="139"/>
    <x v="47"/>
    <s v="jueves"/>
    <n v="1.7820512820512822"/>
    <n v="82.050141418061571"/>
    <n v="56.949858581938429"/>
    <n v="1791"/>
    <n v="3071"/>
    <n v="0.92367199587416193"/>
    <n v="0.84530690889072391"/>
  </r>
  <r>
    <x v="47"/>
    <x v="7"/>
    <n v="83363"/>
    <n v="17125"/>
    <n v="64662"/>
    <n v="795"/>
    <n v="137"/>
    <n v="1297047"/>
    <n v="1584"/>
    <n v="480258"/>
    <n v="1802"/>
    <n v="1095"/>
    <n v="51"/>
    <n v="2"/>
    <n v="12179"/>
    <n v="3164"/>
    <n v="15343"/>
    <n v="1.068309419837804"/>
    <n v="689"/>
    <x v="47"/>
    <s v="jueves"/>
    <n v="1.0487062404870624"/>
    <n v="640.75107224668056"/>
    <n v="48.248927753319435"/>
    <n v="9696"/>
    <n v="16278"/>
    <n v="0.85472496473906912"/>
    <n v="0.78041998274043534"/>
  </r>
  <r>
    <x v="48"/>
    <x v="0"/>
    <n v="19330"/>
    <n v="4826"/>
    <n v="14151"/>
    <n v="226"/>
    <n v="38"/>
    <n v="269435"/>
    <n v="358"/>
    <n v="85491"/>
    <n v="549"/>
    <n v="412"/>
    <n v="16"/>
    <n v="0"/>
    <n v="3166"/>
    <n v="959"/>
    <n v="4125"/>
    <n v="1.0933393747168101"/>
    <n v="132"/>
    <x v="48"/>
    <s v="viernes"/>
    <n v="0.66331658291457285"/>
    <n v="191.03426707240831"/>
    <n v="-59.034267072408312"/>
    <n v="2791"/>
    <n v="4491"/>
    <n v="0.93689157435380999"/>
    <n v="0.82600698914842741"/>
  </r>
  <r>
    <x v="48"/>
    <x v="1"/>
    <n v="5701"/>
    <n v="1472"/>
    <n v="4116"/>
    <n v="113"/>
    <n v="19"/>
    <n v="89631"/>
    <n v="111"/>
    <n v="31783"/>
    <n v="149"/>
    <n v="104"/>
    <n v="-4"/>
    <n v="3"/>
    <n v="952"/>
    <n v="150"/>
    <n v="1102"/>
    <n v="1.0760233918128654"/>
    <n v="43"/>
    <x v="48"/>
    <s v="viernes"/>
    <n v="1.303030303030303"/>
    <n v="34.149158648813618"/>
    <n v="8.8508413511863822"/>
    <n v="804"/>
    <n v="1407"/>
    <n v="0.96287425149700601"/>
    <n v="0.8584502745576571"/>
  </r>
  <r>
    <x v="48"/>
    <x v="2"/>
    <n v="9059"/>
    <n v="1545"/>
    <n v="7348"/>
    <n v="41"/>
    <n v="11"/>
    <n v="147474"/>
    <n v="158"/>
    <n v="79484"/>
    <n v="188"/>
    <n v="96"/>
    <n v="5"/>
    <n v="1"/>
    <n v="1495"/>
    <n v="371"/>
    <n v="1866"/>
    <n v="1.0662525879917184"/>
    <n v="92"/>
    <x v="48"/>
    <s v="viernes"/>
    <n v="0.95833333333333337"/>
    <n v="94.100484421747609"/>
    <n v="-2.1004844217476091"/>
    <n v="903"/>
    <n v="1461"/>
    <n v="0.81645569620253167"/>
    <n v="0.73787878787878791"/>
  </r>
  <r>
    <x v="48"/>
    <x v="3"/>
    <n v="11706"/>
    <n v="2568"/>
    <n v="8810"/>
    <n v="129"/>
    <n v="12"/>
    <n v="162711"/>
    <n v="328"/>
    <n v="75051"/>
    <n v="264"/>
    <n v="155"/>
    <n v="10"/>
    <n v="2"/>
    <n v="1595"/>
    <n v="803"/>
    <n v="2398"/>
    <n v="1.064235391628678"/>
    <n v="108"/>
    <x v="48"/>
    <s v="viernes"/>
    <n v="1.08"/>
    <n v="98.951290482052343"/>
    <n v="9.0487095179476569"/>
    <n v="1469"/>
    <n v="2497"/>
    <n v="0.9362651370299554"/>
    <n v="0.8820204874602614"/>
  </r>
  <r>
    <x v="48"/>
    <x v="4"/>
    <n v="8844"/>
    <n v="1579"/>
    <n v="7171"/>
    <n v="84"/>
    <n v="13"/>
    <n v="131128"/>
    <n v="97"/>
    <n v="49887"/>
    <n v="154"/>
    <n v="94"/>
    <n v="1"/>
    <n v="-1"/>
    <n v="1401"/>
    <n v="453"/>
    <n v="1854"/>
    <n v="1.0632996632996632"/>
    <n v="59"/>
    <x v="48"/>
    <s v="viernes"/>
    <n v="0.93650793650793651"/>
    <n v="68.512277862849089"/>
    <n v="-9.5122778628490892"/>
    <n v="936"/>
    <n v="1476"/>
    <n v="0.71178707224334603"/>
    <n v="0.60715754833401891"/>
  </r>
  <r>
    <x v="48"/>
    <x v="5"/>
    <n v="14018"/>
    <n v="2947"/>
    <n v="10838"/>
    <n v="106"/>
    <n v="27"/>
    <n v="228050"/>
    <n v="243"/>
    <n v="99485"/>
    <n v="253"/>
    <n v="104"/>
    <n v="-8"/>
    <n v="-1"/>
    <n v="1729"/>
    <n v="569"/>
    <n v="2298"/>
    <n v="1.0365810763278227"/>
    <n v="147"/>
    <x v="48"/>
    <s v="viernes"/>
    <n v="0.72413793103448276"/>
    <n v="194.36513136798675"/>
    <n v="-47.365131367986749"/>
    <n v="1494"/>
    <n v="2738"/>
    <n v="0.87985865724381629"/>
    <n v="0.86046511627906974"/>
  </r>
  <r>
    <x v="48"/>
    <x v="6"/>
    <n v="16593"/>
    <n v="3349"/>
    <n v="12941"/>
    <n v="126"/>
    <n v="22"/>
    <n v="280950"/>
    <n v="304"/>
    <n v="62733"/>
    <n v="331"/>
    <n v="196"/>
    <n v="10"/>
    <n v="1"/>
    <n v="1994"/>
    <n v="351"/>
    <n v="2345"/>
    <n v="1.062163019346654"/>
    <n v="132"/>
    <x v="48"/>
    <s v="viernes"/>
    <n v="0.6"/>
    <n v="232.1084574795143"/>
    <n v="-100.1084574795143"/>
    <n v="1844"/>
    <n v="3182"/>
    <n v="0.95100567302733363"/>
    <n v="0.87586017065785848"/>
  </r>
  <r>
    <x v="48"/>
    <x v="7"/>
    <n v="85251"/>
    <n v="18286"/>
    <n v="65375"/>
    <n v="825"/>
    <n v="142"/>
    <n v="1309379"/>
    <n v="1599"/>
    <n v="483914"/>
    <n v="1888"/>
    <n v="1161"/>
    <n v="30"/>
    <n v="5"/>
    <n v="12332"/>
    <n v="3656"/>
    <n v="15988"/>
    <n v="1.0677956204379562"/>
    <n v="713"/>
    <x v="48"/>
    <s v="viernes"/>
    <n v="0.78008752735229758"/>
    <n v="878.16511596920441"/>
    <n v="-165.16511596920441"/>
    <n v="10241"/>
    <n v="17252"/>
    <n v="0.90276798307475314"/>
    <n v="0.82711669383449993"/>
  </r>
  <r>
    <x v="49"/>
    <x v="0"/>
    <n v="19779"/>
    <n v="5057"/>
    <n v="14368"/>
    <n v="248"/>
    <n v="39"/>
    <n v="272183"/>
    <n v="359"/>
    <n v="86440"/>
    <n v="449"/>
    <n v="231"/>
    <n v="22"/>
    <n v="1"/>
    <n v="2748"/>
    <n v="949"/>
    <n v="3697"/>
    <n v="1.047865727310402"/>
    <n v="217"/>
    <x v="49"/>
    <s v="sábado"/>
    <n v="1.1793478260869565"/>
    <n v="172.43247744006291"/>
    <n v="44.567522559937089"/>
    <n v="2880"/>
    <n v="4756"/>
    <n v="0.96676737160120851"/>
    <n v="0.87474710318190174"/>
  </r>
  <r>
    <x v="49"/>
    <x v="1"/>
    <n v="5808"/>
    <n v="1544"/>
    <n v="4149"/>
    <n v="124"/>
    <n v="21"/>
    <n v="90517"/>
    <n v="113"/>
    <n v="31852"/>
    <n v="107"/>
    <n v="72"/>
    <n v="11"/>
    <n v="2"/>
    <n v="886"/>
    <n v="69"/>
    <n v="955"/>
    <n v="1.048913043478261"/>
    <n v="33"/>
    <x v="49"/>
    <s v="sábado"/>
    <n v="0.515625"/>
    <n v="61.89966698990694"/>
    <n v="-28.89966698990694"/>
    <n v="827"/>
    <n v="1450"/>
    <n v="0.99041916167664668"/>
    <n v="0.88468578401464304"/>
  </r>
  <r>
    <x v="49"/>
    <x v="2"/>
    <n v="9232"/>
    <n v="1666"/>
    <n v="7398"/>
    <n v="48"/>
    <n v="11"/>
    <n v="148962"/>
    <n v="160"/>
    <n v="79625"/>
    <n v="173"/>
    <n v="121"/>
    <n v="7"/>
    <n v="0"/>
    <n v="1488"/>
    <n v="141"/>
    <n v="1629"/>
    <n v="1.0783171521035599"/>
    <n v="50"/>
    <x v="49"/>
    <s v="sábado"/>
    <n v="0.66666666666666663"/>
    <n v="75.282585087143389"/>
    <n v="-25.282585087143389"/>
    <n v="968"/>
    <n v="1559"/>
    <n v="0.87522603978300184"/>
    <n v="0.78737373737373739"/>
  </r>
  <r>
    <x v="49"/>
    <x v="3"/>
    <n v="11937"/>
    <n v="2691"/>
    <n v="8918"/>
    <n v="143"/>
    <n v="12"/>
    <n v="164423"/>
    <n v="328"/>
    <n v="75520"/>
    <n v="231"/>
    <n v="123"/>
    <n v="14"/>
    <n v="0"/>
    <n v="1712"/>
    <n v="469"/>
    <n v="2181"/>
    <n v="1.0478971962616823"/>
    <n v="108"/>
    <x v="49"/>
    <s v="sábado"/>
    <n v="0.98181818181818181"/>
    <n v="105.73349436018952"/>
    <n v="2.2665056398104753"/>
    <n v="1533"/>
    <n v="2618"/>
    <n v="0.97705544933078392"/>
    <n v="0.92476156835040624"/>
  </r>
  <r>
    <x v="49"/>
    <x v="4"/>
    <n v="8978"/>
    <n v="1650"/>
    <n v="7233"/>
    <n v="102"/>
    <n v="15"/>
    <n v="132183"/>
    <n v="98"/>
    <n v="50225"/>
    <n v="134"/>
    <n v="71"/>
    <n v="18"/>
    <n v="2"/>
    <n v="1055"/>
    <n v="338"/>
    <n v="1393"/>
    <n v="1.0449651678277392"/>
    <n v="62"/>
    <x v="49"/>
    <s v="sábado"/>
    <n v="1.24"/>
    <n v="52.591289774282821"/>
    <n v="9.4087102257171793"/>
    <n v="978"/>
    <n v="1560"/>
    <n v="0.74372623574144492"/>
    <n v="0.64171122994652408"/>
  </r>
  <r>
    <x v="49"/>
    <x v="5"/>
    <n v="14177"/>
    <n v="2924"/>
    <n v="11020"/>
    <n v="112"/>
    <n v="29"/>
    <n v="229725"/>
    <n v="243"/>
    <n v="99886"/>
    <n v="159"/>
    <n v="-23"/>
    <n v="6"/>
    <n v="2"/>
    <n v="1675"/>
    <n v="401"/>
    <n v="2076"/>
    <n v="0.99219545300305401"/>
    <n v="182"/>
    <x v="49"/>
    <s v="sábado"/>
    <n v="1.8571428571428572"/>
    <n v="93.950913297119342"/>
    <n v="88.049086702880658"/>
    <n v="1476"/>
    <n v="2799"/>
    <n v="0.86925795053003529"/>
    <n v="0.87963544940289129"/>
  </r>
  <r>
    <x v="49"/>
    <x v="6"/>
    <n v="16868"/>
    <n v="3460"/>
    <n v="13102"/>
    <n v="139"/>
    <n v="23"/>
    <n v="283886"/>
    <n v="307"/>
    <n v="62910"/>
    <n v="275"/>
    <n v="111"/>
    <n v="13"/>
    <n v="1"/>
    <n v="2936"/>
    <n v="177"/>
    <n v="3113"/>
    <n v="1.0331442221558673"/>
    <n v="161"/>
    <x v="49"/>
    <s v="sábado"/>
    <n v="1.1838235294117647"/>
    <n v="137.06055293538807"/>
    <n v="23.939447064611926"/>
    <n v="1863"/>
    <n v="3321"/>
    <n v="0.96080453842186697"/>
    <n v="0.91412056151940546"/>
  </r>
  <r>
    <x v="49"/>
    <x v="7"/>
    <n v="86779"/>
    <n v="18992"/>
    <n v="66188"/>
    <n v="916"/>
    <n v="150"/>
    <n v="1321879"/>
    <n v="1608"/>
    <n v="486458"/>
    <n v="1528"/>
    <n v="706"/>
    <n v="91"/>
    <n v="8"/>
    <n v="12500"/>
    <n v="2544"/>
    <n v="15044"/>
    <n v="1.0386087717379415"/>
    <n v="813"/>
    <x v="49"/>
    <s v="sábado"/>
    <n v="1.1338912133891212"/>
    <n v="673.24419612098416"/>
    <n v="139.75580387901584"/>
    <n v="10525"/>
    <n v="18063"/>
    <n v="0.92780324400564174"/>
    <n v="0.86599865758941419"/>
  </r>
  <r>
    <x v="50"/>
    <x v="0"/>
    <n v="20079"/>
    <n v="5225"/>
    <n v="14492"/>
    <n v="272"/>
    <n v="43"/>
    <n v="274248"/>
    <n v="367"/>
    <n v="86912"/>
    <n v="300"/>
    <n v="168"/>
    <n v="24"/>
    <n v="4"/>
    <n v="2065"/>
    <n v="472"/>
    <n v="2537"/>
    <n v="1.0332212774372158"/>
    <n v="124"/>
    <x v="50"/>
    <s v="domingo"/>
    <n v="0.78481012658227844"/>
    <n v="146.01569016894294"/>
    <n v="-22.015690168942939"/>
    <n v="2898"/>
    <n v="4898"/>
    <n v="0.97280966767371602"/>
    <n v="0.90086444730549931"/>
  </r>
  <r>
    <x v="50"/>
    <x v="1"/>
    <n v="5914"/>
    <n v="1573"/>
    <n v="4226"/>
    <n v="131"/>
    <n v="23"/>
    <n v="91143"/>
    <n v="113"/>
    <n v="31920"/>
    <n v="106"/>
    <n v="29"/>
    <n v="7"/>
    <n v="2"/>
    <n v="626"/>
    <n v="68"/>
    <n v="694"/>
    <n v="1.0187823834196892"/>
    <n v="77"/>
    <x v="50"/>
    <s v="domingo"/>
    <n v="0.88505747126436785"/>
    <n v="80.444338981071411"/>
    <n v="-3.4443389810714109"/>
    <n v="834"/>
    <n v="1469"/>
    <n v="0.99880239520958081"/>
    <n v="0.89627821842586941"/>
  </r>
  <r>
    <x v="50"/>
    <x v="2"/>
    <n v="9353"/>
    <n v="1731"/>
    <n v="7454"/>
    <n v="51"/>
    <n v="15"/>
    <n v="150014"/>
    <n v="160"/>
    <n v="79847"/>
    <n v="121"/>
    <n v="65"/>
    <n v="3"/>
    <n v="4"/>
    <n v="1052"/>
    <n v="222"/>
    <n v="1274"/>
    <n v="1.0390156062424969"/>
    <n v="56"/>
    <x v="50"/>
    <s v="domingo"/>
    <n v="0.98245614035087714"/>
    <n v="51.416063367527656"/>
    <n v="4.5839366324723443"/>
    <n v="996"/>
    <n v="1623"/>
    <n v="0.90054249547920429"/>
    <n v="0.8196969696969697"/>
  </r>
  <r>
    <x v="50"/>
    <x v="3"/>
    <n v="12087"/>
    <n v="2761"/>
    <n v="8996"/>
    <n v="156"/>
    <n v="12"/>
    <n v="166567"/>
    <n v="330"/>
    <n v="75859"/>
    <n v="150"/>
    <n v="70"/>
    <n v="13"/>
    <n v="0"/>
    <n v="2144"/>
    <n v="339"/>
    <n v="2483"/>
    <n v="1.026012634708287"/>
    <n v="78"/>
    <x v="50"/>
    <s v="domingo"/>
    <n v="0.68421052631578949"/>
    <n v="108.41243960965096"/>
    <n v="-30.41243960965096"/>
    <n v="1552"/>
    <n v="2654"/>
    <n v="0.9891650732950924"/>
    <n v="0.937477922995408"/>
  </r>
  <r>
    <x v="50"/>
    <x v="4"/>
    <n v="9179"/>
    <n v="1818"/>
    <n v="7263"/>
    <n v="107"/>
    <n v="15"/>
    <n v="133480"/>
    <n v="101"/>
    <n v="50481"/>
    <n v="201"/>
    <n v="168"/>
    <n v="5"/>
    <n v="0"/>
    <n v="1297"/>
    <n v="256"/>
    <n v="1553"/>
    <n v="1.1018181818181818"/>
    <n v="30"/>
    <x v="50"/>
    <s v="domingo"/>
    <n v="0.44776119402985076"/>
    <n v="72.661272396917852"/>
    <n v="-42.661272396917852"/>
    <n v="1053"/>
    <n v="1694"/>
    <n v="0.80076045627376424"/>
    <n v="0.69683257918552033"/>
  </r>
  <r>
    <x v="50"/>
    <x v="5"/>
    <n v="14471"/>
    <n v="3118"/>
    <n v="11119"/>
    <n v="122"/>
    <n v="32"/>
    <n v="232286"/>
    <n v="243"/>
    <n v="100122"/>
    <n v="294"/>
    <n v="194"/>
    <n v="10"/>
    <n v="3"/>
    <n v="2561"/>
    <n v="236"/>
    <n v="2797"/>
    <n v="1.0663474692202461"/>
    <n v="99"/>
    <x v="50"/>
    <s v="domingo"/>
    <n v="1"/>
    <n v="98.554003215806034"/>
    <n v="0.44599678419396582"/>
    <n v="1630"/>
    <n v="2994"/>
    <n v="0.9599528857479388"/>
    <n v="0.94091766184789438"/>
  </r>
  <r>
    <x v="50"/>
    <x v="6"/>
    <n v="17098"/>
    <n v="3542"/>
    <n v="13250"/>
    <n v="154"/>
    <n v="21"/>
    <n v="286677"/>
    <n v="308"/>
    <n v="63044"/>
    <n v="230"/>
    <n v="82"/>
    <n v="15"/>
    <n v="-2"/>
    <n v="2791"/>
    <n v="134"/>
    <n v="2925"/>
    <n v="1.0236994219653179"/>
    <n v="148"/>
    <x v="50"/>
    <s v="domingo"/>
    <n v="1.2333333333333334"/>
    <n v="115.91800566050723"/>
    <n v="32.081994339492766"/>
    <n v="1939"/>
    <n v="3431"/>
    <n v="1"/>
    <n v="0.94439856867602534"/>
  </r>
  <r>
    <x v="50"/>
    <x v="7"/>
    <n v="88181"/>
    <n v="19768"/>
    <n v="66800"/>
    <n v="993"/>
    <n v="161"/>
    <n v="1334415"/>
    <n v="1622"/>
    <n v="488185"/>
    <n v="1402"/>
    <n v="776"/>
    <n v="77"/>
    <n v="11"/>
    <n v="12536"/>
    <n v="1727"/>
    <n v="14263"/>
    <n v="1.0408593091828138"/>
    <n v="612"/>
    <x v="50"/>
    <s v="domingo"/>
    <n v="0.87179487179487181"/>
    <n v="649.93804746901594"/>
    <n v="-37.938047469015942"/>
    <n v="10902"/>
    <n v="18763"/>
    <n v="0.9610366713681241"/>
    <n v="0.89955892223607248"/>
  </r>
  <r>
    <x v="51"/>
    <x v="0"/>
    <n v="20426"/>
    <n v="5389"/>
    <n v="14668"/>
    <n v="282"/>
    <n v="47"/>
    <n v="275827"/>
    <n v="376"/>
    <n v="87598"/>
    <n v="347"/>
    <n v="164"/>
    <n v="10"/>
    <n v="4"/>
    <n v="1579"/>
    <n v="686"/>
    <n v="2265"/>
    <n v="1.0313875598086124"/>
    <n v="176"/>
    <x v="51"/>
    <s v="lunes"/>
    <n v="0.98324022346368711"/>
    <n v="163.4705897664426"/>
    <n v="12.5294102335574"/>
    <n v="2968"/>
    <n v="5066"/>
    <n v="0.99630748573346761"/>
    <n v="0.93176384035313597"/>
  </r>
  <r>
    <x v="51"/>
    <x v="1"/>
    <n v="6019"/>
    <n v="1616"/>
    <n v="4283"/>
    <n v="132"/>
    <n v="24"/>
    <n v="91947"/>
    <n v="118"/>
    <n v="32101"/>
    <n v="105"/>
    <n v="43"/>
    <n v="1"/>
    <n v="1"/>
    <n v="804"/>
    <n v="181"/>
    <n v="985"/>
    <n v="1.0273363000635727"/>
    <n v="57"/>
    <x v="51"/>
    <s v="lunes"/>
    <n v="1.1176470588235294"/>
    <n v="47.876699944568955"/>
    <n v="9.1233000554310451"/>
    <n v="835"/>
    <n v="1523"/>
    <n v="1"/>
    <n v="0.92922513727882861"/>
  </r>
  <r>
    <x v="51"/>
    <x v="2"/>
    <n v="9469"/>
    <n v="1798"/>
    <n v="7501"/>
    <n v="57"/>
    <n v="15"/>
    <n v="151191"/>
    <n v="162"/>
    <n v="80319"/>
    <n v="116"/>
    <n v="67"/>
    <n v="6"/>
    <n v="0"/>
    <n v="1177"/>
    <n v="472"/>
    <n v="1649"/>
    <n v="1.0387059503177354"/>
    <n v="47"/>
    <x v="51"/>
    <s v="lunes"/>
    <n v="1"/>
    <n v="43.42982738593075"/>
    <n v="3.57017261406925"/>
    <n v="1010"/>
    <n v="1692"/>
    <n v="0.91320072332730562"/>
    <n v="0.8545454545454545"/>
  </r>
  <r>
    <x v="51"/>
    <x v="3"/>
    <n v="12298"/>
    <n v="2866"/>
    <n v="9099"/>
    <n v="164"/>
    <n v="12"/>
    <n v="168760"/>
    <n v="333"/>
    <n v="77304"/>
    <n v="211"/>
    <n v="105"/>
    <n v="8"/>
    <n v="0"/>
    <n v="2193"/>
    <n v="1445"/>
    <n v="3638"/>
    <n v="1.038029699384281"/>
    <n v="103"/>
    <x v="51"/>
    <s v="lunes"/>
    <n v="0.83064516129032262"/>
    <n v="115.54707895958455"/>
    <n v="-12.547078959584553"/>
    <n v="1556"/>
    <n v="2741"/>
    <n v="0.99171446781389416"/>
    <n v="0.9682091133874956"/>
  </r>
  <r>
    <x v="51"/>
    <x v="4"/>
    <n v="9395"/>
    <n v="1940"/>
    <n v="7357"/>
    <n v="113"/>
    <n v="15"/>
    <n v="134737"/>
    <n v="101"/>
    <n v="50988"/>
    <n v="216"/>
    <n v="122"/>
    <n v="6"/>
    <n v="0"/>
    <n v="1257"/>
    <n v="507"/>
    <n v="1764"/>
    <n v="1.0671067106710672"/>
    <n v="94"/>
    <x v="51"/>
    <s v="lunes"/>
    <n v="0.98947368421052628"/>
    <n v="97.812661057233001"/>
    <n v="-3.8126610572330009"/>
    <n v="1169"/>
    <n v="1815"/>
    <n v="0.88897338403041826"/>
    <n v="0.74660633484162897"/>
  </r>
  <r>
    <x v="51"/>
    <x v="5"/>
    <n v="14710"/>
    <n v="3242"/>
    <n v="11229"/>
    <n v="124"/>
    <n v="34"/>
    <n v="234472"/>
    <n v="248"/>
    <n v="100673"/>
    <n v="239"/>
    <n v="124"/>
    <n v="2"/>
    <n v="2"/>
    <n v="2186"/>
    <n v="551"/>
    <n v="2737"/>
    <n v="1.0397690827453496"/>
    <n v="110"/>
    <x v="51"/>
    <s v="lunes"/>
    <n v="0.55000000000000004"/>
    <n v="202.10651519256024"/>
    <n v="-92.106515192560238"/>
    <n v="1663"/>
    <n v="3033"/>
    <n v="0.97938751472320373"/>
    <n v="0.95317410433689509"/>
  </r>
  <r>
    <x v="51"/>
    <x v="6"/>
    <n v="17275"/>
    <n v="3630"/>
    <n v="13336"/>
    <n v="159"/>
    <n v="23"/>
    <n v="288406"/>
    <n v="311"/>
    <n v="63407"/>
    <n v="177"/>
    <n v="88"/>
    <n v="5"/>
    <n v="2"/>
    <n v="1729"/>
    <n v="363"/>
    <n v="2092"/>
    <n v="1.0248447204968945"/>
    <n v="86"/>
    <x v="51"/>
    <s v="lunes"/>
    <n v="0.58108108108108103"/>
    <n v="149.49814104722634"/>
    <n v="-63.498141047226341"/>
    <n v="1929"/>
    <n v="3460"/>
    <n v="0.99484270242392991"/>
    <n v="0.95238095238095233"/>
  </r>
  <r>
    <x v="51"/>
    <x v="7"/>
    <n v="89592"/>
    <n v="20481"/>
    <n v="67473"/>
    <n v="1031"/>
    <n v="170"/>
    <n v="1345340"/>
    <n v="1649"/>
    <n v="492390"/>
    <n v="1411"/>
    <n v="713"/>
    <n v="38"/>
    <n v="9"/>
    <n v="10925"/>
    <n v="4205"/>
    <n v="15130"/>
    <n v="1.0360683933630108"/>
    <n v="673"/>
    <x v="51"/>
    <s v="lunes"/>
    <n v="0.79739336492891"/>
    <n v="784.17147735796675"/>
    <n v="-111.17147735796675"/>
    <n v="11130"/>
    <n v="19330"/>
    <n v="0.98113540197461213"/>
    <n v="0.92674273659986572"/>
  </r>
  <r>
    <x v="52"/>
    <x v="0"/>
    <n v="20872"/>
    <n v="5679"/>
    <n v="14821"/>
    <n v="305"/>
    <n v="48"/>
    <n v="278486"/>
    <n v="379"/>
    <n v="88439"/>
    <n v="446"/>
    <n v="290"/>
    <n v="23"/>
    <n v="1"/>
    <n v="2659"/>
    <n v="841"/>
    <n v="3500"/>
    <n v="1.0538133234366303"/>
    <n v="153"/>
    <x v="52"/>
    <s v="martes"/>
    <n v="0.59765625"/>
    <n v="232.46800317045191"/>
    <n v="-79.468003170451908"/>
    <n v="2979"/>
    <n v="5256"/>
    <n v="1"/>
    <n v="0.96670958249034389"/>
  </r>
  <r>
    <x v="52"/>
    <x v="1"/>
    <n v="6115"/>
    <n v="1669"/>
    <n v="4324"/>
    <n v="136"/>
    <n v="26"/>
    <n v="92922"/>
    <n v="120"/>
    <n v="32216"/>
    <n v="96"/>
    <n v="53"/>
    <n v="4"/>
    <n v="2"/>
    <n v="975"/>
    <n v="115"/>
    <n v="1090"/>
    <n v="1.0327970297029703"/>
    <n v="41"/>
    <x v="52"/>
    <s v="martes"/>
    <n v="0.55405405405405406"/>
    <n v="72.277193718469519"/>
    <n v="-31.277193718469519"/>
    <n v="833"/>
    <n v="1545"/>
    <n v="0.99760479041916172"/>
    <n v="0.9426479560707749"/>
  </r>
  <r>
    <x v="52"/>
    <x v="2"/>
    <n v="9680"/>
    <n v="1954"/>
    <n v="7556"/>
    <n v="58"/>
    <n v="15"/>
    <n v="152684"/>
    <n v="162"/>
    <n v="80867"/>
    <n v="211"/>
    <n v="156"/>
    <n v="1"/>
    <n v="0"/>
    <n v="1493"/>
    <n v="548"/>
    <n v="2041"/>
    <n v="1.0867630700778643"/>
    <n v="55"/>
    <x v="52"/>
    <s v="martes"/>
    <n v="0.52884615384615385"/>
    <n v="97.492900720235809"/>
    <n v="-42.492900720235809"/>
    <n v="1104"/>
    <n v="1799"/>
    <n v="0.99819168173598549"/>
    <n v="0.90858585858585861"/>
  </r>
  <r>
    <x v="52"/>
    <x v="3"/>
    <n v="12516"/>
    <n v="2980"/>
    <n v="9200"/>
    <n v="172"/>
    <n v="14"/>
    <n v="170167"/>
    <n v="335"/>
    <n v="80324"/>
    <n v="218"/>
    <n v="114"/>
    <n v="8"/>
    <n v="2"/>
    <n v="1407"/>
    <n v="3020"/>
    <n v="4427"/>
    <n v="1.0397766922540126"/>
    <n v="101"/>
    <x v="52"/>
    <s v="martes"/>
    <n v="0.74814814814814812"/>
    <n v="125.5927299732804"/>
    <n v="-24.592729973280399"/>
    <n v="1569"/>
    <n v="2824"/>
    <n v="1"/>
    <n v="0.99752737548569415"/>
  </r>
  <r>
    <x v="52"/>
    <x v="4"/>
    <n v="9560"/>
    <n v="2022"/>
    <n v="7440"/>
    <n v="118"/>
    <n v="16"/>
    <n v="135936"/>
    <n v="101"/>
    <n v="51388"/>
    <n v="165"/>
    <n v="82"/>
    <n v="5"/>
    <n v="1"/>
    <n v="1199"/>
    <n v="400"/>
    <n v="1599"/>
    <n v="1.0422680412371135"/>
    <n v="83"/>
    <x v="52"/>
    <s v="martes"/>
    <n v="1.3387096774193548"/>
    <n v="63.334802431259895"/>
    <n v="19.665197568740105"/>
    <n v="1246"/>
    <n v="1918"/>
    <n v="0.9475285171102662"/>
    <n v="0.78897573015220079"/>
  </r>
  <r>
    <x v="52"/>
    <x v="5"/>
    <n v="14935"/>
    <n v="3309"/>
    <n v="11385"/>
    <n v="126"/>
    <n v="36"/>
    <n v="236459"/>
    <n v="250"/>
    <n v="101308"/>
    <n v="225"/>
    <n v="67"/>
    <n v="2"/>
    <n v="2"/>
    <n v="1987"/>
    <n v="635"/>
    <n v="2622"/>
    <n v="1.0206662553979025"/>
    <n v="156"/>
    <x v="52"/>
    <s v="martes"/>
    <n v="0.8"/>
    <n v="191.55980469369862"/>
    <n v="-35.559804693698624"/>
    <n v="1698"/>
    <n v="3063"/>
    <n v="1"/>
    <n v="0.96260213702074171"/>
  </r>
  <r>
    <x v="52"/>
    <x v="6"/>
    <n v="17500"/>
    <n v="3680"/>
    <n v="13511"/>
    <n v="178"/>
    <n v="23"/>
    <n v="290988"/>
    <n v="312"/>
    <n v="63849"/>
    <n v="225"/>
    <n v="50"/>
    <n v="19"/>
    <n v="0"/>
    <n v="2582"/>
    <n v="442"/>
    <n v="3024"/>
    <n v="1.0137741046831956"/>
    <n v="175"/>
    <x v="52"/>
    <s v="martes"/>
    <n v="0.79185520361990946"/>
    <n v="221.95439582064574"/>
    <n v="-46.954395820645743"/>
    <n v="1915"/>
    <n v="3464"/>
    <n v="0.98762248581743162"/>
    <n v="0.95348197082301134"/>
  </r>
  <r>
    <x v="52"/>
    <x v="7"/>
    <n v="91178"/>
    <n v="21293"/>
    <n v="68237"/>
    <n v="1093"/>
    <n v="178"/>
    <n v="1357642"/>
    <n v="1659"/>
    <n v="498391"/>
    <n v="1586"/>
    <n v="812"/>
    <n v="62"/>
    <n v="8"/>
    <n v="12302"/>
    <n v="6001"/>
    <n v="18303"/>
    <n v="1.0396465016356624"/>
    <n v="764"/>
    <x v="52"/>
    <s v="martes"/>
    <n v="0.72970391595033424"/>
    <n v="967.63254448936402"/>
    <n v="-203.63254448936402"/>
    <n v="11344"/>
    <n v="19869"/>
    <n v="1"/>
    <n v="0.95258414037779271"/>
  </r>
  <r>
    <x v="53"/>
    <x v="0"/>
    <n v="21281"/>
    <n v="5855"/>
    <n v="15043"/>
    <n v="310"/>
    <n v="59"/>
    <n v="281768"/>
    <n v="391"/>
    <n v="89637"/>
    <n v="409"/>
    <n v="176"/>
    <n v="5"/>
    <n v="11"/>
    <n v="3282"/>
    <n v="1198"/>
    <n v="4480"/>
    <n v="1.0309913717203734"/>
    <n v="222"/>
    <x v="53"/>
    <s v="miércoles"/>
    <n v="0.74496644295302017"/>
    <n v="273.12575546156046"/>
    <n v="-51.125755461560459"/>
    <n v="2946"/>
    <n v="5367"/>
    <n v="0.98892245720040284"/>
    <n v="0.98712525289681807"/>
  </r>
  <r>
    <x v="53"/>
    <x v="1"/>
    <n v="6230"/>
    <n v="1706"/>
    <n v="4402"/>
    <n v="135"/>
    <n v="30"/>
    <n v="93776"/>
    <n v="120"/>
    <n v="32380"/>
    <n v="115"/>
    <n v="37"/>
    <n v="-1"/>
    <n v="4"/>
    <n v="854"/>
    <n v="164"/>
    <n v="1018"/>
    <n v="1.0221689634511684"/>
    <n v="78"/>
    <x v="53"/>
    <s v="miércoles"/>
    <n v="1.1470588235294117"/>
    <n v="64.898476595865162"/>
    <n v="13.101523404134838"/>
    <n v="807"/>
    <n v="1592"/>
    <n v="0.96646706586826348"/>
    <n v="0.97132397803538739"/>
  </r>
  <r>
    <x v="53"/>
    <x v="2"/>
    <n v="9814"/>
    <n v="1978"/>
    <n v="7665"/>
    <n v="57"/>
    <n v="15"/>
    <n v="154202"/>
    <n v="163"/>
    <n v="81248"/>
    <n v="134"/>
    <n v="24"/>
    <n v="-1"/>
    <n v="0"/>
    <n v="1518"/>
    <n v="381"/>
    <n v="1899"/>
    <n v="1.0122824974411464"/>
    <n v="109"/>
    <x v="53"/>
    <s v="miércoles"/>
    <n v="1.101010101010101"/>
    <n v="93.29258269110359"/>
    <n v="15.70741730889641"/>
    <n v="1106"/>
    <n v="1834"/>
    <n v="1"/>
    <n v="0.92626262626262623"/>
  </r>
  <r>
    <x v="53"/>
    <x v="3"/>
    <n v="12687"/>
    <n v="2968"/>
    <n v="9378"/>
    <n v="177"/>
    <n v="14"/>
    <n v="171347"/>
    <n v="340"/>
    <n v="81041"/>
    <n v="171"/>
    <n v="-12"/>
    <n v="5"/>
    <n v="0"/>
    <n v="1180"/>
    <n v="717"/>
    <n v="1897"/>
    <n v="0.99597315436241607"/>
    <n v="178"/>
    <x v="53"/>
    <s v="miércoles"/>
    <n v="1.0853658536585367"/>
    <n v="151.05604678667464"/>
    <n v="26.943953213325358"/>
    <n v="1498"/>
    <n v="2831"/>
    <n v="0.95474824729126828"/>
    <n v="1"/>
  </r>
  <r>
    <x v="53"/>
    <x v="4"/>
    <n v="9747"/>
    <n v="2154"/>
    <n v="7491"/>
    <n v="116"/>
    <n v="17"/>
    <n v="137290"/>
    <n v="105"/>
    <n v="51916"/>
    <n v="187"/>
    <n v="132"/>
    <n v="-2"/>
    <n v="1"/>
    <n v="1354"/>
    <n v="528"/>
    <n v="1882"/>
    <n v="1.0652818991097923"/>
    <n v="51"/>
    <x v="53"/>
    <s v="miércoles"/>
    <n v="0.6"/>
    <n v="90.490196272923257"/>
    <n v="-39.490196272923257"/>
    <n v="1219"/>
    <n v="2020"/>
    <n v="0.92699619771863118"/>
    <n v="0.83093377211024266"/>
  </r>
  <r>
    <x v="53"/>
    <x v="5"/>
    <n v="15132"/>
    <n v="3271"/>
    <n v="11616"/>
    <n v="119"/>
    <n v="35"/>
    <n v="238642"/>
    <n v="253"/>
    <n v="102112"/>
    <n v="197"/>
    <n v="-38"/>
    <n v="-7"/>
    <n v="-1"/>
    <n v="2183"/>
    <n v="804"/>
    <n v="2987"/>
    <n v="0.98851616802659414"/>
    <n v="231"/>
    <x v="53"/>
    <s v="miércoles"/>
    <n v="1"/>
    <n v="224.98832807771018"/>
    <n v="6.0116719222898212"/>
    <n v="1662"/>
    <n v="3029"/>
    <n v="0.97879858657243812"/>
    <n v="0.9519170333123822"/>
  </r>
  <r>
    <x v="53"/>
    <x v="6"/>
    <n v="17755"/>
    <n v="3681"/>
    <n v="13761"/>
    <n v="172"/>
    <n v="23"/>
    <n v="293411"/>
    <n v="316"/>
    <n v="64129"/>
    <n v="255"/>
    <n v="1"/>
    <n v="-6"/>
    <n v="0"/>
    <n v="2423"/>
    <n v="280"/>
    <n v="2703"/>
    <n v="1.0002717391304348"/>
    <n v="250"/>
    <x v="53"/>
    <s v="miércoles"/>
    <n v="1.0245901639344261"/>
    <n v="240.49653182180322"/>
    <n v="9.5034681781967834"/>
    <n v="1847"/>
    <n v="3475"/>
    <n v="0.95255286230015468"/>
    <n v="0.95650977153867323"/>
  </r>
  <r>
    <x v="53"/>
    <x v="7"/>
    <n v="92646"/>
    <n v="21613"/>
    <n v="69356"/>
    <n v="1086"/>
    <n v="193"/>
    <n v="1370436"/>
    <n v="1688"/>
    <n v="502463"/>
    <n v="1468"/>
    <n v="320"/>
    <n v="-7"/>
    <n v="15"/>
    <n v="12794"/>
    <n v="4072"/>
    <n v="16866"/>
    <n v="1.015028413093505"/>
    <n v="1119"/>
    <x v="53"/>
    <s v="miércoles"/>
    <n v="0.94112699747687134"/>
    <n v="1096.6181517688501"/>
    <n v="22.381848231149888"/>
    <n v="11085"/>
    <n v="20148"/>
    <n v="0.97716854724964741"/>
    <n v="0.96596030300124658"/>
  </r>
  <r>
    <x v="54"/>
    <x v="0"/>
    <n v="21646"/>
    <n v="5912"/>
    <n v="15343"/>
    <n v="321"/>
    <n v="69"/>
    <n v="284869"/>
    <n v="400"/>
    <n v="91501"/>
    <n v="365"/>
    <n v="57"/>
    <n v="11"/>
    <n v="10"/>
    <n v="3101"/>
    <n v="1864"/>
    <n v="4965"/>
    <n v="1.0097352690008539"/>
    <n v="300"/>
    <x v="54"/>
    <s v="jueves"/>
    <n v="1.0169491525423728"/>
    <n v="272.23572141844136"/>
    <n v="27.764278581558642"/>
    <n v="2865"/>
    <n v="5437"/>
    <n v="0.96173212487411885"/>
    <n v="1"/>
  </r>
  <r>
    <x v="54"/>
    <x v="1"/>
    <n v="6375"/>
    <n v="1796"/>
    <n v="4454"/>
    <n v="150"/>
    <n v="25"/>
    <n v="94932"/>
    <n v="123"/>
    <n v="32565"/>
    <n v="145"/>
    <n v="90"/>
    <n v="15"/>
    <n v="-5"/>
    <n v="1156"/>
    <n v="185"/>
    <n v="1341"/>
    <n v="1.0527549824150058"/>
    <n v="52"/>
    <x v="54"/>
    <s v="jueves"/>
    <n v="0.46017699115044247"/>
    <n v="111.38713932912327"/>
    <n v="-59.387139329123272"/>
    <n v="823"/>
    <n v="1624"/>
    <n v="0.98562874251497001"/>
    <n v="0.9908480780964003"/>
  </r>
  <r>
    <x v="54"/>
    <x v="2"/>
    <n v="9937"/>
    <n v="2009"/>
    <n v="7752"/>
    <n v="56"/>
    <n v="16"/>
    <n v="155706"/>
    <n v="168"/>
    <n v="81543"/>
    <n v="123"/>
    <n v="31"/>
    <n v="-1"/>
    <n v="1"/>
    <n v="1504"/>
    <n v="295"/>
    <n v="1799"/>
    <n v="1.0156723963599597"/>
    <n v="87"/>
    <x v="54"/>
    <s v="jueves"/>
    <n v="1.0235294117647058"/>
    <n v="81.456408056045149"/>
    <n v="5.5435919439548513"/>
    <n v="1066"/>
    <n v="1872"/>
    <n v="0.96383363471971062"/>
    <n v="0.94545454545454544"/>
  </r>
  <r>
    <x v="54"/>
    <x v="3"/>
    <n v="12877"/>
    <n v="2989"/>
    <n v="9540"/>
    <n v="178"/>
    <n v="12"/>
    <n v="173062"/>
    <n v="347"/>
    <n v="82186"/>
    <n v="190"/>
    <n v="21"/>
    <n v="1"/>
    <n v="-2"/>
    <n v="1715"/>
    <n v="1145"/>
    <n v="2860"/>
    <n v="1.0070754716981132"/>
    <n v="162"/>
    <x v="54"/>
    <s v="jueves"/>
    <n v="0.83505154639175261"/>
    <n v="184.28939675812993"/>
    <n v="-22.289396758129925"/>
    <n v="1435"/>
    <n v="2827"/>
    <n v="0.9145952836201402"/>
    <n v="0.99858707170611094"/>
  </r>
  <r>
    <x v="54"/>
    <x v="4"/>
    <n v="9917"/>
    <n v="2246"/>
    <n v="7569"/>
    <n v="119"/>
    <n v="25"/>
    <n v="138517"/>
    <n v="105"/>
    <n v="52471"/>
    <n v="170"/>
    <n v="92"/>
    <n v="3"/>
    <n v="8"/>
    <n v="1227"/>
    <n v="555"/>
    <n v="1782"/>
    <n v="1.042711234911792"/>
    <n v="78"/>
    <x v="54"/>
    <s v="jueves"/>
    <n v="0.96296296296296291"/>
    <n v="80.253262666802485"/>
    <n v="-2.2532626668024847"/>
    <n v="1227"/>
    <n v="2109"/>
    <n v="0.93307984790874521"/>
    <n v="0.86754422048539692"/>
  </r>
  <r>
    <x v="54"/>
    <x v="5"/>
    <n v="15433"/>
    <n v="3373"/>
    <n v="11811"/>
    <n v="133"/>
    <n v="40"/>
    <n v="240664"/>
    <n v="257"/>
    <n v="103391"/>
    <n v="301"/>
    <n v="102"/>
    <n v="14"/>
    <n v="5"/>
    <n v="2022"/>
    <n v="1279"/>
    <n v="3301"/>
    <n v="1.0311831244267808"/>
    <n v="195"/>
    <x v="54"/>
    <s v="jueves"/>
    <n v="0.9285714285714286"/>
    <n v="202.05658283744401"/>
    <n v="-7.0565828374440116"/>
    <n v="1668"/>
    <n v="3120"/>
    <n v="0.98233215547703179"/>
    <n v="0.98051539912005026"/>
  </r>
  <r>
    <x v="54"/>
    <x v="6"/>
    <n v="18104"/>
    <n v="3799"/>
    <n v="13990"/>
    <n v="164"/>
    <n v="23"/>
    <n v="296339"/>
    <n v="318"/>
    <n v="64512"/>
    <n v="349"/>
    <n v="118"/>
    <n v="-8"/>
    <n v="0"/>
    <n v="2928"/>
    <n v="383"/>
    <n v="3311"/>
    <n v="1.0320565063841347"/>
    <n v="229"/>
    <x v="54"/>
    <s v="jueves"/>
    <n v="1.1989528795811519"/>
    <n v="191.74136279925975"/>
    <n v="37.258637200740253"/>
    <n v="1842"/>
    <n v="3633"/>
    <n v="0.94997421351211964"/>
    <n v="1"/>
  </r>
  <r>
    <x v="54"/>
    <x v="7"/>
    <n v="94289"/>
    <n v="22124"/>
    <n v="70459"/>
    <n v="1121"/>
    <n v="210"/>
    <n v="1384089"/>
    <n v="1718"/>
    <n v="508169"/>
    <n v="1643"/>
    <n v="511"/>
    <n v="35"/>
    <n v="17"/>
    <n v="13653"/>
    <n v="5706"/>
    <n v="19359"/>
    <n v="1.0236431777171147"/>
    <n v="1103"/>
    <x v="54"/>
    <s v="jueves"/>
    <n v="0.94354148845166808"/>
    <n v="1083.6936979964557"/>
    <n v="19.306302003544261"/>
    <n v="10926"/>
    <n v="20622"/>
    <n v="0.96315232722143862"/>
    <n v="0.9886853964905552"/>
  </r>
  <r>
    <x v="55"/>
    <x v="0"/>
    <n v="21966"/>
    <n v="5984"/>
    <n v="15580"/>
    <n v="313"/>
    <n v="79"/>
    <n v="288049"/>
    <n v="412"/>
    <n v="93212"/>
    <n v="320"/>
    <n v="72"/>
    <n v="-8"/>
    <n v="10"/>
    <n v="3180"/>
    <n v="1711"/>
    <n v="4891"/>
    <n v="1.0121786197564275"/>
    <n v="237"/>
    <x v="55"/>
    <s v="viernes"/>
    <n v="0.71818181818181814"/>
    <n v="300.08792859630307"/>
    <n v="-63.087928596303072"/>
    <n v="2636"/>
    <n v="5427"/>
    <n v="0.88486069150721713"/>
    <n v="0.99816075041383112"/>
  </r>
  <r>
    <x v="55"/>
    <x v="1"/>
    <n v="6507"/>
    <n v="1787"/>
    <n v="4592"/>
    <n v="150"/>
    <n v="24"/>
    <n v="95845"/>
    <n v="125"/>
    <n v="32729"/>
    <n v="132"/>
    <n v="-9"/>
    <n v="0"/>
    <n v="-1"/>
    <n v="913"/>
    <n v="164"/>
    <n v="1077"/>
    <n v="0.99498886414253895"/>
    <n v="138"/>
    <x v="55"/>
    <s v="viernes"/>
    <n v="0.9452054794520548"/>
    <n v="137.85202030471635"/>
    <n v="0.14797969528365229"/>
    <n v="806"/>
    <n v="1610"/>
    <n v="0.96526946107784428"/>
    <n v="0.98230628431970712"/>
  </r>
  <r>
    <x v="55"/>
    <x v="2"/>
    <n v="10116"/>
    <n v="2121"/>
    <n v="7818"/>
    <n v="57"/>
    <n v="21"/>
    <n v="157105"/>
    <n v="170"/>
    <n v="82160"/>
    <n v="179"/>
    <n v="112"/>
    <n v="1"/>
    <n v="5"/>
    <n v="1399"/>
    <n v="617"/>
    <n v="2016"/>
    <n v="1.0557491289198606"/>
    <n v="66"/>
    <x v="55"/>
    <s v="viernes"/>
    <n v="0.72527472527472525"/>
    <n v="88.742192053993762"/>
    <n v="-22.742192053993762"/>
    <n v="1057"/>
    <n v="1960"/>
    <n v="0.95569620253164556"/>
    <n v="0.98989898989898994"/>
  </r>
  <r>
    <x v="55"/>
    <x v="3"/>
    <n v="13013"/>
    <n v="2963"/>
    <n v="9699"/>
    <n v="168"/>
    <n v="14"/>
    <n v="174659"/>
    <n v="350"/>
    <n v="83435"/>
    <n v="136"/>
    <n v="-26"/>
    <n v="-10"/>
    <n v="2"/>
    <n v="1597"/>
    <n v="1249"/>
    <n v="2846"/>
    <n v="0.99130143860823017"/>
    <n v="159"/>
    <x v="55"/>
    <s v="viernes"/>
    <n v="0.85026737967914434"/>
    <n v="172.91997614342333"/>
    <n v="-13.919976143423327"/>
    <n v="1307"/>
    <n v="2776"/>
    <n v="0.83301465901848315"/>
    <n v="0.9805722359590251"/>
  </r>
  <r>
    <x v="55"/>
    <x v="4"/>
    <n v="10125"/>
    <n v="2365"/>
    <n v="7654"/>
    <n v="112"/>
    <n v="29"/>
    <n v="140170"/>
    <n v="109"/>
    <n v="53271"/>
    <n v="208"/>
    <n v="119"/>
    <n v="-7"/>
    <n v="4"/>
    <n v="1653"/>
    <n v="800"/>
    <n v="2453"/>
    <n v="1.0529830810329475"/>
    <n v="85"/>
    <x v="55"/>
    <s v="viernes"/>
    <n v="0.85"/>
    <n v="100.21411201732022"/>
    <n v="-15.214112017320218"/>
    <n v="1281"/>
    <n v="2217"/>
    <n v="0.97414448669201525"/>
    <n v="0.91197038255861784"/>
  </r>
  <r>
    <x v="55"/>
    <x v="5"/>
    <n v="15699"/>
    <n v="3445"/>
    <n v="12002"/>
    <n v="131"/>
    <n v="40"/>
    <n v="243354"/>
    <n v="260"/>
    <n v="104827"/>
    <n v="266"/>
    <n v="72"/>
    <n v="-2"/>
    <n v="0"/>
    <n v="2690"/>
    <n v="1436"/>
    <n v="4126"/>
    <n v="1.021345982804625"/>
    <n v="191"/>
    <x v="55"/>
    <s v="viernes"/>
    <n v="0.90521327014218012"/>
    <n v="200.77163003528958"/>
    <n v="-9.7716300352895757"/>
    <n v="1681"/>
    <n v="3175"/>
    <n v="0.98998822143698473"/>
    <n v="0.99780012570710241"/>
  </r>
  <r>
    <x v="55"/>
    <x v="6"/>
    <n v="18355"/>
    <n v="3846"/>
    <n v="14186"/>
    <n v="153"/>
    <n v="21"/>
    <n v="298797"/>
    <n v="326"/>
    <n v="64928"/>
    <n v="251"/>
    <n v="47"/>
    <n v="-11"/>
    <n v="-2"/>
    <n v="2458"/>
    <n v="416"/>
    <n v="2874"/>
    <n v="1.0123716767570414"/>
    <n v="196"/>
    <x v="55"/>
    <s v="viernes"/>
    <n v="0.70503597122302153"/>
    <n v="289.24451833582123"/>
    <n v="-93.244518335821226"/>
    <n v="1762"/>
    <n v="3606"/>
    <n v="0.90871583290355851"/>
    <n v="0.99256812551610241"/>
  </r>
  <r>
    <x v="55"/>
    <x v="7"/>
    <n v="95781"/>
    <n v="22511"/>
    <n v="71531"/>
    <n v="1084"/>
    <n v="228"/>
    <n v="1397979"/>
    <n v="1752"/>
    <n v="514562"/>
    <n v="1492"/>
    <n v="387"/>
    <n v="-37"/>
    <n v="18"/>
    <n v="13890"/>
    <n v="6393"/>
    <n v="20283"/>
    <n v="1.0174923160368829"/>
    <n v="1072"/>
    <x v="55"/>
    <s v="viernes"/>
    <n v="0.7982129560685034"/>
    <n v="1242.6456695680322"/>
    <n v="-170.64566956803219"/>
    <n v="10530"/>
    <n v="20771"/>
    <n v="0.92824400564174891"/>
    <n v="0.99582893853677246"/>
  </r>
  <r>
    <x v="56"/>
    <x v="0"/>
    <n v="22305"/>
    <n v="6020"/>
    <n v="15876"/>
    <n v="326"/>
    <n v="82"/>
    <n v="290745"/>
    <n v="419"/>
    <n v="96962"/>
    <n v="339"/>
    <n v="36"/>
    <n v="13"/>
    <n v="3"/>
    <n v="2696"/>
    <n v="3750"/>
    <n v="6446"/>
    <n v="1.0060160427807487"/>
    <n v="296"/>
    <x v="56"/>
    <s v="sábado"/>
    <n v="0.82222222222222219"/>
    <n v="320.12189613103197"/>
    <n v="-24.121896131031974"/>
    <n v="2526"/>
    <n v="5406"/>
    <n v="0.84793554884189326"/>
    <n v="0.99429832628287662"/>
  </r>
  <r>
    <x v="56"/>
    <x v="1"/>
    <n v="6598"/>
    <n v="1779"/>
    <n v="4691"/>
    <n v="160"/>
    <n v="25"/>
    <n v="96615"/>
    <n v="125"/>
    <n v="32772"/>
    <n v="91"/>
    <n v="-8"/>
    <n v="10"/>
    <n v="1"/>
    <n v="770"/>
    <n v="43"/>
    <n v="813"/>
    <n v="0.99552322327923892"/>
    <n v="99"/>
    <x v="56"/>
    <s v="sábado"/>
    <n v="1.1785714285714286"/>
    <n v="75.840497005061863"/>
    <n v="23.159502994938137"/>
    <n v="790"/>
    <n v="1617"/>
    <n v="0.94610778443113774"/>
    <n v="0.98657718120805371"/>
  </r>
  <r>
    <x v="56"/>
    <x v="2"/>
    <n v="10240"/>
    <n v="2129"/>
    <n v="7933"/>
    <n v="54"/>
    <n v="19"/>
    <n v="158618"/>
    <n v="171"/>
    <n v="82578"/>
    <n v="124"/>
    <n v="8"/>
    <n v="-3"/>
    <n v="-2"/>
    <n v="1513"/>
    <n v="418"/>
    <n v="1931"/>
    <n v="1.0037718057520038"/>
    <n v="115"/>
    <x v="56"/>
    <s v="sábado"/>
    <n v="1.0648148148148149"/>
    <n v="99.894972045242199"/>
    <n v="15.105027954757801"/>
    <n v="1008"/>
    <n v="1976"/>
    <n v="0.91139240506329111"/>
    <n v="0.99797979797979797"/>
  </r>
  <r>
    <x v="56"/>
    <x v="3"/>
    <n v="13169"/>
    <n v="2949"/>
    <n v="9869"/>
    <n v="171"/>
    <n v="13"/>
    <n v="176168"/>
    <n v="351"/>
    <n v="83816"/>
    <n v="156"/>
    <n v="-14"/>
    <n v="3"/>
    <n v="-1"/>
    <n v="1509"/>
    <n v="381"/>
    <n v="1890"/>
    <n v="0.99527505906176172"/>
    <n v="170"/>
    <x v="56"/>
    <s v="sábado"/>
    <n v="1.0179640718562875"/>
    <n v="149.17663115063255"/>
    <n v="20.823368849367455"/>
    <n v="1232"/>
    <n v="2765"/>
    <n v="0.78521351179094967"/>
    <n v="0.97668668315083007"/>
  </r>
  <r>
    <x v="56"/>
    <x v="4"/>
    <n v="10293"/>
    <n v="2455"/>
    <n v="7732"/>
    <n v="124"/>
    <n v="30"/>
    <n v="141439"/>
    <n v="109"/>
    <n v="54250"/>
    <n v="168"/>
    <n v="90"/>
    <n v="12"/>
    <n v="1"/>
    <n v="1269"/>
    <n v="979"/>
    <n v="2248"/>
    <n v="1.0380549682875264"/>
    <n v="78"/>
    <x v="56"/>
    <s v="sábado"/>
    <n v="0.84782608695652173"/>
    <n v="90.211268770220315"/>
    <n v="-12.211268770220315"/>
    <n v="1315"/>
    <n v="2293"/>
    <n v="1"/>
    <n v="0.94323323735088438"/>
  </r>
  <r>
    <x v="56"/>
    <x v="5"/>
    <n v="15875"/>
    <n v="3425"/>
    <n v="12198"/>
    <n v="141"/>
    <n v="42"/>
    <n v="245624"/>
    <n v="260"/>
    <n v="106409"/>
    <n v="176"/>
    <n v="-20"/>
    <n v="10"/>
    <n v="2"/>
    <n v="2270"/>
    <n v="1582"/>
    <n v="3852"/>
    <n v="0.99419448476052252"/>
    <n v="196"/>
    <x v="56"/>
    <s v="sábado"/>
    <n v="1.1073446327683616"/>
    <n v="166.18512854409303"/>
    <n v="29.814871455906967"/>
    <n v="1698"/>
    <n v="3174"/>
    <n v="1"/>
    <n v="0.99748585795097422"/>
  </r>
  <r>
    <x v="56"/>
    <x v="6"/>
    <n v="18632"/>
    <n v="3851"/>
    <n v="14457"/>
    <n v="154"/>
    <n v="21"/>
    <n v="301350"/>
    <n v="326"/>
    <n v="65642"/>
    <n v="277"/>
    <n v="5"/>
    <n v="1"/>
    <n v="0"/>
    <n v="2553"/>
    <n v="714"/>
    <n v="3267"/>
    <n v="1.0013000520020801"/>
    <n v="271"/>
    <x v="56"/>
    <s v="sábado"/>
    <n v="1.05859375"/>
    <n v="252.9771329914972"/>
    <n v="18.0228670085028"/>
    <n v="1764"/>
    <n v="3627"/>
    <n v="0.90974729241877261"/>
    <n v="0.9983484723369116"/>
  </r>
  <r>
    <x v="56"/>
    <x v="7"/>
    <n v="97112"/>
    <n v="22608"/>
    <n v="72756"/>
    <n v="1130"/>
    <n v="232"/>
    <n v="1410559"/>
    <n v="1761"/>
    <n v="522429"/>
    <n v="1331"/>
    <n v="97"/>
    <n v="46"/>
    <n v="4"/>
    <n v="12580"/>
    <n v="7867"/>
    <n v="20447"/>
    <n v="1.0043090044866954"/>
    <n v="1225"/>
    <x v="56"/>
    <s v="sábado"/>
    <n v="0.98472668810289388"/>
    <n v="1116.50244315242"/>
    <n v="108.49755684757997"/>
    <n v="10333"/>
    <n v="20858"/>
    <n v="0.91087799717912554"/>
    <n v="1"/>
  </r>
  <r>
    <x v="57"/>
    <x v="0"/>
    <n v="22519"/>
    <n v="5934"/>
    <n v="16175"/>
    <n v="341"/>
    <n v="86"/>
    <n v="293160"/>
    <n v="420"/>
    <n v="100476"/>
    <n v="214"/>
    <n v="-86"/>
    <n v="15"/>
    <n v="4"/>
    <n v="2415"/>
    <n v="3514"/>
    <n v="5929"/>
    <n v="0.98571428571428577"/>
    <n v="299"/>
    <x v="57"/>
    <s v="domingo"/>
    <n v="1.0602836879432624"/>
    <n v="234.92033002313852"/>
    <n v="64.079669976861481"/>
    <n v="2440"/>
    <n v="5338"/>
    <n v="0.81906680093991269"/>
    <n v="0.9817914290969284"/>
  </r>
  <r>
    <x v="57"/>
    <x v="1"/>
    <n v="6698"/>
    <n v="1788"/>
    <n v="4778"/>
    <n v="164"/>
    <n v="24"/>
    <n v="97293"/>
    <n v="129"/>
    <n v="32833"/>
    <n v="100"/>
    <n v="9"/>
    <n v="4"/>
    <n v="-1"/>
    <n v="678"/>
    <n v="61"/>
    <n v="739"/>
    <n v="1.0050590219224282"/>
    <n v="87"/>
    <x v="57"/>
    <s v="domingo"/>
    <n v="0.87878787878787878"/>
    <n v="90.003340858006581"/>
    <n v="-3.003340858006581"/>
    <n v="784"/>
    <n v="1618"/>
    <n v="0.93892215568862281"/>
    <n v="0.98718730933496035"/>
  </r>
  <r>
    <x v="57"/>
    <x v="2"/>
    <n v="10337"/>
    <n v="2130"/>
    <n v="8028"/>
    <n v="67"/>
    <n v="20"/>
    <n v="159793"/>
    <n v="172"/>
    <n v="82694"/>
    <n v="97"/>
    <n v="1"/>
    <n v="13"/>
    <n v="1"/>
    <n v="1175"/>
    <n v="116"/>
    <n v="1291"/>
    <n v="1.0004697040864257"/>
    <n v="95"/>
    <x v="57"/>
    <s v="domingo"/>
    <n v="1.021505376344086"/>
    <n v="84.840836317457843"/>
    <n v="10.159163682542157"/>
    <n v="984"/>
    <n v="1980"/>
    <n v="0.88969258589511757"/>
    <n v="1"/>
  </r>
  <r>
    <x v="57"/>
    <x v="3"/>
    <n v="13301"/>
    <n v="2883"/>
    <n v="10065"/>
    <n v="185"/>
    <n v="13"/>
    <n v="177486"/>
    <n v="353"/>
    <n v="84223"/>
    <n v="132"/>
    <n v="-66"/>
    <n v="14"/>
    <n v="0"/>
    <n v="1318"/>
    <n v="407"/>
    <n v="1725"/>
    <n v="0.97761953204476093"/>
    <n v="196"/>
    <x v="57"/>
    <s v="domingo"/>
    <n v="1.4961832061068703"/>
    <n v="116.5630773582521"/>
    <n v="79.436922641747898"/>
    <n v="1214"/>
    <n v="2766"/>
    <n v="0.77374123645634163"/>
    <n v="0.97703991522430234"/>
  </r>
  <r>
    <x v="57"/>
    <x v="4"/>
    <n v="10412"/>
    <n v="2469"/>
    <n v="7834"/>
    <n v="131"/>
    <n v="31"/>
    <n v="142327"/>
    <n v="112"/>
    <n v="54491"/>
    <n v="119"/>
    <n v="14"/>
    <n v="7"/>
    <n v="1"/>
    <n v="888"/>
    <n v="241"/>
    <n v="1129"/>
    <n v="1.0057026476578412"/>
    <n v="102"/>
    <x v="57"/>
    <s v="domingo"/>
    <n v="0.80952380952380953"/>
    <n v="109.7191122455024"/>
    <n v="-7.7191122455024015"/>
    <n v="1233"/>
    <n v="2286"/>
    <n v="0.93764258555133084"/>
    <n v="0.9403537638831756"/>
  </r>
  <r>
    <x v="57"/>
    <x v="5"/>
    <n v="16023"/>
    <n v="3418"/>
    <n v="12351"/>
    <n v="156"/>
    <n v="44"/>
    <n v="249355"/>
    <n v="262"/>
    <n v="106702"/>
    <n v="148"/>
    <n v="-7"/>
    <n v="15"/>
    <n v="2"/>
    <n v="3731"/>
    <n v="293"/>
    <n v="4024"/>
    <n v="0.99795620437956201"/>
    <n v="153"/>
    <x v="57"/>
    <s v="domingo"/>
    <n v="1.0928571428571427"/>
    <n v="129.33749253102377"/>
    <n v="23.66250746897623"/>
    <n v="1552"/>
    <n v="3182"/>
    <n v="0.91401648998822149"/>
    <n v="1"/>
  </r>
  <r>
    <x v="57"/>
    <x v="6"/>
    <n v="18785"/>
    <n v="3798"/>
    <n v="14662"/>
    <n v="166"/>
    <n v="24"/>
    <n v="303993"/>
    <n v="327"/>
    <n v="69617"/>
    <n v="153"/>
    <n v="-53"/>
    <n v="12"/>
    <n v="3"/>
    <n v="2643"/>
    <n v="3975"/>
    <n v="6618"/>
    <n v="0.9862373409504025"/>
    <n v="205"/>
    <x v="57"/>
    <s v="domingo"/>
    <n v="1.3311688311688312"/>
    <n v="152.1790289916681"/>
    <n v="52.820971008331895"/>
    <n v="1687"/>
    <n v="3626"/>
    <n v="0.87003610108303253"/>
    <n v="0.9980732177263969"/>
  </r>
  <r>
    <x v="57"/>
    <x v="7"/>
    <n v="98075"/>
    <n v="22420"/>
    <n v="73893"/>
    <n v="1210"/>
    <n v="242"/>
    <n v="1423407"/>
    <n v="1775"/>
    <n v="531036"/>
    <n v="963"/>
    <n v="-188"/>
    <n v="80"/>
    <n v="10"/>
    <n v="12848"/>
    <n v="8607"/>
    <n v="21455"/>
    <n v="0.99168435951875444"/>
    <n v="1137"/>
    <x v="57"/>
    <s v="domingo"/>
    <n v="1.1092682926829269"/>
    <n v="893.93174057862666"/>
    <n v="243.06825942137334"/>
    <n v="9894"/>
    <n v="20796"/>
    <n v="0.87217912552891397"/>
    <n v="0.99702751941701029"/>
  </r>
  <r>
    <x v="58"/>
    <x v="0"/>
    <n v="22751"/>
    <n v="5883"/>
    <n v="16443"/>
    <n v="323"/>
    <n v="93"/>
    <n v="294574"/>
    <n v="435"/>
    <n v="103932"/>
    <n v="232"/>
    <n v="-51"/>
    <n v="-18"/>
    <n v="7"/>
    <n v="1414"/>
    <n v="3456"/>
    <n v="4870"/>
    <n v="0.99140546006066732"/>
    <n v="268"/>
    <x v="58"/>
    <s v="lunes"/>
    <n v="0.96750902527075811"/>
    <n v="241.33766227892323"/>
    <n v="26.662337721076767"/>
    <n v="2325"/>
    <n v="5293"/>
    <n v="0.78046324269889222"/>
    <n v="0.97351480595916862"/>
  </r>
  <r>
    <x v="58"/>
    <x v="1"/>
    <n v="6812"/>
    <n v="1824"/>
    <n v="4851"/>
    <n v="166"/>
    <n v="23"/>
    <n v="98028"/>
    <n v="134"/>
    <n v="33039"/>
    <n v="114"/>
    <n v="36"/>
    <n v="2"/>
    <n v="-1"/>
    <n v="735"/>
    <n v="206"/>
    <n v="941"/>
    <n v="1.0201342281879195"/>
    <n v="73"/>
    <x v="58"/>
    <s v="lunes"/>
    <n v="0.70192307692307687"/>
    <n v="97.087684672384015"/>
    <n v="-24.087684672384015"/>
    <n v="793"/>
    <n v="1628"/>
    <n v="0.94970059880239521"/>
    <n v="0.99328859060402686"/>
  </r>
  <r>
    <x v="58"/>
    <x v="2"/>
    <n v="10415"/>
    <n v="2135"/>
    <n v="8101"/>
    <n v="70"/>
    <n v="22"/>
    <n v="160818"/>
    <n v="172"/>
    <n v="83303"/>
    <n v="78"/>
    <n v="5"/>
    <n v="3"/>
    <n v="2"/>
    <n v="1025"/>
    <n v="609"/>
    <n v="1634"/>
    <n v="1.0023474178403755"/>
    <n v="73"/>
    <x v="58"/>
    <s v="lunes"/>
    <n v="0.71568627450980393"/>
    <n v="95.029350431128876"/>
    <n v="-22.029350431128876"/>
    <n v="946"/>
    <n v="1956"/>
    <n v="0.8553345388788427"/>
    <n v="0.98787878787878791"/>
  </r>
  <r>
    <x v="58"/>
    <x v="3"/>
    <n v="13420"/>
    <n v="2874"/>
    <n v="10189"/>
    <n v="184"/>
    <n v="13"/>
    <n v="179140"/>
    <n v="357"/>
    <n v="84832"/>
    <n v="119"/>
    <n v="-9"/>
    <n v="-1"/>
    <n v="0"/>
    <n v="1654"/>
    <n v="609"/>
    <n v="2263"/>
    <n v="0.99687825182101975"/>
    <n v="124"/>
    <x v="58"/>
    <s v="lunes"/>
    <n v="0.59903381642512077"/>
    <n v="199.51156596364123"/>
    <n v="-75.511565963641232"/>
    <n v="1122"/>
    <n v="2678"/>
    <n v="0.71510516252390055"/>
    <n v="0.94595549275874247"/>
  </r>
  <r>
    <x v="58"/>
    <x v="4"/>
    <n v="10566"/>
    <n v="2503"/>
    <n v="7951"/>
    <n v="130"/>
    <n v="30"/>
    <n v="143207"/>
    <n v="115"/>
    <n v="54919"/>
    <n v="154"/>
    <n v="34"/>
    <n v="-1"/>
    <n v="-1"/>
    <n v="880"/>
    <n v="428"/>
    <n v="1308"/>
    <n v="1.0137707573916566"/>
    <n v="117"/>
    <x v="58"/>
    <s v="lunes"/>
    <n v="1.17"/>
    <n v="90.439665931420294"/>
    <n v="26.560334068579706"/>
    <n v="1171"/>
    <n v="2340"/>
    <n v="0.89049429657794676"/>
    <n v="0.96256684491978606"/>
  </r>
  <r>
    <x v="58"/>
    <x v="5"/>
    <n v="16192"/>
    <n v="3442"/>
    <n v="12489"/>
    <n v="141"/>
    <n v="47"/>
    <n v="253142"/>
    <n v="269"/>
    <n v="107349"/>
    <n v="169"/>
    <n v="24"/>
    <n v="-15"/>
    <n v="3"/>
    <n v="3787"/>
    <n v="647"/>
    <n v="4434"/>
    <n v="1.0070216500877707"/>
    <n v="138"/>
    <x v="58"/>
    <s v="lunes"/>
    <n v="0.66990291262135926"/>
    <n v="194.73111675348522"/>
    <n v="-56.731116753485225"/>
    <n v="1482"/>
    <n v="3145"/>
    <n v="0.87279151943462896"/>
    <n v="0.98837209302325579"/>
  </r>
  <r>
    <x v="58"/>
    <x v="6"/>
    <n v="18920"/>
    <n v="3861"/>
    <n v="14728"/>
    <n v="172"/>
    <n v="25"/>
    <n v="305578"/>
    <n v="333"/>
    <n v="74091"/>
    <n v="135"/>
    <n v="63"/>
    <n v="6"/>
    <n v="1"/>
    <n v="1585"/>
    <n v="4474"/>
    <n v="6059"/>
    <n v="1.0165876777251184"/>
    <n v="66"/>
    <x v="58"/>
    <s v="lunes"/>
    <n v="0.35294117647058826"/>
    <n v="188.80752840144734"/>
    <n v="-122.80752840144734"/>
    <n v="1645"/>
    <n v="3574"/>
    <n v="0.84837545126353786"/>
    <n v="0.98375997797963111"/>
  </r>
  <r>
    <x v="58"/>
    <x v="7"/>
    <n v="99076"/>
    <n v="22522"/>
    <n v="74752"/>
    <n v="1186"/>
    <n v="253"/>
    <n v="1434487"/>
    <n v="1815"/>
    <n v="541465"/>
    <n v="1001"/>
    <n v="102"/>
    <n v="-24"/>
    <n v="11"/>
    <n v="11080"/>
    <n v="10429"/>
    <n v="21509"/>
    <n v="1.004549509366637"/>
    <n v="859"/>
    <x v="58"/>
    <s v="lunes"/>
    <n v="0.72612003381234147"/>
    <n v="1075.9267358799307"/>
    <n v="-216.92673587993067"/>
    <n v="9484"/>
    <n v="20614"/>
    <n v="0.8360366713681241"/>
    <n v="0.9883018506088791"/>
  </r>
  <r>
    <x v="59"/>
    <x v="0"/>
    <n v="23044"/>
    <n v="5889"/>
    <n v="16721"/>
    <n v="306"/>
    <n v="85"/>
    <n v="296696"/>
    <n v="444"/>
    <n v="108037"/>
    <n v="293"/>
    <n v="6"/>
    <n v="-17"/>
    <n v="-8"/>
    <n v="2122"/>
    <n v="4105"/>
    <n v="6227"/>
    <n v="1.0010198878123406"/>
    <n v="278"/>
    <x v="59"/>
    <s v="martes"/>
    <n v="0.63908045977011496"/>
    <n v="379.43160956247903"/>
    <n v="-101.43160956247903"/>
    <n v="2172"/>
    <n v="5151"/>
    <n v="0.72910372608257801"/>
    <n v="0.94739746183557105"/>
  </r>
  <r>
    <x v="59"/>
    <x v="1"/>
    <n v="6921"/>
    <n v="1832"/>
    <n v="4948"/>
    <n v="166"/>
    <n v="27"/>
    <n v="98915"/>
    <n v="136"/>
    <n v="33439"/>
    <n v="109"/>
    <n v="8"/>
    <n v="0"/>
    <n v="4"/>
    <n v="887"/>
    <n v="400"/>
    <n v="1287"/>
    <n v="1.0043859649122806"/>
    <n v="97"/>
    <x v="59"/>
    <s v="martes"/>
    <n v="0.98979591836734693"/>
    <n v="88.445388179047185"/>
    <n v="8.5546118209528146"/>
    <n v="806"/>
    <n v="1639"/>
    <n v="0.96526946107784428"/>
    <n v="1"/>
  </r>
  <r>
    <x v="59"/>
    <x v="2"/>
    <n v="10492"/>
    <n v="2093"/>
    <n v="8219"/>
    <n v="70"/>
    <n v="25"/>
    <n v="162145"/>
    <n v="174"/>
    <n v="83903"/>
    <n v="77"/>
    <n v="-42"/>
    <n v="0"/>
    <n v="3"/>
    <n v="1327"/>
    <n v="600"/>
    <n v="1927"/>
    <n v="0.98032786885245904"/>
    <n v="118"/>
    <x v="59"/>
    <s v="martes"/>
    <n v="1.0085470085470085"/>
    <n v="108.2996330575554"/>
    <n v="9.7003669424446031"/>
    <n v="812"/>
    <n v="1916"/>
    <n v="0.73417721518987344"/>
    <n v="0.96767676767676769"/>
  </r>
  <r>
    <x v="59"/>
    <x v="3"/>
    <n v="13534"/>
    <n v="2815"/>
    <n v="10358"/>
    <n v="176"/>
    <n v="14"/>
    <n v="180652"/>
    <n v="363"/>
    <n v="85394"/>
    <n v="114"/>
    <n v="-59"/>
    <n v="-8"/>
    <n v="1"/>
    <n v="1512"/>
    <n v="562"/>
    <n v="2074"/>
    <n v="0.97947112038970074"/>
    <n v="169"/>
    <x v="59"/>
    <s v="martes"/>
    <n v="0.82439024390243898"/>
    <n v="188.4061758252094"/>
    <n v="-19.406175825209402"/>
    <n v="1018"/>
    <n v="2587"/>
    <n v="0.64882090503505419"/>
    <n v="0.9138113740727658"/>
  </r>
  <r>
    <x v="59"/>
    <x v="4"/>
    <n v="10745"/>
    <n v="2578"/>
    <n v="8053"/>
    <n v="117"/>
    <n v="29"/>
    <n v="144328"/>
    <n v="117"/>
    <n v="55479"/>
    <n v="179"/>
    <n v="75"/>
    <n v="-13"/>
    <n v="-1"/>
    <n v="1121"/>
    <n v="560"/>
    <n v="1681"/>
    <n v="1.0299640431482222"/>
    <n v="102"/>
    <x v="59"/>
    <s v="martes"/>
    <n v="1.1590909090909092"/>
    <n v="80.941191733935582"/>
    <n v="21.058808266064418"/>
    <n v="1185"/>
    <n v="2431"/>
    <n v="0.90114068441064643"/>
    <n v="1"/>
  </r>
  <r>
    <x v="59"/>
    <x v="5"/>
    <n v="16321"/>
    <n v="3366"/>
    <n v="12690"/>
    <n v="125"/>
    <n v="43"/>
    <n v="257114"/>
    <n v="273"/>
    <n v="108550"/>
    <n v="129"/>
    <n v="-76"/>
    <n v="-16"/>
    <n v="-4"/>
    <n v="3972"/>
    <n v="1201"/>
    <n v="5173"/>
    <n v="0.97791981406159212"/>
    <n v="201"/>
    <x v="59"/>
    <s v="martes"/>
    <n v="1.0578947368421052"/>
    <n v="180.55505220675124"/>
    <n v="20.444947793248758"/>
    <n v="1386"/>
    <n v="3084"/>
    <n v="0.81625441696113077"/>
    <n v="0.96920175989943436"/>
  </r>
  <r>
    <x v="59"/>
    <x v="6"/>
    <n v="19159"/>
    <n v="3867"/>
    <n v="14958"/>
    <n v="165"/>
    <n v="24"/>
    <n v="308102"/>
    <n v="336"/>
    <n v="78664"/>
    <n v="239"/>
    <n v="6"/>
    <n v="-7"/>
    <n v="-1"/>
    <n v="2524"/>
    <n v="4573"/>
    <n v="7097"/>
    <n v="1.0015540015540016"/>
    <n v="230"/>
    <x v="59"/>
    <s v="martes"/>
    <n v="0.96234309623430958"/>
    <n v="226.52956313263667"/>
    <n v="3.4704368673633326"/>
    <n v="1659"/>
    <n v="3574"/>
    <n v="0.85559566787003605"/>
    <n v="0.98375997797963111"/>
  </r>
  <r>
    <x v="59"/>
    <x v="7"/>
    <n v="100216"/>
    <n v="22440"/>
    <n v="75947"/>
    <n v="1125"/>
    <n v="247"/>
    <n v="1447952"/>
    <n v="1843"/>
    <n v="553466"/>
    <n v="1140"/>
    <n v="-82"/>
    <n v="-61"/>
    <n v="-6"/>
    <n v="13465"/>
    <n v="12001"/>
    <n v="25466"/>
    <n v="0.99635911553148038"/>
    <n v="1195"/>
    <x v="59"/>
    <s v="martes"/>
    <n v="0.87099125364431484"/>
    <n v="1225.1681539067704"/>
    <n v="-30.168153906770385"/>
    <n v="9038"/>
    <n v="20382"/>
    <n v="0.79672073342736249"/>
    <n v="0.97717902004027235"/>
  </r>
  <r>
    <x v="60"/>
    <x v="0"/>
    <n v="23341"/>
    <n v="5845"/>
    <n v="17052"/>
    <n v="282"/>
    <n v="87"/>
    <n v="299577"/>
    <n v="455"/>
    <n v="112289"/>
    <n v="297"/>
    <n v="-44"/>
    <n v="-24"/>
    <n v="2"/>
    <n v="2881"/>
    <n v="4252"/>
    <n v="7133"/>
    <n v="0.99252844285956865"/>
    <n v="331"/>
    <x v="60"/>
    <s v="miércoles"/>
    <n v="0.74886877828054299"/>
    <n v="384.27253022389652"/>
    <n v="-53.272530223896524"/>
    <n v="2060"/>
    <n v="5006"/>
    <n v="0.6915072171869755"/>
    <n v="0.92072834283612282"/>
  </r>
  <r>
    <x v="60"/>
    <x v="1"/>
    <n v="7018"/>
    <n v="1858"/>
    <n v="5013"/>
    <n v="173"/>
    <n v="25"/>
    <n v="99882"/>
    <n v="142"/>
    <n v="33835"/>
    <n v="97"/>
    <n v="26"/>
    <n v="7"/>
    <n v="-2"/>
    <n v="967"/>
    <n v="396"/>
    <n v="1363"/>
    <n v="1.0141921397379912"/>
    <n v="65"/>
    <x v="60"/>
    <s v="miércoles"/>
    <n v="0.46099290780141844"/>
    <n v="131.91132778424532"/>
    <n v="-66.911327784245316"/>
    <n v="788"/>
    <n v="1595"/>
    <n v="0.94371257485029936"/>
    <n v="0.97315436241610742"/>
  </r>
  <r>
    <x v="60"/>
    <x v="2"/>
    <n v="10599"/>
    <n v="2105"/>
    <n v="8311"/>
    <n v="65"/>
    <n v="26"/>
    <n v="163474"/>
    <n v="177"/>
    <n v="84526"/>
    <n v="107"/>
    <n v="12"/>
    <n v="-5"/>
    <n v="1"/>
    <n v="1329"/>
    <n v="623"/>
    <n v="1952"/>
    <n v="1.0057333970377449"/>
    <n v="92"/>
    <x v="60"/>
    <s v="miércoles"/>
    <n v="0.69696969696969702"/>
    <n v="124.50968543803739"/>
    <n v="-32.509685438037394"/>
    <n v="785"/>
    <n v="1891"/>
    <n v="0.70976491862567814"/>
    <n v="0.95505050505050504"/>
  </r>
  <r>
    <x v="60"/>
    <x v="3"/>
    <n v="13655"/>
    <n v="2730"/>
    <n v="10558"/>
    <n v="156"/>
    <n v="15"/>
    <n v="181740"/>
    <n v="369"/>
    <n v="86155"/>
    <n v="121"/>
    <n v="-85"/>
    <n v="-20"/>
    <n v="1"/>
    <n v="1088"/>
    <n v="761"/>
    <n v="1849"/>
    <n v="0.96980461811722918"/>
    <n v="200"/>
    <x v="60"/>
    <s v="miércoles"/>
    <n v="0.82644628099173556"/>
    <n v="226.10798368275039"/>
    <n v="-26.107983682750387"/>
    <n v="968"/>
    <n v="2466"/>
    <n v="0.61695347355003183"/>
    <n v="0.87107029318262097"/>
  </r>
  <r>
    <x v="60"/>
    <x v="4"/>
    <n v="10860"/>
    <n v="2613"/>
    <n v="8131"/>
    <n v="113"/>
    <n v="27"/>
    <n v="145580"/>
    <n v="119"/>
    <n v="56919"/>
    <n v="115"/>
    <n v="35"/>
    <n v="-4"/>
    <n v="-2"/>
    <n v="1252"/>
    <n v="1440"/>
    <n v="2692"/>
    <n v="1.0135764158262219"/>
    <n v="78"/>
    <x v="60"/>
    <s v="miércoles"/>
    <n v="0.3644859813084112"/>
    <n v="196.9500625824169"/>
    <n v="-118.9500625824169"/>
    <n v="1113"/>
    <n v="2332"/>
    <n v="0.84638783269961981"/>
    <n v="0.95927601809954754"/>
  </r>
  <r>
    <x v="60"/>
    <x v="5"/>
    <n v="16563"/>
    <n v="3418"/>
    <n v="12875"/>
    <n v="128"/>
    <n v="42"/>
    <n v="259775"/>
    <n v="278"/>
    <n v="110155"/>
    <n v="242"/>
    <n v="52"/>
    <n v="3"/>
    <n v="-1"/>
    <n v="2661"/>
    <n v="1605"/>
    <n v="4266"/>
    <n v="1.0154486036838979"/>
    <n v="185"/>
    <x v="60"/>
    <s v="miércoles"/>
    <n v="0.79399141630901282"/>
    <n v="228.24871921764489"/>
    <n v="-43.24871921764489"/>
    <n v="1431"/>
    <n v="3093"/>
    <n v="0.84275618374558303"/>
    <n v="0.97203016970458833"/>
  </r>
  <r>
    <x v="60"/>
    <x v="6"/>
    <n v="19363"/>
    <n v="3830"/>
    <n v="15195"/>
    <n v="153"/>
    <n v="25"/>
    <n v="310923"/>
    <n v="340"/>
    <n v="82973"/>
    <n v="204"/>
    <n v="-37"/>
    <n v="-12"/>
    <n v="1"/>
    <n v="2821"/>
    <n v="4309"/>
    <n v="7130"/>
    <n v="0.99043185932247224"/>
    <n v="237"/>
    <x v="60"/>
    <s v="miércoles"/>
    <n v="0.73374613003095979"/>
    <n v="314.5064209461396"/>
    <n v="-77.506420946139599"/>
    <n v="1608"/>
    <n v="3455"/>
    <n v="0.82929345023207834"/>
    <n v="0.95100467932837873"/>
  </r>
  <r>
    <x v="60"/>
    <x v="7"/>
    <n v="101399"/>
    <n v="22399"/>
    <n v="77135"/>
    <n v="1070"/>
    <n v="247"/>
    <n v="1460951"/>
    <n v="1880"/>
    <n v="566852"/>
    <n v="1183"/>
    <n v="-41"/>
    <n v="-55"/>
    <n v="0"/>
    <n v="12999"/>
    <n v="13386"/>
    <n v="26385"/>
    <n v="0.9981729055258467"/>
    <n v="1188"/>
    <x v="60"/>
    <s v="miércoles"/>
    <n v="0.68789808917197448"/>
    <n v="1567.0201526964886"/>
    <n v="-379.02015269648859"/>
    <n v="8753"/>
    <n v="19838"/>
    <n v="0.77159732016925242"/>
    <n v="0.9510979000862978"/>
  </r>
  <r>
    <x v="61"/>
    <x v="0"/>
    <n v="23600"/>
    <n v="5713"/>
    <n v="17438"/>
    <n v="276"/>
    <n v="85"/>
    <n v="302122"/>
    <n v="459"/>
    <n v="116496"/>
    <n v="259"/>
    <n v="-132"/>
    <n v="-6"/>
    <n v="-2"/>
    <n v="2545"/>
    <n v="4207"/>
    <n v="6752"/>
    <n v="0.97741659538066727"/>
    <n v="386"/>
    <x v="61"/>
    <s v="jueves"/>
    <n v="0.86547085201793716"/>
    <n v="380.15304144960595"/>
    <n v="5.8469585503940493"/>
    <n v="1954"/>
    <n v="4819"/>
    <n v="0.65592480698220879"/>
    <n v="0.88633437557476547"/>
  </r>
  <r>
    <x v="61"/>
    <x v="1"/>
    <n v="7120"/>
    <n v="1810"/>
    <n v="5156"/>
    <n v="165"/>
    <n v="25"/>
    <n v="100847"/>
    <n v="149"/>
    <n v="34591"/>
    <n v="102"/>
    <n v="-48"/>
    <n v="-8"/>
    <n v="0"/>
    <n v="965"/>
    <n v="756"/>
    <n v="1721"/>
    <n v="0.9741657696447793"/>
    <n v="143"/>
    <x v="61"/>
    <s v="jueves"/>
    <n v="1.1085271317829457"/>
    <n v="110.36803603831683"/>
    <n v="32.631963961683169"/>
    <n v="745"/>
    <n v="1568"/>
    <n v="0.89221556886227549"/>
    <n v="0.95668090298962782"/>
  </r>
  <r>
    <x v="61"/>
    <x v="2"/>
    <n v="10681"/>
    <n v="2023"/>
    <n v="8474"/>
    <n v="64"/>
    <n v="27"/>
    <n v="164911"/>
    <n v="178"/>
    <n v="85122"/>
    <n v="82"/>
    <n v="-82"/>
    <n v="-1"/>
    <n v="1"/>
    <n v="1437"/>
    <n v="596"/>
    <n v="2033"/>
    <n v="0.96104513064133013"/>
    <n v="163"/>
    <x v="61"/>
    <s v="jueves"/>
    <n v="1"/>
    <n v="154.60962144506001"/>
    <n v="8.3903785549399856"/>
    <n v="744"/>
    <n v="1810"/>
    <n v="0.67269439421338151"/>
    <n v="0.91414141414141414"/>
  </r>
  <r>
    <x v="61"/>
    <x v="3"/>
    <n v="13767"/>
    <n v="2578"/>
    <n v="10819"/>
    <n v="154"/>
    <n v="18"/>
    <n v="182913"/>
    <n v="372"/>
    <n v="86979"/>
    <n v="112"/>
    <n v="-152"/>
    <n v="-2"/>
    <n v="3"/>
    <n v="1173"/>
    <n v="824"/>
    <n v="1997"/>
    <n v="0.9443223443223443"/>
    <n v="261"/>
    <x v="61"/>
    <s v="jueves"/>
    <n v="1.0316205533596838"/>
    <n v="230.08675566833"/>
    <n v="30.913244331670001"/>
    <n v="890"/>
    <n v="2325"/>
    <n v="0.56724028043339703"/>
    <n v="0.82126457082303073"/>
  </r>
  <r>
    <x v="61"/>
    <x v="4"/>
    <n v="11023"/>
    <n v="2576"/>
    <n v="8326"/>
    <n v="112"/>
    <n v="27"/>
    <n v="147019"/>
    <n v="124"/>
    <n v="58910"/>
    <n v="163"/>
    <n v="-37"/>
    <n v="-1"/>
    <n v="0"/>
    <n v="1439"/>
    <n v="1991"/>
    <n v="3430"/>
    <n v="0.98584003061615"/>
    <n v="195"/>
    <x v="61"/>
    <s v="jueves"/>
    <n v="1.2037037037037037"/>
    <n v="145.67351867053455"/>
    <n v="49.326481329465452"/>
    <n v="1106"/>
    <n v="2333"/>
    <n v="0.84106463878326998"/>
    <n v="0.95968737145207739"/>
  </r>
  <r>
    <x v="61"/>
    <x v="5"/>
    <n v="16735"/>
    <n v="3339"/>
    <n v="13124"/>
    <n v="131"/>
    <n v="43"/>
    <n v="262117"/>
    <n v="281"/>
    <n v="112361"/>
    <n v="172"/>
    <n v="-79"/>
    <n v="3"/>
    <n v="1"/>
    <n v="2342"/>
    <n v="2206"/>
    <n v="4548"/>
    <n v="0.9768870684610883"/>
    <n v="249"/>
    <x v="61"/>
    <s v="jueves"/>
    <n v="0.84406779661016951"/>
    <n v="280.07143232853031"/>
    <n v="-31.071432328530307"/>
    <n v="1302"/>
    <n v="2970"/>
    <n v="0.7667844522968198"/>
    <n v="0.93337523570081704"/>
  </r>
  <r>
    <x v="61"/>
    <x v="6"/>
    <n v="19498"/>
    <n v="3647"/>
    <n v="15506"/>
    <n v="136"/>
    <n v="26"/>
    <n v="312694"/>
    <n v="347"/>
    <n v="87659"/>
    <n v="135"/>
    <n v="-183"/>
    <n v="-17"/>
    <n v="1"/>
    <n v="1771"/>
    <n v="4686"/>
    <n v="6457"/>
    <n v="0.95221932114882502"/>
    <n v="311"/>
    <x v="61"/>
    <s v="jueves"/>
    <n v="0.87853107344632764"/>
    <n v="342.35634396869955"/>
    <n v="-31.356343968699548"/>
    <n v="1394"/>
    <n v="3236"/>
    <n v="0.71892728210417745"/>
    <n v="0.89072391962565378"/>
  </r>
  <r>
    <x v="61"/>
    <x v="7"/>
    <n v="102424"/>
    <n v="21686"/>
    <n v="78843"/>
    <n v="1038"/>
    <n v="251"/>
    <n v="1472623"/>
    <n v="1910"/>
    <n v="582118"/>
    <n v="1025"/>
    <n v="-713"/>
    <n v="-32"/>
    <n v="4"/>
    <n v="11672"/>
    <n v="15266"/>
    <n v="26938"/>
    <n v="0.9681682217956159"/>
    <n v="1708"/>
    <x v="61"/>
    <s v="jueves"/>
    <n v="0.94783573806881238"/>
    <n v="1599.0771575594281"/>
    <n v="108.92284244057191"/>
    <n v="8135"/>
    <n v="19061"/>
    <n v="0.71711918194640334"/>
    <n v="0.9138460063285071"/>
  </r>
  <r>
    <x v="62"/>
    <x v="0"/>
    <n v="23861"/>
    <n v="5542"/>
    <n v="17860"/>
    <n v="287"/>
    <n v="81"/>
    <n v="305833"/>
    <n v="469"/>
    <n v="122720"/>
    <n v="261"/>
    <n v="-171"/>
    <n v="11"/>
    <n v="-4"/>
    <n v="3711"/>
    <n v="6224"/>
    <n v="9935"/>
    <n v="0.97006826535970592"/>
    <n v="422"/>
    <x v="62"/>
    <s v="viernes"/>
    <n v="0.76867030965391625"/>
    <n v="462.41107093414416"/>
    <n v="-40.411070934144163"/>
    <n v="1895"/>
    <n v="4531"/>
    <n v="0.63611950318898958"/>
    <n v="0.83336398749310281"/>
  </r>
  <r>
    <x v="62"/>
    <x v="1"/>
    <n v="7210"/>
    <n v="1765"/>
    <n v="5289"/>
    <n v="160"/>
    <n v="25"/>
    <n v="101825"/>
    <n v="151"/>
    <n v="35215"/>
    <n v="90"/>
    <n v="-45"/>
    <n v="-5"/>
    <n v="0"/>
    <n v="978"/>
    <n v="624"/>
    <n v="1602"/>
    <n v="0.97513812154696133"/>
    <n v="133"/>
    <x v="62"/>
    <s v="viernes"/>
    <n v="0.89261744966442957"/>
    <n v="130.3372553576572"/>
    <n v="2.6627446423428012"/>
    <n v="703"/>
    <n v="1509"/>
    <n v="0.8419161676646707"/>
    <n v="0.92068334350213543"/>
  </r>
  <r>
    <x v="62"/>
    <x v="2"/>
    <n v="10772"/>
    <n v="1957"/>
    <n v="8631"/>
    <n v="67"/>
    <n v="30"/>
    <n v="166213"/>
    <n v="178"/>
    <n v="85803"/>
    <n v="91"/>
    <n v="-66"/>
    <n v="3"/>
    <n v="3"/>
    <n v="1302"/>
    <n v="681"/>
    <n v="1983"/>
    <n v="0.96737518536826494"/>
    <n v="157"/>
    <x v="62"/>
    <s v="viernes"/>
    <n v="0.83510638297872342"/>
    <n v="167.77173316037221"/>
    <n v="-10.771733160372207"/>
    <n v="656"/>
    <n v="1713"/>
    <n v="0.59312839059674505"/>
    <n v="0.86515151515151512"/>
  </r>
  <r>
    <x v="62"/>
    <x v="3"/>
    <n v="13844"/>
    <n v="2409"/>
    <n v="11062"/>
    <n v="145"/>
    <n v="17"/>
    <n v="184131"/>
    <n v="375"/>
    <n v="89063"/>
    <n v="77"/>
    <n v="-169"/>
    <n v="-9"/>
    <n v="-1"/>
    <n v="1218"/>
    <n v="2084"/>
    <n v="3302"/>
    <n v="0.93444530643910007"/>
    <n v="243"/>
    <x v="62"/>
    <s v="viernes"/>
    <n v="0.92045454545454541"/>
    <n v="243.09016229037277"/>
    <n v="-9.0162290372774123E-2"/>
    <n v="831"/>
    <n v="2138"/>
    <n v="0.5296367112810707"/>
    <n v="0.75521017308371596"/>
  </r>
  <r>
    <x v="62"/>
    <x v="4"/>
    <n v="11137"/>
    <n v="2562"/>
    <n v="8450"/>
    <n v="106"/>
    <n v="24"/>
    <n v="148155"/>
    <n v="128"/>
    <n v="61171"/>
    <n v="114"/>
    <n v="-14"/>
    <n v="-6"/>
    <n v="-3"/>
    <n v="1136"/>
    <n v="2261"/>
    <n v="3397"/>
    <n v="0.99456521739130432"/>
    <n v="124"/>
    <x v="62"/>
    <s v="viernes"/>
    <n v="0.80519480519480524"/>
    <n v="142.12050540285387"/>
    <n v="-18.120505402853865"/>
    <n v="1012"/>
    <n v="2293"/>
    <n v="0.76958174904942966"/>
    <n v="0.94323323735088438"/>
  </r>
  <r>
    <x v="62"/>
    <x v="5"/>
    <n v="16865"/>
    <n v="3183"/>
    <n v="13406"/>
    <n v="136"/>
    <n v="44"/>
    <n v="264420"/>
    <n v="285"/>
    <n v="114024"/>
    <n v="130"/>
    <n v="-156"/>
    <n v="5"/>
    <n v="1"/>
    <n v="2303"/>
    <n v="1663"/>
    <n v="3966"/>
    <n v="0.95327942497753815"/>
    <n v="282"/>
    <x v="62"/>
    <s v="viernes"/>
    <n v="1.1146245059288538"/>
    <n v="240.91245739996228"/>
    <n v="41.087542600037722"/>
    <n v="1166"/>
    <n v="2847"/>
    <n v="0.68669022379269729"/>
    <n v="0.89472030169704586"/>
  </r>
  <r>
    <x v="62"/>
    <x v="6"/>
    <n v="19654"/>
    <n v="3469"/>
    <n v="15839"/>
    <n v="135"/>
    <n v="26"/>
    <n v="315026"/>
    <n v="348"/>
    <n v="88055"/>
    <n v="156"/>
    <n v="-178"/>
    <n v="-1"/>
    <n v="0"/>
    <n v="2332"/>
    <n v="396"/>
    <n v="2728"/>
    <n v="0.95119276117356732"/>
    <n v="333"/>
    <x v="62"/>
    <s v="viernes"/>
    <n v="1.0060422960725075"/>
    <n v="298.75105347616562"/>
    <n v="34.248946523834377"/>
    <n v="1299"/>
    <n v="3061"/>
    <n v="0.66993295513151108"/>
    <n v="0.8425543627855766"/>
  </r>
  <r>
    <x v="62"/>
    <x v="7"/>
    <n v="103343"/>
    <n v="20887"/>
    <n v="80537"/>
    <n v="1036"/>
    <n v="247"/>
    <n v="1485603"/>
    <n v="1934"/>
    <n v="596051"/>
    <n v="919"/>
    <n v="-799"/>
    <n v="-2"/>
    <n v="-4"/>
    <n v="12980"/>
    <n v="13933"/>
    <n v="26913"/>
    <n v="0.96315595314949742"/>
    <n v="1694"/>
    <x v="62"/>
    <s v="viernes"/>
    <n v="0.8972457627118644"/>
    <n v="1661.7896078236679"/>
    <n v="32.210392176332107"/>
    <n v="7562"/>
    <n v="18092"/>
    <n v="0.66660789844851909"/>
    <n v="0.86738901141048996"/>
  </r>
  <r>
    <x v="63"/>
    <x v="0"/>
    <n v="24146"/>
    <n v="5319"/>
    <n v="18360"/>
    <n v="286"/>
    <n v="81"/>
    <n v="308186"/>
    <n v="477"/>
    <n v="127954"/>
    <n v="285"/>
    <n v="-223"/>
    <n v="-1"/>
    <n v="0"/>
    <n v="2353"/>
    <n v="5234"/>
    <n v="7587"/>
    <n v="0.95976181883796463"/>
    <n v="500"/>
    <x v="63"/>
    <s v="sábado"/>
    <n v="1.1135857461024499"/>
    <n v="381.56203368293075"/>
    <n v="118.43796631706925"/>
    <n v="1841"/>
    <n v="4367"/>
    <n v="0.61799261497146696"/>
    <n v="0.80320029427993378"/>
  </r>
  <r>
    <x v="63"/>
    <x v="1"/>
    <n v="7262"/>
    <n v="1694"/>
    <n v="5410"/>
    <n v="150"/>
    <n v="24"/>
    <n v="102577"/>
    <n v="153"/>
    <n v="35702"/>
    <n v="52"/>
    <n v="-71"/>
    <n v="-10"/>
    <n v="-1"/>
    <n v="752"/>
    <n v="487"/>
    <n v="1239"/>
    <n v="0.95977337110481586"/>
    <n v="121"/>
    <x v="63"/>
    <s v="sábado"/>
    <n v="1.1308411214953271"/>
    <n v="90.461167979174661"/>
    <n v="30.538832020825339"/>
    <n v="664"/>
    <n v="1454"/>
    <n v="0.79520958083832338"/>
    <n v="0.88712629652226971"/>
  </r>
  <r>
    <x v="63"/>
    <x v="2"/>
    <n v="10864"/>
    <n v="1863"/>
    <n v="8815"/>
    <n v="67"/>
    <n v="28"/>
    <n v="167559"/>
    <n v="180"/>
    <n v="86144"/>
    <n v="92"/>
    <n v="-94"/>
    <n v="0"/>
    <n v="-2"/>
    <n v="1346"/>
    <n v="341"/>
    <n v="1687"/>
    <n v="0.9519672968829842"/>
    <n v="184"/>
    <x v="63"/>
    <s v="sábado"/>
    <n v="1.0635838150289016"/>
    <n v="152.86295759159884"/>
    <n v="31.137042408401157"/>
    <n v="624"/>
    <n v="1632"/>
    <n v="0.56419529837251359"/>
    <n v="0.82424242424242422"/>
  </r>
  <r>
    <x v="63"/>
    <x v="3"/>
    <n v="13925"/>
    <n v="2240"/>
    <n v="11309"/>
    <n v="153"/>
    <n v="18"/>
    <n v="185429"/>
    <n v="378"/>
    <n v="90682"/>
    <n v="81"/>
    <n v="-169"/>
    <n v="8"/>
    <n v="1"/>
    <n v="1298"/>
    <n v="1619"/>
    <n v="2917"/>
    <n v="0.92984640929846407"/>
    <n v="247"/>
    <x v="63"/>
    <s v="sábado"/>
    <n v="1.0692640692640694"/>
    <n v="210.07139200407616"/>
    <n v="36.928607995923841"/>
    <n v="756"/>
    <n v="1988"/>
    <n v="0.48183556405353728"/>
    <n v="0.70222536206287534"/>
  </r>
  <r>
    <x v="63"/>
    <x v="4"/>
    <n v="11249"/>
    <n v="2526"/>
    <n v="8598"/>
    <n v="105"/>
    <n v="23"/>
    <n v="149151"/>
    <n v="128"/>
    <n v="62678"/>
    <n v="112"/>
    <n v="-36"/>
    <n v="-1"/>
    <n v="-1"/>
    <n v="996"/>
    <n v="1507"/>
    <n v="2503"/>
    <n v="0.98594847775175642"/>
    <n v="148"/>
    <x v="63"/>
    <s v="sábado"/>
    <n v="1.1044776119402986"/>
    <n v="122.40644265212248"/>
    <n v="25.593557347877521"/>
    <n v="956"/>
    <n v="2271"/>
    <n v="0.72699619771863122"/>
    <n v="0.9341834635952283"/>
  </r>
  <r>
    <x v="63"/>
    <x v="5"/>
    <n v="16973"/>
    <n v="3023"/>
    <n v="13673"/>
    <n v="129"/>
    <n v="44"/>
    <n v="266298"/>
    <n v="286"/>
    <n v="118743"/>
    <n v="108"/>
    <n v="-160"/>
    <n v="-7"/>
    <n v="0"/>
    <n v="1878"/>
    <n v="4719"/>
    <n v="6597"/>
    <n v="0.94973295633050581"/>
    <n v="267"/>
    <x v="63"/>
    <s v="sábado"/>
    <n v="1.679245283018868"/>
    <n v="155.83829294765439"/>
    <n v="111.16170705234561"/>
    <n v="1098"/>
    <n v="2796"/>
    <n v="0.64664310954063609"/>
    <n v="0.87869264613450659"/>
  </r>
  <r>
    <x v="63"/>
    <x v="6"/>
    <n v="19757"/>
    <n v="3301"/>
    <n v="16110"/>
    <n v="136"/>
    <n v="30"/>
    <n v="318296"/>
    <n v="348"/>
    <n v="88387"/>
    <n v="103"/>
    <n v="-168"/>
    <n v="1"/>
    <n v="4"/>
    <n v="3270"/>
    <n v="332"/>
    <n v="3602"/>
    <n v="0.95157105794176999"/>
    <n v="271"/>
    <x v="63"/>
    <s v="sábado"/>
    <n v="0.98545454545454547"/>
    <n v="256.18289941373274"/>
    <n v="14.817100586267259"/>
    <n v="1125"/>
    <n v="2889"/>
    <n v="0.58019597730789063"/>
    <n v="0.79521056977704374"/>
  </r>
  <r>
    <x v="63"/>
    <x v="7"/>
    <n v="104176"/>
    <n v="19966"/>
    <n v="82275"/>
    <n v="1026"/>
    <n v="248"/>
    <n v="1497496"/>
    <n v="1950"/>
    <n v="610290"/>
    <n v="833"/>
    <n v="-921"/>
    <n v="-10"/>
    <n v="1"/>
    <n v="11893"/>
    <n v="14239"/>
    <n v="26132"/>
    <n v="0.95590558720735386"/>
    <n v="1738"/>
    <x v="63"/>
    <s v="sábado"/>
    <n v="1.1374345549738221"/>
    <n v="1357.7099298598762"/>
    <n v="380.29007014012382"/>
    <n v="7064"/>
    <n v="17397"/>
    <n v="0.62270803949224263"/>
    <n v="0.83406846293987913"/>
  </r>
  <r>
    <x v="64"/>
    <x v="0"/>
    <n v="24323"/>
    <n v="5161"/>
    <n v="18691"/>
    <n v="287"/>
    <n v="85"/>
    <n v="311146"/>
    <n v="482"/>
    <n v="133087"/>
    <n v="177"/>
    <n v="-158"/>
    <n v="1"/>
    <n v="4"/>
    <n v="2960"/>
    <n v="5133"/>
    <n v="8093"/>
    <n v="0.97029516826471141"/>
    <n v="331"/>
    <x v="64"/>
    <s v="domingo"/>
    <n v="1.1033333333333333"/>
    <n v="253.53203774966531"/>
    <n v="77.467962250334693"/>
    <n v="1804"/>
    <n v="4244"/>
    <n v="0.60557233971131252"/>
    <n v="0.78057752437005701"/>
  </r>
  <r>
    <x v="64"/>
    <x v="1"/>
    <n v="7312"/>
    <n v="1661"/>
    <n v="5492"/>
    <n v="158"/>
    <n v="23"/>
    <n v="103258"/>
    <n v="154"/>
    <n v="35750"/>
    <n v="50"/>
    <n v="-33"/>
    <n v="8"/>
    <n v="-1"/>
    <n v="681"/>
    <n v="48"/>
    <n v="729"/>
    <n v="0.98051948051948057"/>
    <n v="82"/>
    <x v="64"/>
    <s v="domingo"/>
    <n v="0.77358490566037741"/>
    <n v="94.273801422626974"/>
    <n v="-12.273801422626974"/>
    <n v="614"/>
    <n v="1398"/>
    <n v="0.73532934131736527"/>
    <n v="0.85295912141549723"/>
  </r>
  <r>
    <x v="64"/>
    <x v="2"/>
    <n v="10915"/>
    <n v="1767"/>
    <n v="8960"/>
    <n v="68"/>
    <n v="29"/>
    <n v="168846"/>
    <n v="182"/>
    <n v="86264"/>
    <n v="51"/>
    <n v="-96"/>
    <n v="1"/>
    <n v="1"/>
    <n v="1287"/>
    <n v="120"/>
    <n v="1407"/>
    <n v="0.94847020933977455"/>
    <n v="145"/>
    <x v="64"/>
    <s v="domingo"/>
    <n v="1.1983471074380165"/>
    <n v="110.34620843387081"/>
    <n v="34.653791566129186"/>
    <n v="578"/>
    <n v="1562"/>
    <n v="0.52260397830018079"/>
    <n v="0.78888888888888886"/>
  </r>
  <r>
    <x v="64"/>
    <x v="3"/>
    <n v="13969"/>
    <n v="2096"/>
    <n v="11495"/>
    <n v="161"/>
    <n v="20"/>
    <n v="187257"/>
    <n v="380"/>
    <n v="91322"/>
    <n v="44"/>
    <n v="-144"/>
    <n v="8"/>
    <n v="2"/>
    <n v="1828"/>
    <n v="640"/>
    <n v="2468"/>
    <n v="0.93571428571428572"/>
    <n v="186"/>
    <x v="64"/>
    <s v="domingo"/>
    <n v="1.24"/>
    <n v="137.34691503047617"/>
    <n v="48.653084969523832"/>
    <n v="668"/>
    <n v="1882"/>
    <n v="0.42574888463989802"/>
    <n v="0.66478276227481459"/>
  </r>
  <r>
    <x v="64"/>
    <x v="4"/>
    <n v="11308"/>
    <n v="2483"/>
    <n v="8700"/>
    <n v="111"/>
    <n v="21"/>
    <n v="149934"/>
    <n v="128"/>
    <n v="63016"/>
    <n v="59"/>
    <n v="-43"/>
    <n v="6"/>
    <n v="-2"/>
    <n v="783"/>
    <n v="338"/>
    <n v="1121"/>
    <n v="0.98297703879651621"/>
    <n v="102"/>
    <x v="64"/>
    <s v="domingo"/>
    <n v="0.5074626865671642"/>
    <n v="181.6639496924694"/>
    <n v="-79.663949692469401"/>
    <n v="896"/>
    <n v="2129"/>
    <n v="0.68136882129277565"/>
    <n v="0.87577128753599343"/>
  </r>
  <r>
    <x v="64"/>
    <x v="5"/>
    <n v="17046"/>
    <n v="2932"/>
    <n v="13833"/>
    <n v="133"/>
    <n v="47"/>
    <n v="268497"/>
    <n v="290"/>
    <n v="123323"/>
    <n v="73"/>
    <n v="-91"/>
    <n v="4"/>
    <n v="3"/>
    <n v="2199"/>
    <n v="4580"/>
    <n v="6779"/>
    <n v="0.96989745286139595"/>
    <n v="160"/>
    <x v="64"/>
    <s v="domingo"/>
    <n v="0.54421768707482998"/>
    <n v="284.41797563905908"/>
    <n v="-124.41797563905908"/>
    <n v="1023"/>
    <n v="2575"/>
    <n v="0.6024734982332155"/>
    <n v="0.80923947203016966"/>
  </r>
  <r>
    <x v="64"/>
    <x v="6"/>
    <n v="19828"/>
    <n v="3146"/>
    <n v="16333"/>
    <n v="145"/>
    <n v="29"/>
    <n v="320330"/>
    <n v="351"/>
    <n v="88547"/>
    <n v="71"/>
    <n v="-155"/>
    <n v="9"/>
    <n v="-1"/>
    <n v="2034"/>
    <n v="160"/>
    <n v="2194"/>
    <n v="0.95304453196001215"/>
    <n v="223"/>
    <x v="64"/>
    <s v="domingo"/>
    <n v="0.9695652173913043"/>
    <n v="211.00314230569492"/>
    <n v="11.996857694305078"/>
    <n v="1043"/>
    <n v="2730"/>
    <n v="0.53790613718411551"/>
    <n v="0.75144508670520227"/>
  </r>
  <r>
    <x v="64"/>
    <x v="7"/>
    <n v="104701"/>
    <n v="19246"/>
    <n v="83504"/>
    <n v="1063"/>
    <n v="254"/>
    <n v="1509268"/>
    <n v="1967"/>
    <n v="621309"/>
    <n v="525"/>
    <n v="-720"/>
    <n v="37"/>
    <n v="6"/>
    <n v="11772"/>
    <n v="11019"/>
    <n v="22791"/>
    <n v="0.96393869578283087"/>
    <n v="1229"/>
    <x v="64"/>
    <s v="domingo"/>
    <n v="0.87660485021398005"/>
    <n v="1246.1070142137025"/>
    <n v="-17.107014213702541"/>
    <n v="6626"/>
    <n v="16520"/>
    <n v="0.58409732016925242"/>
    <n v="0.79202224566113721"/>
  </r>
</pivotCacheRecords>
</file>

<file path=xl/pivotCache/pivotCacheRecords10.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20">
  <r>
    <x v="0"/>
    <x v="0"/>
    <n v="12254"/>
    <n v="40"/>
    <n v="1376"/>
    <n v="10591"/>
    <n v="97"/>
    <n v="23"/>
    <n v="205739"/>
    <n v="291"/>
    <n v="73340"/>
    <n v="68"/>
    <n v="1430"/>
    <n v="10497"/>
    <n v="103"/>
    <n v="22"/>
    <n v="204705"/>
    <n v="73260"/>
    <n v="291"/>
    <n v="40"/>
    <n v="-54"/>
    <n v="-6"/>
    <x v="0"/>
    <n v="1034"/>
    <n v="80"/>
    <n v="1114"/>
    <n v="0.96223776223776225"/>
    <n v="94"/>
    <x v="0"/>
  </r>
  <r>
    <x v="0"/>
    <x v="1"/>
    <n v="3430"/>
    <n v="23"/>
    <n v="586"/>
    <n v="2764"/>
    <n v="27"/>
    <n v="8"/>
    <n v="64784"/>
    <n v="78"/>
    <n v="29150"/>
    <n v="33"/>
    <n v="596"/>
    <n v="2731"/>
    <n v="29"/>
    <n v="6"/>
    <n v="64424"/>
    <n v="29119"/>
    <n v="78"/>
    <n v="23"/>
    <n v="-10"/>
    <n v="-2"/>
    <x v="1"/>
    <n v="360"/>
    <n v="31"/>
    <n v="391"/>
    <n v="0.98322147651006708"/>
    <n v="33"/>
    <x v="0"/>
  </r>
  <r>
    <x v="0"/>
    <x v="2"/>
    <n v="6455"/>
    <n v="29"/>
    <n v="788"/>
    <n v="5534"/>
    <n v="31"/>
    <n v="1"/>
    <n v="106669"/>
    <n v="132"/>
    <n v="72582"/>
    <n v="39"/>
    <n v="829"/>
    <n v="5464"/>
    <n v="26"/>
    <n v="1"/>
    <n v="106206"/>
    <n v="72531"/>
    <n v="130"/>
    <n v="31"/>
    <n v="-41"/>
    <n v="5"/>
    <x v="2"/>
    <n v="463"/>
    <n v="51"/>
    <n v="514"/>
    <n v="0.95054282267792523"/>
    <n v="70"/>
    <x v="0"/>
  </r>
  <r>
    <x v="0"/>
    <x v="3"/>
    <n v="7673"/>
    <n v="18"/>
    <n v="402"/>
    <n v="6975"/>
    <n v="37"/>
    <n v="5"/>
    <n v="118177"/>
    <n v="295"/>
    <n v="65231"/>
    <n v="13"/>
    <n v="419"/>
    <n v="6937"/>
    <n v="36"/>
    <n v="5"/>
    <n v="117423"/>
    <n v="65171"/>
    <n v="294"/>
    <n v="22"/>
    <n v="-17"/>
    <n v="1"/>
    <x v="2"/>
    <n v="754"/>
    <n v="60"/>
    <n v="814"/>
    <n v="0.95942720763723155"/>
    <n v="38"/>
    <x v="0"/>
  </r>
  <r>
    <x v="0"/>
    <x v="4"/>
    <n v="5705"/>
    <n v="30"/>
    <n v="990"/>
    <n v="4656"/>
    <n v="42"/>
    <n v="9"/>
    <n v="95314"/>
    <n v="60"/>
    <n v="43719"/>
    <n v="38"/>
    <n v="1025"/>
    <n v="4585"/>
    <n v="42"/>
    <n v="9"/>
    <n v="94462"/>
    <n v="43668"/>
    <n v="59"/>
    <n v="37"/>
    <n v="-35"/>
    <n v="0"/>
    <x v="2"/>
    <n v="852"/>
    <n v="51"/>
    <n v="903"/>
    <n v="0.96585365853658534"/>
    <n v="71"/>
    <x v="0"/>
  </r>
  <r>
    <x v="0"/>
    <x v="5"/>
    <n v="8104"/>
    <n v="45"/>
    <n v="784"/>
    <n v="7151"/>
    <n v="43"/>
    <n v="6"/>
    <n v="150645"/>
    <n v="170"/>
    <n v="87849"/>
    <n v="45"/>
    <n v="807"/>
    <n v="7076"/>
    <n v="36"/>
    <n v="6"/>
    <n v="149227"/>
    <n v="87756"/>
    <n v="170"/>
    <n v="52"/>
    <n v="-23"/>
    <n v="7"/>
    <x v="2"/>
    <n v="1418"/>
    <n v="93"/>
    <n v="1511"/>
    <n v="0.97149938042131345"/>
    <n v="75"/>
    <x v="0"/>
  </r>
  <r>
    <x v="0"/>
    <x v="6"/>
    <n v="10578"/>
    <n v="92"/>
    <n v="1800"/>
    <n v="8555"/>
    <n v="65"/>
    <n v="12"/>
    <n v="193204"/>
    <n v="224"/>
    <n v="56312"/>
    <n v="101"/>
    <n v="1842"/>
    <n v="8422"/>
    <n v="65"/>
    <n v="12"/>
    <n v="191386"/>
    <n v="56291"/>
    <n v="224"/>
    <n v="91"/>
    <n v="-42"/>
    <n v="0"/>
    <x v="2"/>
    <n v="1818"/>
    <n v="21"/>
    <n v="1839"/>
    <n v="0.9771986970684039"/>
    <n v="133"/>
    <x v="0"/>
  </r>
  <r>
    <x v="0"/>
    <x v="7"/>
    <n v="54199"/>
    <n v="277"/>
    <n v="6726"/>
    <n v="46226"/>
    <n v="342"/>
    <n v="64"/>
    <n v="934532"/>
    <n v="1250"/>
    <n v="428183"/>
    <n v="337"/>
    <n v="6948"/>
    <n v="45712"/>
    <n v="337"/>
    <n v="61"/>
    <n v="927833"/>
    <n v="427796"/>
    <n v="1246"/>
    <n v="296"/>
    <n v="-222"/>
    <n v="5"/>
    <x v="3"/>
    <n v="6699"/>
    <n v="387"/>
    <n v="7086"/>
    <n v="0.96804835924006905"/>
    <n v="514"/>
    <x v="0"/>
  </r>
  <r>
    <x v="1"/>
    <x v="0"/>
    <n v="12307"/>
    <n v="52"/>
    <n v="1349"/>
    <n v="10671"/>
    <n v="98"/>
    <n v="22"/>
    <n v="206505"/>
    <n v="291"/>
    <n v="73398"/>
    <n v="40"/>
    <n v="1376"/>
    <n v="10591"/>
    <n v="97"/>
    <n v="23"/>
    <n v="205739"/>
    <n v="73340"/>
    <n v="291"/>
    <n v="53"/>
    <n v="-27"/>
    <n v="1"/>
    <x v="4"/>
    <n v="766"/>
    <n v="58"/>
    <n v="824"/>
    <n v="0.98037790697674421"/>
    <n v="80"/>
    <x v="1"/>
  </r>
  <r>
    <x v="1"/>
    <x v="1"/>
    <n v="3466"/>
    <n v="36"/>
    <n v="576"/>
    <n v="2810"/>
    <n v="30"/>
    <n v="6"/>
    <n v="65009"/>
    <n v="78"/>
    <n v="29240"/>
    <n v="23"/>
    <n v="586"/>
    <n v="2764"/>
    <n v="27"/>
    <n v="8"/>
    <n v="64784"/>
    <n v="29150"/>
    <n v="78"/>
    <n v="36"/>
    <n v="-10"/>
    <n v="3"/>
    <x v="5"/>
    <n v="225"/>
    <n v="90"/>
    <n v="315"/>
    <n v="0.98293515358361772"/>
    <n v="46"/>
    <x v="1"/>
  </r>
  <r>
    <x v="1"/>
    <x v="2"/>
    <n v="6484"/>
    <n v="28"/>
    <n v="771"/>
    <n v="5579"/>
    <n v="30"/>
    <n v="1"/>
    <n v="107103"/>
    <n v="133"/>
    <n v="72614"/>
    <n v="29"/>
    <n v="788"/>
    <n v="5534"/>
    <n v="31"/>
    <n v="1"/>
    <n v="106669"/>
    <n v="72582"/>
    <n v="132"/>
    <n v="29"/>
    <n v="-17"/>
    <n v="-1"/>
    <x v="2"/>
    <n v="434"/>
    <n v="32"/>
    <n v="466"/>
    <n v="0.97842639593908631"/>
    <n v="45"/>
    <x v="1"/>
  </r>
  <r>
    <x v="1"/>
    <x v="3"/>
    <n v="7696"/>
    <n v="19"/>
    <n v="400"/>
    <n v="6999"/>
    <n v="39"/>
    <n v="5"/>
    <n v="118898"/>
    <n v="296"/>
    <n v="65275"/>
    <n v="18"/>
    <n v="402"/>
    <n v="6975"/>
    <n v="37"/>
    <n v="5"/>
    <n v="118177"/>
    <n v="65231"/>
    <n v="295"/>
    <n v="23"/>
    <n v="-2"/>
    <n v="2"/>
    <x v="2"/>
    <n v="721"/>
    <n v="44"/>
    <n v="765"/>
    <n v="0.99502487562189057"/>
    <n v="24"/>
    <x v="1"/>
  </r>
  <r>
    <x v="1"/>
    <x v="4"/>
    <n v="5738"/>
    <n v="29"/>
    <n v="971"/>
    <n v="4708"/>
    <n v="44"/>
    <n v="9"/>
    <n v="95971"/>
    <n v="60"/>
    <n v="43754"/>
    <n v="30"/>
    <n v="990"/>
    <n v="4656"/>
    <n v="42"/>
    <n v="9"/>
    <n v="95314"/>
    <n v="43719"/>
    <n v="60"/>
    <n v="33"/>
    <n v="-19"/>
    <n v="2"/>
    <x v="2"/>
    <n v="657"/>
    <n v="35"/>
    <n v="692"/>
    <n v="0.9808080808080808"/>
    <n v="52"/>
    <x v="1"/>
  </r>
  <r>
    <x v="1"/>
    <x v="5"/>
    <n v="8151"/>
    <n v="43"/>
    <n v="795"/>
    <n v="7187"/>
    <n v="45"/>
    <n v="6"/>
    <n v="151823"/>
    <n v="170"/>
    <n v="87906"/>
    <n v="45"/>
    <n v="784"/>
    <n v="7151"/>
    <n v="43"/>
    <n v="6"/>
    <n v="150645"/>
    <n v="87849"/>
    <n v="170"/>
    <n v="47"/>
    <n v="11"/>
    <n v="2"/>
    <x v="2"/>
    <n v="1178"/>
    <n v="57"/>
    <n v="1235"/>
    <n v="1.0140306122448979"/>
    <n v="36"/>
    <x v="1"/>
  </r>
  <r>
    <x v="1"/>
    <x v="6"/>
    <n v="10631"/>
    <n v="53"/>
    <n v="1782"/>
    <n v="8621"/>
    <n v="66"/>
    <n v="11"/>
    <n v="194587"/>
    <n v="229"/>
    <n v="56337"/>
    <n v="92"/>
    <n v="1800"/>
    <n v="8555"/>
    <n v="65"/>
    <n v="12"/>
    <n v="193204"/>
    <n v="56312"/>
    <n v="224"/>
    <n v="53"/>
    <n v="-18"/>
    <n v="1"/>
    <x v="4"/>
    <n v="1383"/>
    <n v="25"/>
    <n v="1408"/>
    <n v="0.99"/>
    <n v="66"/>
    <x v="1"/>
  </r>
  <r>
    <x v="1"/>
    <x v="7"/>
    <n v="54473"/>
    <n v="260"/>
    <n v="6644"/>
    <n v="46575"/>
    <n v="352"/>
    <n v="60"/>
    <n v="939896"/>
    <n v="1257"/>
    <n v="428524"/>
    <n v="277"/>
    <n v="6726"/>
    <n v="46226"/>
    <n v="342"/>
    <n v="64"/>
    <n v="934532"/>
    <n v="428183"/>
    <n v="1250"/>
    <n v="274"/>
    <n v="-82"/>
    <n v="10"/>
    <x v="6"/>
    <n v="5364"/>
    <n v="341"/>
    <n v="5705"/>
    <n v="0.98780850431162648"/>
    <n v="349"/>
    <x v="1"/>
  </r>
  <r>
    <x v="2"/>
    <x v="0"/>
    <n v="12344"/>
    <n v="26"/>
    <n v="1244"/>
    <n v="10811"/>
    <n v="87"/>
    <n v="17"/>
    <n v="206951"/>
    <n v="293"/>
    <n v="73566"/>
    <n v="52"/>
    <n v="1349"/>
    <n v="10671"/>
    <n v="98"/>
    <n v="22"/>
    <n v="206505"/>
    <n v="73398"/>
    <n v="291"/>
    <n v="37"/>
    <n v="-105"/>
    <n v="-11"/>
    <x v="7"/>
    <n v="446"/>
    <n v="168"/>
    <n v="614"/>
    <n v="0.92216456634544108"/>
    <n v="140"/>
    <x v="2"/>
  </r>
  <r>
    <x v="2"/>
    <x v="1"/>
    <n v="3482"/>
    <n v="16"/>
    <n v="552"/>
    <n v="2849"/>
    <n v="29"/>
    <n v="4"/>
    <n v="65342"/>
    <n v="79"/>
    <n v="29311"/>
    <n v="36"/>
    <n v="576"/>
    <n v="2810"/>
    <n v="30"/>
    <n v="6"/>
    <n v="65009"/>
    <n v="29240"/>
    <n v="78"/>
    <n v="16"/>
    <n v="-24"/>
    <n v="-1"/>
    <x v="5"/>
    <n v="333"/>
    <n v="71"/>
    <n v="404"/>
    <n v="0.95833333333333337"/>
    <n v="39"/>
    <x v="2"/>
  </r>
  <r>
    <x v="2"/>
    <x v="2"/>
    <n v="6502"/>
    <n v="16"/>
    <n v="624"/>
    <n v="5741"/>
    <n v="23"/>
    <n v="2"/>
    <n v="107557"/>
    <n v="136"/>
    <n v="72701"/>
    <n v="28"/>
    <n v="771"/>
    <n v="5579"/>
    <n v="30"/>
    <n v="1"/>
    <n v="107103"/>
    <n v="72614"/>
    <n v="133"/>
    <n v="18"/>
    <n v="-147"/>
    <n v="-7"/>
    <x v="0"/>
    <n v="454"/>
    <n v="87"/>
    <n v="541"/>
    <n v="0.80933852140077822"/>
    <n v="162"/>
    <x v="2"/>
  </r>
  <r>
    <x v="2"/>
    <x v="3"/>
    <n v="7718"/>
    <n v="20"/>
    <n v="377"/>
    <n v="7044"/>
    <n v="33"/>
    <n v="3"/>
    <n v="119598"/>
    <n v="296"/>
    <n v="65354"/>
    <n v="19"/>
    <n v="400"/>
    <n v="6999"/>
    <n v="39"/>
    <n v="5"/>
    <n v="118898"/>
    <n v="65275"/>
    <n v="296"/>
    <n v="22"/>
    <n v="-23"/>
    <n v="-6"/>
    <x v="5"/>
    <n v="700"/>
    <n v="79"/>
    <n v="779"/>
    <n v="0.9425"/>
    <n v="45"/>
    <x v="2"/>
  </r>
  <r>
    <x v="2"/>
    <x v="4"/>
    <n v="5782"/>
    <n v="41"/>
    <n v="899"/>
    <n v="4822"/>
    <n v="40"/>
    <n v="9"/>
    <n v="96546"/>
    <n v="62"/>
    <n v="43847"/>
    <n v="29"/>
    <n v="971"/>
    <n v="4708"/>
    <n v="44"/>
    <n v="9"/>
    <n v="95971"/>
    <n v="43754"/>
    <n v="60"/>
    <n v="44"/>
    <n v="-72"/>
    <n v="-4"/>
    <x v="2"/>
    <n v="575"/>
    <n v="93"/>
    <n v="668"/>
    <n v="0.92584963954685895"/>
    <n v="114"/>
    <x v="2"/>
  </r>
  <r>
    <x v="2"/>
    <x v="5"/>
    <n v="8216"/>
    <n v="54"/>
    <n v="783"/>
    <n v="7264"/>
    <n v="51"/>
    <n v="6"/>
    <n v="153607"/>
    <n v="170"/>
    <n v="88087"/>
    <n v="43"/>
    <n v="795"/>
    <n v="7187"/>
    <n v="45"/>
    <n v="6"/>
    <n v="151823"/>
    <n v="87906"/>
    <n v="170"/>
    <n v="65"/>
    <n v="-12"/>
    <n v="6"/>
    <x v="2"/>
    <n v="1784"/>
    <n v="181"/>
    <n v="1965"/>
    <n v="0.98490566037735849"/>
    <n v="77"/>
    <x v="2"/>
  </r>
  <r>
    <x v="2"/>
    <x v="6"/>
    <n v="10691"/>
    <n v="59"/>
    <n v="1517"/>
    <n v="8938"/>
    <n v="59"/>
    <n v="9"/>
    <n v="195913"/>
    <n v="237"/>
    <n v="56394"/>
    <n v="53"/>
    <n v="1782"/>
    <n v="8621"/>
    <n v="66"/>
    <n v="11"/>
    <n v="194587"/>
    <n v="56337"/>
    <n v="229"/>
    <n v="60"/>
    <n v="-265"/>
    <n v="-7"/>
    <x v="5"/>
    <n v="1326"/>
    <n v="57"/>
    <n v="1383"/>
    <n v="0.85129068462401791"/>
    <n v="317"/>
    <x v="2"/>
  </r>
  <r>
    <x v="2"/>
    <x v="7"/>
    <n v="54735"/>
    <n v="232"/>
    <n v="5996"/>
    <n v="47469"/>
    <n v="322"/>
    <n v="50"/>
    <n v="945514"/>
    <n v="1273"/>
    <n v="429260"/>
    <n v="260"/>
    <n v="6644"/>
    <n v="46575"/>
    <n v="352"/>
    <n v="60"/>
    <n v="939896"/>
    <n v="428524"/>
    <n v="1257"/>
    <n v="262"/>
    <n v="-648"/>
    <n v="-30"/>
    <x v="8"/>
    <n v="5618"/>
    <n v="736"/>
    <n v="6354"/>
    <n v="0.90246839253461775"/>
    <n v="894"/>
    <x v="2"/>
  </r>
  <r>
    <x v="3"/>
    <x v="0"/>
    <n v="12391"/>
    <n v="45"/>
    <n v="1193"/>
    <n v="10909"/>
    <n v="84"/>
    <n v="16"/>
    <n v="208362"/>
    <n v="293"/>
    <n v="73636"/>
    <n v="26"/>
    <n v="1244"/>
    <n v="10811"/>
    <n v="87"/>
    <n v="17"/>
    <n v="206951"/>
    <n v="73566"/>
    <n v="293"/>
    <n v="47"/>
    <n v="-51"/>
    <n v="-3"/>
    <x v="4"/>
    <n v="1411"/>
    <n v="70"/>
    <n v="1481"/>
    <n v="0.95900321543408362"/>
    <n v="98"/>
    <x v="3"/>
  </r>
  <r>
    <x v="3"/>
    <x v="1"/>
    <n v="3533"/>
    <n v="51"/>
    <n v="596"/>
    <n v="2855"/>
    <n v="28"/>
    <n v="4"/>
    <n v="65972"/>
    <n v="80"/>
    <n v="29341"/>
    <n v="16"/>
    <n v="552"/>
    <n v="2849"/>
    <n v="29"/>
    <n v="4"/>
    <n v="65342"/>
    <n v="29311"/>
    <n v="79"/>
    <n v="51"/>
    <n v="44"/>
    <n v="-1"/>
    <x v="2"/>
    <n v="630"/>
    <n v="30"/>
    <n v="660"/>
    <n v="1.0797101449275361"/>
    <n v="6"/>
    <x v="3"/>
  </r>
  <r>
    <x v="3"/>
    <x v="2"/>
    <n v="6532"/>
    <n v="31"/>
    <n v="606"/>
    <n v="5788"/>
    <n v="27"/>
    <n v="3"/>
    <n v="108268"/>
    <n v="137"/>
    <n v="72750"/>
    <n v="16"/>
    <n v="624"/>
    <n v="5741"/>
    <n v="23"/>
    <n v="2"/>
    <n v="107557"/>
    <n v="72701"/>
    <n v="136"/>
    <n v="30"/>
    <n v="-18"/>
    <n v="4"/>
    <x v="0"/>
    <n v="711"/>
    <n v="49"/>
    <n v="760"/>
    <n v="0.97115384615384615"/>
    <n v="47"/>
    <x v="3"/>
  </r>
  <r>
    <x v="3"/>
    <x v="3"/>
    <n v="7752"/>
    <n v="34"/>
    <n v="377"/>
    <n v="7077"/>
    <n v="33"/>
    <n v="3"/>
    <n v="120257"/>
    <n v="297"/>
    <n v="65400"/>
    <n v="20"/>
    <n v="377"/>
    <n v="7044"/>
    <n v="33"/>
    <n v="3"/>
    <n v="119598"/>
    <n v="65354"/>
    <n v="296"/>
    <n v="34"/>
    <n v="0"/>
    <n v="0"/>
    <x v="2"/>
    <n v="659"/>
    <n v="46"/>
    <n v="705"/>
    <n v="1"/>
    <n v="33"/>
    <x v="3"/>
  </r>
  <r>
    <x v="3"/>
    <x v="4"/>
    <n v="5830"/>
    <n v="43"/>
    <n v="871"/>
    <n v="4895"/>
    <n v="41"/>
    <n v="9"/>
    <n v="97341"/>
    <n v="65"/>
    <n v="43922"/>
    <n v="41"/>
    <n v="899"/>
    <n v="4822"/>
    <n v="40"/>
    <n v="9"/>
    <n v="96546"/>
    <n v="43847"/>
    <n v="62"/>
    <n v="48"/>
    <n v="-28"/>
    <n v="1"/>
    <x v="2"/>
    <n v="795"/>
    <n v="75"/>
    <n v="870"/>
    <n v="0.96885428253615125"/>
    <n v="73"/>
    <x v="3"/>
  </r>
  <r>
    <x v="3"/>
    <x v="5"/>
    <n v="8269"/>
    <n v="50"/>
    <n v="785"/>
    <n v="7313"/>
    <n v="52"/>
    <n v="6"/>
    <n v="154486"/>
    <n v="172"/>
    <n v="88185"/>
    <n v="54"/>
    <n v="783"/>
    <n v="7264"/>
    <n v="51"/>
    <n v="6"/>
    <n v="153607"/>
    <n v="88087"/>
    <n v="170"/>
    <n v="53"/>
    <n v="2"/>
    <n v="1"/>
    <x v="2"/>
    <n v="879"/>
    <n v="98"/>
    <n v="977"/>
    <n v="1.0025542784163475"/>
    <n v="49"/>
    <x v="3"/>
  </r>
  <r>
    <x v="3"/>
    <x v="6"/>
    <n v="10770"/>
    <n v="75"/>
    <n v="1499"/>
    <n v="9035"/>
    <n v="59"/>
    <n v="10"/>
    <n v="197487"/>
    <n v="237"/>
    <n v="56429"/>
    <n v="59"/>
    <n v="1517"/>
    <n v="8938"/>
    <n v="59"/>
    <n v="9"/>
    <n v="195913"/>
    <n v="56394"/>
    <n v="237"/>
    <n v="79"/>
    <n v="-18"/>
    <n v="0"/>
    <x v="0"/>
    <n v="1574"/>
    <n v="35"/>
    <n v="1609"/>
    <n v="0.988134475939354"/>
    <n v="97"/>
    <x v="3"/>
  </r>
  <r>
    <x v="3"/>
    <x v="7"/>
    <n v="55077"/>
    <n v="329"/>
    <n v="5927"/>
    <n v="47872"/>
    <n v="324"/>
    <n v="51"/>
    <n v="952173"/>
    <n v="1281"/>
    <n v="429663"/>
    <n v="232"/>
    <n v="5996"/>
    <n v="47469"/>
    <n v="322"/>
    <n v="50"/>
    <n v="945514"/>
    <n v="429260"/>
    <n v="1273"/>
    <n v="342"/>
    <n v="-69"/>
    <n v="2"/>
    <x v="0"/>
    <n v="6659"/>
    <n v="403"/>
    <n v="7062"/>
    <n v="0.9884923282188125"/>
    <n v="403"/>
    <x v="3"/>
  </r>
  <r>
    <x v="4"/>
    <x v="0"/>
    <n v="12434"/>
    <n v="35"/>
    <n v="1146"/>
    <n v="10999"/>
    <n v="76"/>
    <n v="14"/>
    <n v="209050"/>
    <n v="293"/>
    <n v="73846"/>
    <n v="45"/>
    <n v="1193"/>
    <n v="10909"/>
    <n v="84"/>
    <n v="16"/>
    <n v="208362"/>
    <n v="73636"/>
    <n v="293"/>
    <n v="43"/>
    <n v="-47"/>
    <n v="-8"/>
    <x v="5"/>
    <n v="688"/>
    <n v="210"/>
    <n v="898"/>
    <n v="0.9606035205364627"/>
    <n v="90"/>
    <x v="4"/>
  </r>
  <r>
    <x v="4"/>
    <x v="1"/>
    <n v="3557"/>
    <n v="25"/>
    <n v="596"/>
    <n v="2878"/>
    <n v="27"/>
    <n v="3"/>
    <n v="66283"/>
    <n v="81"/>
    <n v="29384"/>
    <n v="51"/>
    <n v="596"/>
    <n v="2855"/>
    <n v="28"/>
    <n v="4"/>
    <n v="65972"/>
    <n v="29341"/>
    <n v="80"/>
    <n v="24"/>
    <n v="0"/>
    <n v="-1"/>
    <x v="4"/>
    <n v="311"/>
    <n v="43"/>
    <n v="354"/>
    <n v="1"/>
    <n v="23"/>
    <x v="4"/>
  </r>
  <r>
    <x v="4"/>
    <x v="2"/>
    <n v="6552"/>
    <n v="16"/>
    <n v="591"/>
    <n v="5823"/>
    <n v="27"/>
    <n v="4"/>
    <n v="109134"/>
    <n v="137"/>
    <n v="72849"/>
    <n v="31"/>
    <n v="606"/>
    <n v="5788"/>
    <n v="27"/>
    <n v="3"/>
    <n v="108268"/>
    <n v="72750"/>
    <n v="137"/>
    <n v="20"/>
    <n v="-15"/>
    <n v="0"/>
    <x v="0"/>
    <n v="866"/>
    <n v="99"/>
    <n v="965"/>
    <n v="0.97524752475247523"/>
    <n v="35"/>
    <x v="4"/>
  </r>
  <r>
    <x v="4"/>
    <x v="3"/>
    <n v="7783"/>
    <n v="30"/>
    <n v="364"/>
    <n v="7118"/>
    <n v="34"/>
    <n v="3"/>
    <n v="121180"/>
    <n v="300"/>
    <n v="65480"/>
    <n v="34"/>
    <n v="377"/>
    <n v="7077"/>
    <n v="33"/>
    <n v="3"/>
    <n v="120257"/>
    <n v="65400"/>
    <n v="297"/>
    <n v="31"/>
    <n v="-13"/>
    <n v="1"/>
    <x v="2"/>
    <n v="923"/>
    <n v="80"/>
    <n v="1003"/>
    <n v="0.96551724137931039"/>
    <n v="41"/>
    <x v="4"/>
  </r>
  <r>
    <x v="4"/>
    <x v="4"/>
    <n v="5869"/>
    <n v="34"/>
    <n v="856"/>
    <n v="4948"/>
    <n v="42"/>
    <n v="9"/>
    <n v="97911"/>
    <n v="67"/>
    <n v="44010"/>
    <n v="43"/>
    <n v="871"/>
    <n v="4895"/>
    <n v="41"/>
    <n v="9"/>
    <n v="97341"/>
    <n v="43922"/>
    <n v="65"/>
    <n v="39"/>
    <n v="-15"/>
    <n v="1"/>
    <x v="2"/>
    <n v="570"/>
    <n v="88"/>
    <n v="658"/>
    <n v="0.98277841561423651"/>
    <n v="53"/>
    <x v="4"/>
  </r>
  <r>
    <x v="4"/>
    <x v="5"/>
    <n v="8346"/>
    <n v="65"/>
    <n v="817"/>
    <n v="7358"/>
    <n v="53"/>
    <n v="6"/>
    <n v="156448"/>
    <n v="172"/>
    <n v="88354"/>
    <n v="50"/>
    <n v="785"/>
    <n v="7313"/>
    <n v="52"/>
    <n v="6"/>
    <n v="154486"/>
    <n v="88185"/>
    <n v="172"/>
    <n v="77"/>
    <n v="32"/>
    <n v="1"/>
    <x v="2"/>
    <n v="1962"/>
    <n v="169"/>
    <n v="2131"/>
    <n v="1.0407643312101911"/>
    <n v="45"/>
    <x v="4"/>
  </r>
  <r>
    <x v="4"/>
    <x v="6"/>
    <n v="10822"/>
    <n v="50"/>
    <n v="1425"/>
    <n v="9161"/>
    <n v="62"/>
    <n v="11"/>
    <n v="200137"/>
    <n v="237"/>
    <n v="56504"/>
    <n v="75"/>
    <n v="1499"/>
    <n v="9035"/>
    <n v="59"/>
    <n v="10"/>
    <n v="197487"/>
    <n v="56429"/>
    <n v="237"/>
    <n v="52"/>
    <n v="-74"/>
    <n v="3"/>
    <x v="0"/>
    <n v="2650"/>
    <n v="75"/>
    <n v="2725"/>
    <n v="0.95063375583722487"/>
    <n v="126"/>
    <x v="4"/>
  </r>
  <r>
    <x v="4"/>
    <x v="7"/>
    <n v="55363"/>
    <n v="255"/>
    <n v="5795"/>
    <n v="48285"/>
    <n v="321"/>
    <n v="50"/>
    <n v="960143"/>
    <n v="1287"/>
    <n v="430427"/>
    <n v="329"/>
    <n v="5927"/>
    <n v="47872"/>
    <n v="324"/>
    <n v="51"/>
    <n v="952173"/>
    <n v="429663"/>
    <n v="1281"/>
    <n v="286"/>
    <n v="-132"/>
    <n v="-3"/>
    <x v="4"/>
    <n v="7970"/>
    <n v="764"/>
    <n v="8734"/>
    <n v="0.97772903661211408"/>
    <n v="413"/>
    <x v="4"/>
  </r>
  <r>
    <x v="5"/>
    <x v="0"/>
    <n v="12477"/>
    <n v="34"/>
    <n v="1093"/>
    <n v="11095"/>
    <n v="78"/>
    <n v="13"/>
    <n v="210400"/>
    <n v="293"/>
    <n v="74050"/>
    <n v="35"/>
    <n v="1146"/>
    <n v="10999"/>
    <n v="76"/>
    <n v="14"/>
    <n v="209050"/>
    <n v="73846"/>
    <n v="293"/>
    <n v="43"/>
    <n v="-53"/>
    <n v="2"/>
    <x v="4"/>
    <n v="1350"/>
    <n v="204"/>
    <n v="1554"/>
    <n v="0.9537521815008726"/>
    <n v="96"/>
    <x v="5"/>
  </r>
  <r>
    <x v="5"/>
    <x v="1"/>
    <n v="3580"/>
    <n v="21"/>
    <n v="573"/>
    <n v="2924"/>
    <n v="28"/>
    <n v="3"/>
    <n v="66878"/>
    <n v="81"/>
    <n v="29423"/>
    <n v="25"/>
    <n v="596"/>
    <n v="2878"/>
    <n v="27"/>
    <n v="3"/>
    <n v="66283"/>
    <n v="29384"/>
    <n v="81"/>
    <n v="23"/>
    <n v="-23"/>
    <n v="1"/>
    <x v="2"/>
    <n v="595"/>
    <n v="39"/>
    <n v="634"/>
    <n v="0.96140939597315433"/>
    <n v="46"/>
    <x v="5"/>
  </r>
  <r>
    <x v="5"/>
    <x v="2"/>
    <n v="6577"/>
    <n v="25"/>
    <n v="571"/>
    <n v="5866"/>
    <n v="23"/>
    <n v="4"/>
    <n v="110098"/>
    <n v="139"/>
    <n v="72957"/>
    <n v="16"/>
    <n v="591"/>
    <n v="5823"/>
    <n v="27"/>
    <n v="4"/>
    <n v="109134"/>
    <n v="72849"/>
    <n v="137"/>
    <n v="25"/>
    <n v="-20"/>
    <n v="-4"/>
    <x v="2"/>
    <n v="964"/>
    <n v="108"/>
    <n v="1072"/>
    <n v="0.96615905245346867"/>
    <n v="43"/>
    <x v="5"/>
  </r>
  <r>
    <x v="5"/>
    <x v="3"/>
    <n v="7820"/>
    <n v="32"/>
    <n v="383"/>
    <n v="7136"/>
    <n v="26"/>
    <n v="2"/>
    <n v="122070"/>
    <n v="300"/>
    <n v="65621"/>
    <n v="30"/>
    <n v="364"/>
    <n v="7118"/>
    <n v="34"/>
    <n v="3"/>
    <n v="121180"/>
    <n v="65480"/>
    <n v="300"/>
    <n v="37"/>
    <n v="19"/>
    <n v="-8"/>
    <x v="4"/>
    <n v="890"/>
    <n v="141"/>
    <n v="1031"/>
    <n v="1.0521978021978022"/>
    <n v="18"/>
    <x v="5"/>
  </r>
  <r>
    <x v="5"/>
    <x v="4"/>
    <n v="5906"/>
    <n v="39"/>
    <n v="839"/>
    <n v="5001"/>
    <n v="42"/>
    <n v="10"/>
    <n v="98762"/>
    <n v="68"/>
    <n v="44099"/>
    <n v="34"/>
    <n v="856"/>
    <n v="4948"/>
    <n v="42"/>
    <n v="9"/>
    <n v="97911"/>
    <n v="44010"/>
    <n v="67"/>
    <n v="37"/>
    <n v="-17"/>
    <n v="0"/>
    <x v="0"/>
    <n v="851"/>
    <n v="89"/>
    <n v="940"/>
    <n v="0.98014018691588789"/>
    <n v="53"/>
    <x v="5"/>
  </r>
  <r>
    <x v="5"/>
    <x v="5"/>
    <n v="8412"/>
    <n v="47"/>
    <n v="824"/>
    <n v="7416"/>
    <n v="52"/>
    <n v="7"/>
    <n v="157288"/>
    <n v="173"/>
    <n v="88546"/>
    <n v="65"/>
    <n v="817"/>
    <n v="7358"/>
    <n v="53"/>
    <n v="6"/>
    <n v="156448"/>
    <n v="88354"/>
    <n v="172"/>
    <n v="66"/>
    <n v="7"/>
    <n v="-1"/>
    <x v="0"/>
    <n v="840"/>
    <n v="192"/>
    <n v="1032"/>
    <n v="1.0085679314565483"/>
    <n v="58"/>
    <x v="5"/>
  </r>
  <r>
    <x v="5"/>
    <x v="6"/>
    <n v="10949"/>
    <n v="126"/>
    <n v="1401"/>
    <n v="9310"/>
    <n v="60"/>
    <n v="12"/>
    <n v="202118"/>
    <n v="239"/>
    <n v="56587"/>
    <n v="50"/>
    <n v="1425"/>
    <n v="9161"/>
    <n v="62"/>
    <n v="11"/>
    <n v="200137"/>
    <n v="56504"/>
    <n v="237"/>
    <n v="127"/>
    <n v="-24"/>
    <n v="-2"/>
    <x v="0"/>
    <n v="1981"/>
    <n v="83"/>
    <n v="2064"/>
    <n v="0.98315789473684212"/>
    <n v="149"/>
    <x v="5"/>
  </r>
  <r>
    <x v="5"/>
    <x v="7"/>
    <n v="55721"/>
    <n v="324"/>
    <n v="5684"/>
    <n v="48748"/>
    <n v="309"/>
    <n v="51"/>
    <n v="967614"/>
    <n v="1293"/>
    <n v="431283"/>
    <n v="255"/>
    <n v="5795"/>
    <n v="48285"/>
    <n v="321"/>
    <n v="50"/>
    <n v="960143"/>
    <n v="430427"/>
    <n v="1287"/>
    <n v="358"/>
    <n v="-111"/>
    <n v="-12"/>
    <x v="0"/>
    <n v="7471"/>
    <n v="856"/>
    <n v="8327"/>
    <n v="0.98084555651423644"/>
    <n v="463"/>
    <x v="5"/>
  </r>
  <r>
    <x v="6"/>
    <x v="0"/>
    <n v="12528"/>
    <n v="43"/>
    <n v="1017"/>
    <n v="11219"/>
    <n v="74"/>
    <n v="13"/>
    <n v="211869"/>
    <n v="296"/>
    <n v="74253"/>
    <n v="34"/>
    <n v="1093"/>
    <n v="11095"/>
    <n v="78"/>
    <n v="13"/>
    <n v="210400"/>
    <n v="74050"/>
    <n v="293"/>
    <n v="51"/>
    <n v="-76"/>
    <n v="-4"/>
    <x v="2"/>
    <n v="1469"/>
    <n v="203"/>
    <n v="1672"/>
    <n v="0.93046660567246109"/>
    <n v="124"/>
    <x v="6"/>
  </r>
  <r>
    <x v="6"/>
    <x v="1"/>
    <n v="3611"/>
    <n v="28"/>
    <n v="547"/>
    <n v="2981"/>
    <n v="29"/>
    <n v="4"/>
    <n v="67485"/>
    <n v="81"/>
    <n v="29469"/>
    <n v="21"/>
    <n v="573"/>
    <n v="2924"/>
    <n v="28"/>
    <n v="3"/>
    <n v="66878"/>
    <n v="29423"/>
    <n v="81"/>
    <n v="31"/>
    <n v="-26"/>
    <n v="1"/>
    <x v="0"/>
    <n v="607"/>
    <n v="46"/>
    <n v="653"/>
    <n v="0.95462478184991273"/>
    <n v="57"/>
    <x v="6"/>
  </r>
  <r>
    <x v="6"/>
    <x v="2"/>
    <n v="6596"/>
    <n v="18"/>
    <n v="545"/>
    <n v="5911"/>
    <n v="25"/>
    <n v="4"/>
    <n v="111111"/>
    <n v="139"/>
    <n v="73078"/>
    <n v="25"/>
    <n v="571"/>
    <n v="5866"/>
    <n v="23"/>
    <n v="4"/>
    <n v="110098"/>
    <n v="72957"/>
    <n v="139"/>
    <n v="19"/>
    <n v="-26"/>
    <n v="2"/>
    <x v="2"/>
    <n v="1013"/>
    <n v="121"/>
    <n v="1134"/>
    <n v="0.95446584938704027"/>
    <n v="45"/>
    <x v="6"/>
  </r>
  <r>
    <x v="6"/>
    <x v="3"/>
    <n v="7851"/>
    <n v="30"/>
    <n v="403"/>
    <n v="7145"/>
    <n v="30"/>
    <n v="2"/>
    <n v="122626"/>
    <n v="301"/>
    <n v="65754"/>
    <n v="32"/>
    <n v="383"/>
    <n v="7136"/>
    <n v="26"/>
    <n v="2"/>
    <n v="122070"/>
    <n v="65621"/>
    <n v="300"/>
    <n v="31"/>
    <n v="20"/>
    <n v="4"/>
    <x v="2"/>
    <n v="556"/>
    <n v="133"/>
    <n v="689"/>
    <n v="1.0522193211488251"/>
    <n v="9"/>
    <x v="6"/>
  </r>
  <r>
    <x v="6"/>
    <x v="4"/>
    <n v="5970"/>
    <n v="58"/>
    <n v="851"/>
    <n v="5052"/>
    <n v="39"/>
    <n v="9"/>
    <n v="99820"/>
    <n v="69"/>
    <n v="44231"/>
    <n v="39"/>
    <n v="839"/>
    <n v="5001"/>
    <n v="42"/>
    <n v="10"/>
    <n v="98762"/>
    <n v="44099"/>
    <n v="68"/>
    <n v="64"/>
    <n v="12"/>
    <n v="-3"/>
    <x v="4"/>
    <n v="1058"/>
    <n v="132"/>
    <n v="1190"/>
    <n v="1.0143027413587604"/>
    <n v="51"/>
    <x v="6"/>
  </r>
  <r>
    <x v="6"/>
    <x v="5"/>
    <n v="8503"/>
    <n v="72"/>
    <n v="852"/>
    <n v="7479"/>
    <n v="50"/>
    <n v="11"/>
    <n v="158434"/>
    <n v="174"/>
    <n v="88803"/>
    <n v="47"/>
    <n v="824"/>
    <n v="7416"/>
    <n v="52"/>
    <n v="7"/>
    <n v="157288"/>
    <n v="88546"/>
    <n v="173"/>
    <n v="91"/>
    <n v="28"/>
    <n v="-2"/>
    <x v="9"/>
    <n v="1146"/>
    <n v="257"/>
    <n v="1403"/>
    <n v="1.0339805825242718"/>
    <n v="63"/>
    <x v="6"/>
  </r>
  <r>
    <x v="6"/>
    <x v="6"/>
    <n v="11002"/>
    <n v="52"/>
    <n v="1315"/>
    <n v="9445"/>
    <n v="51"/>
    <n v="11"/>
    <n v="203922"/>
    <n v="243"/>
    <n v="56659"/>
    <n v="126"/>
    <n v="1401"/>
    <n v="9310"/>
    <n v="60"/>
    <n v="12"/>
    <n v="202118"/>
    <n v="56587"/>
    <n v="239"/>
    <n v="53"/>
    <n v="-86"/>
    <n v="-9"/>
    <x v="4"/>
    <n v="1804"/>
    <n v="72"/>
    <n v="1876"/>
    <n v="0.93861527480371165"/>
    <n v="135"/>
    <x v="6"/>
  </r>
  <r>
    <x v="6"/>
    <x v="7"/>
    <n v="56061"/>
    <n v="301"/>
    <n v="5530"/>
    <n v="49232"/>
    <n v="298"/>
    <n v="54"/>
    <n v="975267"/>
    <n v="1303"/>
    <n v="432247"/>
    <n v="324"/>
    <n v="5684"/>
    <n v="48748"/>
    <n v="309"/>
    <n v="51"/>
    <n v="967614"/>
    <n v="431283"/>
    <n v="1293"/>
    <n v="340"/>
    <n v="-154"/>
    <n v="-11"/>
    <x v="3"/>
    <n v="7653"/>
    <n v="964"/>
    <n v="8617"/>
    <n v="0.97290640394088668"/>
    <n v="484"/>
    <x v="6"/>
  </r>
  <r>
    <x v="7"/>
    <x v="0"/>
    <n v="12570"/>
    <n v="41"/>
    <n v="993"/>
    <n v="11285"/>
    <n v="74"/>
    <n v="13"/>
    <n v="213048"/>
    <n v="296"/>
    <n v="74334"/>
    <n v="43"/>
    <n v="1017"/>
    <n v="11219"/>
    <n v="74"/>
    <n v="13"/>
    <n v="211869"/>
    <n v="74253"/>
    <n v="296"/>
    <n v="42"/>
    <n v="-24"/>
    <n v="0"/>
    <x v="2"/>
    <n v="1179"/>
    <n v="81"/>
    <n v="1260"/>
    <n v="0.97640117994100295"/>
    <n v="66"/>
    <x v="7"/>
  </r>
  <r>
    <x v="7"/>
    <x v="1"/>
    <n v="3637"/>
    <n v="26"/>
    <n v="533"/>
    <n v="3020"/>
    <n v="28"/>
    <n v="4"/>
    <n v="68004"/>
    <n v="82"/>
    <n v="29495"/>
    <n v="28"/>
    <n v="547"/>
    <n v="2981"/>
    <n v="29"/>
    <n v="4"/>
    <n v="67485"/>
    <n v="29469"/>
    <n v="81"/>
    <n v="26"/>
    <n v="-14"/>
    <n v="-1"/>
    <x v="2"/>
    <n v="519"/>
    <n v="26"/>
    <n v="545"/>
    <n v="0.97440585009140768"/>
    <n v="39"/>
    <x v="7"/>
  </r>
  <r>
    <x v="7"/>
    <x v="2"/>
    <n v="6619"/>
    <n v="24"/>
    <n v="498"/>
    <n v="5981"/>
    <n v="22"/>
    <n v="4"/>
    <n v="112035"/>
    <n v="139"/>
    <n v="73124"/>
    <n v="18"/>
    <n v="545"/>
    <n v="5911"/>
    <n v="25"/>
    <n v="4"/>
    <n v="111111"/>
    <n v="73078"/>
    <n v="139"/>
    <n v="23"/>
    <n v="-47"/>
    <n v="-3"/>
    <x v="2"/>
    <n v="924"/>
    <n v="46"/>
    <n v="970"/>
    <n v="0.91376146788990831"/>
    <n v="70"/>
    <x v="7"/>
  </r>
  <r>
    <x v="7"/>
    <x v="3"/>
    <n v="7899"/>
    <n v="48"/>
    <n v="424"/>
    <n v="7172"/>
    <n v="32"/>
    <n v="2"/>
    <n v="123121"/>
    <n v="301"/>
    <n v="65812"/>
    <n v="30"/>
    <n v="403"/>
    <n v="7145"/>
    <n v="30"/>
    <n v="2"/>
    <n v="122626"/>
    <n v="65754"/>
    <n v="301"/>
    <n v="48"/>
    <n v="21"/>
    <n v="2"/>
    <x v="2"/>
    <n v="495"/>
    <n v="58"/>
    <n v="553"/>
    <n v="1.0521091811414391"/>
    <n v="27"/>
    <x v="7"/>
  </r>
  <r>
    <x v="7"/>
    <x v="4"/>
    <n v="6038"/>
    <n v="63"/>
    <n v="851"/>
    <n v="5119"/>
    <n v="38"/>
    <n v="8"/>
    <n v="100802"/>
    <n v="70"/>
    <n v="44296"/>
    <n v="58"/>
    <n v="851"/>
    <n v="5052"/>
    <n v="39"/>
    <n v="9"/>
    <n v="99820"/>
    <n v="44231"/>
    <n v="69"/>
    <n v="68"/>
    <n v="0"/>
    <n v="-1"/>
    <x v="4"/>
    <n v="982"/>
    <n v="65"/>
    <n v="1047"/>
    <n v="1"/>
    <n v="67"/>
    <x v="7"/>
  </r>
  <r>
    <x v="7"/>
    <x v="5"/>
    <n v="8599"/>
    <n v="73"/>
    <n v="905"/>
    <n v="7522"/>
    <n v="56"/>
    <n v="10"/>
    <n v="159813"/>
    <n v="174"/>
    <n v="88948"/>
    <n v="72"/>
    <n v="852"/>
    <n v="7479"/>
    <n v="50"/>
    <n v="11"/>
    <n v="158434"/>
    <n v="88803"/>
    <n v="174"/>
    <n v="96"/>
    <n v="53"/>
    <n v="6"/>
    <x v="4"/>
    <n v="1379"/>
    <n v="145"/>
    <n v="1524"/>
    <n v="1.062206572769953"/>
    <n v="43"/>
    <x v="7"/>
  </r>
  <r>
    <x v="7"/>
    <x v="6"/>
    <n v="11095"/>
    <n v="98"/>
    <n v="1317"/>
    <n v="9535"/>
    <n v="47"/>
    <n v="11"/>
    <n v="206339"/>
    <n v="244"/>
    <n v="56690"/>
    <n v="52"/>
    <n v="1315"/>
    <n v="9445"/>
    <n v="51"/>
    <n v="11"/>
    <n v="203922"/>
    <n v="56659"/>
    <n v="243"/>
    <n v="93"/>
    <n v="2"/>
    <n v="-4"/>
    <x v="2"/>
    <n v="2417"/>
    <n v="31"/>
    <n v="2448"/>
    <n v="1.0015209125475286"/>
    <n v="90"/>
    <x v="7"/>
  </r>
  <r>
    <x v="7"/>
    <x v="7"/>
    <n v="56457"/>
    <n v="373"/>
    <n v="5521"/>
    <n v="49634"/>
    <n v="297"/>
    <n v="52"/>
    <n v="983162"/>
    <n v="1306"/>
    <n v="432699"/>
    <n v="301"/>
    <n v="5530"/>
    <n v="49232"/>
    <n v="298"/>
    <n v="54"/>
    <n v="975267"/>
    <n v="432247"/>
    <n v="1303"/>
    <n v="396"/>
    <n v="-9"/>
    <n v="-1"/>
    <x v="5"/>
    <n v="7895"/>
    <n v="452"/>
    <n v="8347"/>
    <n v="0.99837251356238699"/>
    <n v="402"/>
    <x v="7"/>
  </r>
  <r>
    <x v="8"/>
    <x v="0"/>
    <n v="12635"/>
    <n v="61"/>
    <n v="955"/>
    <n v="11386"/>
    <n v="75"/>
    <n v="13"/>
    <n v="213772"/>
    <n v="298"/>
    <n v="74419"/>
    <n v="41"/>
    <n v="993"/>
    <n v="11285"/>
    <n v="74"/>
    <n v="13"/>
    <n v="213048"/>
    <n v="74334"/>
    <n v="296"/>
    <n v="65"/>
    <n v="-38"/>
    <n v="1"/>
    <x v="2"/>
    <n v="724"/>
    <n v="85"/>
    <n v="809"/>
    <n v="0.96173212487411885"/>
    <n v="101"/>
    <x v="8"/>
  </r>
  <r>
    <x v="8"/>
    <x v="1"/>
    <n v="3686"/>
    <n v="48"/>
    <n v="563"/>
    <n v="3037"/>
    <n v="30"/>
    <n v="4"/>
    <n v="69010"/>
    <n v="84"/>
    <n v="29513"/>
    <n v="26"/>
    <n v="533"/>
    <n v="3020"/>
    <n v="28"/>
    <n v="4"/>
    <n v="68004"/>
    <n v="29495"/>
    <n v="82"/>
    <n v="49"/>
    <n v="30"/>
    <n v="2"/>
    <x v="2"/>
    <n v="1006"/>
    <n v="18"/>
    <n v="1024"/>
    <n v="1.0562851782363978"/>
    <n v="17"/>
    <x v="8"/>
  </r>
  <r>
    <x v="8"/>
    <x v="2"/>
    <n v="6639"/>
    <n v="18"/>
    <n v="486"/>
    <n v="6013"/>
    <n v="21"/>
    <n v="6"/>
    <n v="113015"/>
    <n v="139"/>
    <n v="73167"/>
    <n v="24"/>
    <n v="498"/>
    <n v="5981"/>
    <n v="22"/>
    <n v="4"/>
    <n v="112035"/>
    <n v="73124"/>
    <n v="139"/>
    <n v="20"/>
    <n v="-12"/>
    <n v="-1"/>
    <x v="1"/>
    <n v="980"/>
    <n v="43"/>
    <n v="1023"/>
    <n v="0.97590361445783136"/>
    <n v="32"/>
    <x v="8"/>
  </r>
  <r>
    <x v="8"/>
    <x v="3"/>
    <n v="7940"/>
    <n v="36"/>
    <n v="452"/>
    <n v="7184"/>
    <n v="36"/>
    <n v="1"/>
    <n v="123699"/>
    <n v="302"/>
    <n v="65876"/>
    <n v="48"/>
    <n v="424"/>
    <n v="7172"/>
    <n v="32"/>
    <n v="2"/>
    <n v="123121"/>
    <n v="65812"/>
    <n v="301"/>
    <n v="41"/>
    <n v="28"/>
    <n v="4"/>
    <x v="4"/>
    <n v="578"/>
    <n v="64"/>
    <n v="642"/>
    <n v="1.0660377358490567"/>
    <n v="12"/>
    <x v="8"/>
  </r>
  <r>
    <x v="8"/>
    <x v="4"/>
    <n v="6090"/>
    <n v="43"/>
    <n v="848"/>
    <n v="5174"/>
    <n v="42"/>
    <n v="8"/>
    <n v="101325"/>
    <n v="70"/>
    <n v="44389"/>
    <n v="63"/>
    <n v="851"/>
    <n v="5119"/>
    <n v="38"/>
    <n v="8"/>
    <n v="100802"/>
    <n v="44296"/>
    <n v="70"/>
    <n v="52"/>
    <n v="-3"/>
    <n v="4"/>
    <x v="2"/>
    <n v="523"/>
    <n v="93"/>
    <n v="616"/>
    <n v="0.99647473560517041"/>
    <n v="55"/>
    <x v="8"/>
  </r>
  <r>
    <x v="8"/>
    <x v="5"/>
    <n v="8687"/>
    <n v="70"/>
    <n v="952"/>
    <n v="7563"/>
    <n v="62"/>
    <n v="11"/>
    <n v="161945"/>
    <n v="174"/>
    <n v="89063"/>
    <n v="73"/>
    <n v="905"/>
    <n v="7522"/>
    <n v="56"/>
    <n v="10"/>
    <n v="159813"/>
    <n v="88948"/>
    <n v="174"/>
    <n v="88"/>
    <n v="47"/>
    <n v="6"/>
    <x v="0"/>
    <n v="2132"/>
    <n v="115"/>
    <n v="2247"/>
    <n v="1.0519337016574586"/>
    <n v="41"/>
    <x v="8"/>
  </r>
  <r>
    <x v="8"/>
    <x v="6"/>
    <n v="11151"/>
    <n v="47"/>
    <n v="1304"/>
    <n v="9603"/>
    <n v="44"/>
    <n v="12"/>
    <n v="208436"/>
    <n v="245"/>
    <n v="56728"/>
    <n v="98"/>
    <n v="1317"/>
    <n v="9535"/>
    <n v="47"/>
    <n v="11"/>
    <n v="206339"/>
    <n v="56690"/>
    <n v="244"/>
    <n v="56"/>
    <n v="-13"/>
    <n v="-3"/>
    <x v="0"/>
    <n v="2097"/>
    <n v="38"/>
    <n v="2135"/>
    <n v="0.99012908124525434"/>
    <n v="68"/>
    <x v="8"/>
  </r>
  <r>
    <x v="8"/>
    <x v="7"/>
    <n v="56828"/>
    <n v="323"/>
    <n v="5560"/>
    <n v="49960"/>
    <n v="310"/>
    <n v="55"/>
    <n v="991202"/>
    <n v="1312"/>
    <n v="433155"/>
    <n v="373"/>
    <n v="5521"/>
    <n v="49634"/>
    <n v="297"/>
    <n v="52"/>
    <n v="983162"/>
    <n v="432699"/>
    <n v="1306"/>
    <n v="371"/>
    <n v="39"/>
    <n v="13"/>
    <x v="3"/>
    <n v="8040"/>
    <n v="456"/>
    <n v="8496"/>
    <n v="1.0070639376924471"/>
    <n v="326"/>
    <x v="8"/>
  </r>
  <r>
    <x v="9"/>
    <x v="0"/>
    <n v="12656"/>
    <n v="17"/>
    <n v="929"/>
    <n v="11431"/>
    <n v="72"/>
    <n v="14"/>
    <n v="214113"/>
    <n v="300"/>
    <n v="74593"/>
    <n v="61"/>
    <n v="955"/>
    <n v="11386"/>
    <n v="75"/>
    <n v="13"/>
    <n v="213772"/>
    <n v="74419"/>
    <n v="298"/>
    <n v="21"/>
    <n v="-26"/>
    <n v="-3"/>
    <x v="0"/>
    <n v="341"/>
    <n v="174"/>
    <n v="515"/>
    <n v="0.97277486910994759"/>
    <n v="45"/>
    <x v="9"/>
  </r>
  <r>
    <x v="9"/>
    <x v="1"/>
    <n v="3704"/>
    <n v="18"/>
    <n v="562"/>
    <n v="3056"/>
    <n v="30"/>
    <n v="5"/>
    <n v="69859"/>
    <n v="84"/>
    <n v="29565"/>
    <n v="48"/>
    <n v="563"/>
    <n v="3037"/>
    <n v="30"/>
    <n v="4"/>
    <n v="69010"/>
    <n v="29513"/>
    <n v="84"/>
    <n v="18"/>
    <n v="-1"/>
    <n v="0"/>
    <x v="0"/>
    <n v="849"/>
    <n v="52"/>
    <n v="901"/>
    <n v="0.9982238010657194"/>
    <n v="19"/>
    <x v="9"/>
  </r>
  <r>
    <x v="9"/>
    <x v="2"/>
    <n v="6652"/>
    <n v="10"/>
    <n v="470"/>
    <n v="6041"/>
    <n v="20"/>
    <n v="6"/>
    <n v="113810"/>
    <n v="140"/>
    <n v="73279"/>
    <n v="18"/>
    <n v="486"/>
    <n v="6013"/>
    <n v="21"/>
    <n v="6"/>
    <n v="113015"/>
    <n v="73167"/>
    <n v="139"/>
    <n v="13"/>
    <n v="-16"/>
    <n v="-1"/>
    <x v="2"/>
    <n v="795"/>
    <n v="112"/>
    <n v="907"/>
    <n v="0.96707818930041156"/>
    <n v="28"/>
    <x v="9"/>
  </r>
  <r>
    <x v="9"/>
    <x v="3"/>
    <n v="7952"/>
    <n v="9"/>
    <n v="436"/>
    <n v="7211"/>
    <n v="38"/>
    <n v="1"/>
    <n v="124836"/>
    <n v="303"/>
    <n v="65958"/>
    <n v="36"/>
    <n v="452"/>
    <n v="7184"/>
    <n v="36"/>
    <n v="1"/>
    <n v="123699"/>
    <n v="65876"/>
    <n v="302"/>
    <n v="12"/>
    <n v="-16"/>
    <n v="2"/>
    <x v="2"/>
    <n v="1137"/>
    <n v="82"/>
    <n v="1219"/>
    <n v="0.96460176991150437"/>
    <n v="27"/>
    <x v="9"/>
  </r>
  <r>
    <x v="9"/>
    <x v="4"/>
    <n v="6172"/>
    <n v="70"/>
    <n v="867"/>
    <n v="5237"/>
    <n v="44"/>
    <n v="8"/>
    <n v="102136"/>
    <n v="71"/>
    <n v="44510"/>
    <n v="43"/>
    <n v="848"/>
    <n v="5174"/>
    <n v="42"/>
    <n v="8"/>
    <n v="101325"/>
    <n v="44389"/>
    <n v="70"/>
    <n v="82"/>
    <n v="19"/>
    <n v="2"/>
    <x v="2"/>
    <n v="811"/>
    <n v="121"/>
    <n v="932"/>
    <n v="1.0224056603773586"/>
    <n v="63"/>
    <x v="9"/>
  </r>
  <r>
    <x v="9"/>
    <x v="5"/>
    <n v="8765"/>
    <n v="56"/>
    <n v="1005"/>
    <n v="7587"/>
    <n v="67"/>
    <n v="8"/>
    <n v="163782"/>
    <n v="175"/>
    <n v="89305"/>
    <n v="70"/>
    <n v="952"/>
    <n v="7563"/>
    <n v="62"/>
    <n v="11"/>
    <n v="161945"/>
    <n v="89063"/>
    <n v="174"/>
    <n v="78"/>
    <n v="53"/>
    <n v="5"/>
    <x v="10"/>
    <n v="1837"/>
    <n v="242"/>
    <n v="2079"/>
    <n v="1.055672268907563"/>
    <n v="24"/>
    <x v="9"/>
  </r>
  <r>
    <x v="9"/>
    <x v="6"/>
    <n v="11201"/>
    <n v="47"/>
    <n v="1329"/>
    <n v="9627"/>
    <n v="48"/>
    <n v="14"/>
    <n v="210698"/>
    <n v="246"/>
    <n v="56818"/>
    <n v="47"/>
    <n v="1304"/>
    <n v="9603"/>
    <n v="44"/>
    <n v="12"/>
    <n v="208436"/>
    <n v="56728"/>
    <n v="245"/>
    <n v="50"/>
    <n v="25"/>
    <n v="4"/>
    <x v="1"/>
    <n v="2262"/>
    <n v="90"/>
    <n v="2352"/>
    <n v="1.0191717791411044"/>
    <n v="24"/>
    <x v="9"/>
  </r>
  <r>
    <x v="9"/>
    <x v="7"/>
    <n v="57102"/>
    <n v="227"/>
    <n v="5598"/>
    <n v="50190"/>
    <n v="319"/>
    <n v="56"/>
    <n v="999234"/>
    <n v="1319"/>
    <n v="434028"/>
    <n v="323"/>
    <n v="5560"/>
    <n v="49960"/>
    <n v="310"/>
    <n v="55"/>
    <n v="991202"/>
    <n v="433155"/>
    <n v="1312"/>
    <n v="274"/>
    <n v="38"/>
    <n v="9"/>
    <x v="0"/>
    <n v="8032"/>
    <n v="873"/>
    <n v="8905"/>
    <n v="1.0068345323741008"/>
    <n v="230"/>
    <x v="9"/>
  </r>
  <r>
    <x v="10"/>
    <x v="0"/>
    <n v="12701"/>
    <n v="40"/>
    <n v="907"/>
    <n v="11497"/>
    <n v="63"/>
    <n v="13"/>
    <n v="215114"/>
    <n v="301"/>
    <n v="74812"/>
    <n v="17"/>
    <n v="929"/>
    <n v="11431"/>
    <n v="72"/>
    <n v="14"/>
    <n v="214113"/>
    <n v="74593"/>
    <n v="300"/>
    <n v="45"/>
    <n v="-22"/>
    <n v="-9"/>
    <x v="4"/>
    <n v="1001"/>
    <n v="219"/>
    <n v="1220"/>
    <n v="0.97631862217438103"/>
    <n v="66"/>
    <x v="10"/>
  </r>
  <r>
    <x v="10"/>
    <x v="1"/>
    <n v="3738"/>
    <n v="32"/>
    <n v="570"/>
    <n v="3082"/>
    <n v="30"/>
    <n v="4"/>
    <n v="70459"/>
    <n v="84"/>
    <n v="29598"/>
    <n v="18"/>
    <n v="562"/>
    <n v="3056"/>
    <n v="30"/>
    <n v="5"/>
    <n v="69859"/>
    <n v="29565"/>
    <n v="84"/>
    <n v="34"/>
    <n v="8"/>
    <n v="0"/>
    <x v="4"/>
    <n v="600"/>
    <n v="33"/>
    <n v="633"/>
    <n v="1.0142348754448398"/>
    <n v="26"/>
    <x v="10"/>
  </r>
  <r>
    <x v="10"/>
    <x v="2"/>
    <n v="6685"/>
    <n v="34"/>
    <n v="462"/>
    <n v="6082"/>
    <n v="18"/>
    <n v="6"/>
    <n v="114614"/>
    <n v="140"/>
    <n v="73395"/>
    <n v="10"/>
    <n v="470"/>
    <n v="6041"/>
    <n v="20"/>
    <n v="6"/>
    <n v="113810"/>
    <n v="73279"/>
    <n v="140"/>
    <n v="33"/>
    <n v="-8"/>
    <n v="-2"/>
    <x v="2"/>
    <n v="804"/>
    <n v="116"/>
    <n v="920"/>
    <n v="0.98297872340425529"/>
    <n v="41"/>
    <x v="10"/>
  </r>
  <r>
    <x v="10"/>
    <x v="3"/>
    <n v="7980"/>
    <n v="28"/>
    <n v="448"/>
    <n v="7227"/>
    <n v="35"/>
    <n v="2"/>
    <n v="125798"/>
    <n v="303"/>
    <n v="66077"/>
    <n v="9"/>
    <n v="436"/>
    <n v="7211"/>
    <n v="38"/>
    <n v="1"/>
    <n v="124836"/>
    <n v="65958"/>
    <n v="303"/>
    <n v="28"/>
    <n v="12"/>
    <n v="-3"/>
    <x v="0"/>
    <n v="962"/>
    <n v="119"/>
    <n v="1081"/>
    <n v="1.0275229357798166"/>
    <n v="16"/>
    <x v="10"/>
  </r>
  <r>
    <x v="10"/>
    <x v="4"/>
    <n v="6217"/>
    <n v="29"/>
    <n v="869"/>
    <n v="5279"/>
    <n v="44"/>
    <n v="8"/>
    <n v="102889"/>
    <n v="72"/>
    <n v="44661"/>
    <n v="70"/>
    <n v="867"/>
    <n v="5237"/>
    <n v="44"/>
    <n v="8"/>
    <n v="102136"/>
    <n v="44510"/>
    <n v="71"/>
    <n v="45"/>
    <n v="2"/>
    <n v="0"/>
    <x v="2"/>
    <n v="753"/>
    <n v="151"/>
    <n v="904"/>
    <n v="1.0023068050749713"/>
    <n v="42"/>
    <x v="10"/>
  </r>
  <r>
    <x v="10"/>
    <x v="5"/>
    <n v="8883"/>
    <n v="101"/>
    <n v="1054"/>
    <n v="7656"/>
    <n v="64"/>
    <n v="7"/>
    <n v="166335"/>
    <n v="175"/>
    <n v="89538"/>
    <n v="56"/>
    <n v="1005"/>
    <n v="7587"/>
    <n v="67"/>
    <n v="8"/>
    <n v="163782"/>
    <n v="89305"/>
    <n v="175"/>
    <n v="118"/>
    <n v="49"/>
    <n v="-3"/>
    <x v="4"/>
    <n v="2553"/>
    <n v="233"/>
    <n v="2786"/>
    <n v="1.0487562189054727"/>
    <n v="69"/>
    <x v="10"/>
  </r>
  <r>
    <x v="10"/>
    <x v="6"/>
    <n v="11322"/>
    <n v="116"/>
    <n v="1343"/>
    <n v="9732"/>
    <n v="47"/>
    <n v="13"/>
    <n v="213051"/>
    <n v="248"/>
    <n v="56933"/>
    <n v="47"/>
    <n v="1329"/>
    <n v="9627"/>
    <n v="48"/>
    <n v="14"/>
    <n v="210698"/>
    <n v="56818"/>
    <n v="246"/>
    <n v="121"/>
    <n v="14"/>
    <n v="-1"/>
    <x v="4"/>
    <n v="2353"/>
    <n v="115"/>
    <n v="2468"/>
    <n v="1.0105342362678706"/>
    <n v="105"/>
    <x v="10"/>
  </r>
  <r>
    <x v="10"/>
    <x v="7"/>
    <n v="57526"/>
    <n v="380"/>
    <n v="5653"/>
    <n v="50555"/>
    <n v="301"/>
    <n v="53"/>
    <n v="1008260"/>
    <n v="1323"/>
    <n v="435014"/>
    <n v="227"/>
    <n v="5598"/>
    <n v="50190"/>
    <n v="319"/>
    <n v="56"/>
    <n v="999234"/>
    <n v="434028"/>
    <n v="1319"/>
    <n v="424"/>
    <n v="55"/>
    <n v="-18"/>
    <x v="10"/>
    <n v="9026"/>
    <n v="986"/>
    <n v="10012"/>
    <n v="1.0098249374776707"/>
    <n v="365"/>
    <x v="10"/>
  </r>
  <r>
    <x v="11"/>
    <x v="0"/>
    <n v="12762"/>
    <n v="53"/>
    <n v="899"/>
    <n v="11564"/>
    <n v="69"/>
    <n v="12"/>
    <n v="215987"/>
    <n v="303"/>
    <n v="75008"/>
    <n v="40"/>
    <n v="907"/>
    <n v="11497"/>
    <n v="63"/>
    <n v="13"/>
    <n v="215114"/>
    <n v="74812"/>
    <n v="301"/>
    <n v="61"/>
    <n v="-8"/>
    <n v="6"/>
    <x v="4"/>
    <n v="873"/>
    <n v="196"/>
    <n v="1069"/>
    <n v="0.99117971334068355"/>
    <n v="67"/>
    <x v="11"/>
  </r>
  <r>
    <x v="11"/>
    <x v="1"/>
    <n v="3754"/>
    <n v="15"/>
    <n v="555"/>
    <n v="3113"/>
    <n v="28"/>
    <n v="4"/>
    <n v="70950"/>
    <n v="84"/>
    <n v="29632"/>
    <n v="32"/>
    <n v="570"/>
    <n v="3082"/>
    <n v="30"/>
    <n v="4"/>
    <n v="70459"/>
    <n v="29598"/>
    <n v="84"/>
    <n v="16"/>
    <n v="-15"/>
    <n v="-2"/>
    <x v="2"/>
    <n v="491"/>
    <n v="34"/>
    <n v="525"/>
    <n v="0.97368421052631582"/>
    <n v="31"/>
    <x v="11"/>
  </r>
  <r>
    <x v="11"/>
    <x v="2"/>
    <n v="6708"/>
    <n v="15"/>
    <n v="433"/>
    <n v="6133"/>
    <n v="18"/>
    <n v="5"/>
    <n v="115604"/>
    <n v="141"/>
    <n v="73515"/>
    <n v="34"/>
    <n v="462"/>
    <n v="6082"/>
    <n v="18"/>
    <n v="6"/>
    <n v="114614"/>
    <n v="73395"/>
    <n v="140"/>
    <n v="23"/>
    <n v="-29"/>
    <n v="0"/>
    <x v="4"/>
    <n v="990"/>
    <n v="120"/>
    <n v="1110"/>
    <n v="0.93722943722943719"/>
    <n v="51"/>
    <x v="11"/>
  </r>
  <r>
    <x v="11"/>
    <x v="3"/>
    <n v="8021"/>
    <n v="42"/>
    <n v="458"/>
    <n v="7259"/>
    <n v="36"/>
    <n v="1"/>
    <n v="126461"/>
    <n v="303"/>
    <n v="66187"/>
    <n v="28"/>
    <n v="448"/>
    <n v="7227"/>
    <n v="35"/>
    <n v="2"/>
    <n v="125798"/>
    <n v="66077"/>
    <n v="303"/>
    <n v="41"/>
    <n v="10"/>
    <n v="1"/>
    <x v="4"/>
    <n v="663"/>
    <n v="110"/>
    <n v="773"/>
    <n v="1.0223214285714286"/>
    <n v="32"/>
    <x v="11"/>
  </r>
  <r>
    <x v="11"/>
    <x v="4"/>
    <n v="6278"/>
    <n v="49"/>
    <n v="865"/>
    <n v="5344"/>
    <n v="44"/>
    <n v="9"/>
    <n v="103782"/>
    <n v="72"/>
    <n v="44782"/>
    <n v="29"/>
    <n v="869"/>
    <n v="5279"/>
    <n v="44"/>
    <n v="8"/>
    <n v="102889"/>
    <n v="44661"/>
    <n v="72"/>
    <n v="61"/>
    <n v="-4"/>
    <n v="0"/>
    <x v="0"/>
    <n v="893"/>
    <n v="121"/>
    <n v="1014"/>
    <n v="0.9953970080552359"/>
    <n v="65"/>
    <x v="11"/>
  </r>
  <r>
    <x v="11"/>
    <x v="5"/>
    <n v="8993"/>
    <n v="91"/>
    <n v="1100"/>
    <n v="7719"/>
    <n v="62"/>
    <n v="6"/>
    <n v="168336"/>
    <n v="175"/>
    <n v="89774"/>
    <n v="101"/>
    <n v="1054"/>
    <n v="7656"/>
    <n v="64"/>
    <n v="7"/>
    <n v="166335"/>
    <n v="89538"/>
    <n v="175"/>
    <n v="110"/>
    <n v="46"/>
    <n v="-2"/>
    <x v="4"/>
    <n v="2001"/>
    <n v="236"/>
    <n v="2237"/>
    <n v="1.0436432637571158"/>
    <n v="63"/>
    <x v="11"/>
  </r>
  <r>
    <x v="11"/>
    <x v="6"/>
    <n v="11417"/>
    <n v="92"/>
    <n v="1308"/>
    <n v="9861"/>
    <n v="45"/>
    <n v="13"/>
    <n v="215719"/>
    <n v="249"/>
    <n v="57026"/>
    <n v="116"/>
    <n v="1343"/>
    <n v="9732"/>
    <n v="47"/>
    <n v="13"/>
    <n v="213051"/>
    <n v="56933"/>
    <n v="248"/>
    <n v="95"/>
    <n v="-35"/>
    <n v="-2"/>
    <x v="2"/>
    <n v="2668"/>
    <n v="93"/>
    <n v="2761"/>
    <n v="0.97393894266567382"/>
    <n v="129"/>
    <x v="11"/>
  </r>
  <r>
    <x v="11"/>
    <x v="7"/>
    <n v="57933"/>
    <n v="357"/>
    <n v="5618"/>
    <n v="50993"/>
    <n v="302"/>
    <n v="50"/>
    <n v="1016839"/>
    <n v="1327"/>
    <n v="435924"/>
    <n v="380"/>
    <n v="5653"/>
    <n v="50555"/>
    <n v="301"/>
    <n v="53"/>
    <n v="1008260"/>
    <n v="435014"/>
    <n v="1323"/>
    <n v="407"/>
    <n v="-35"/>
    <n v="1"/>
    <x v="10"/>
    <n v="8579"/>
    <n v="910"/>
    <n v="9489"/>
    <n v="0.9938085972050239"/>
    <n v="438"/>
    <x v="11"/>
  </r>
  <r>
    <x v="12"/>
    <x v="0"/>
    <n v="12806"/>
    <n v="46"/>
    <n v="861"/>
    <n v="11644"/>
    <n v="64"/>
    <n v="14"/>
    <n v="216767"/>
    <n v="305"/>
    <n v="75203"/>
    <n v="53"/>
    <n v="899"/>
    <n v="11564"/>
    <n v="69"/>
    <n v="12"/>
    <n v="215987"/>
    <n v="75008"/>
    <n v="303"/>
    <n v="44"/>
    <n v="-38"/>
    <n v="-5"/>
    <x v="1"/>
    <n v="780"/>
    <n v="195"/>
    <n v="975"/>
    <n v="0.9577308120133482"/>
    <n v="80"/>
    <x v="12"/>
  </r>
  <r>
    <x v="12"/>
    <x v="1"/>
    <n v="3783"/>
    <n v="29"/>
    <n v="556"/>
    <n v="3141"/>
    <n v="30"/>
    <n v="5"/>
    <n v="71398"/>
    <n v="84"/>
    <n v="29675"/>
    <n v="15"/>
    <n v="555"/>
    <n v="3113"/>
    <n v="28"/>
    <n v="4"/>
    <n v="70950"/>
    <n v="29632"/>
    <n v="84"/>
    <n v="29"/>
    <n v="1"/>
    <n v="2"/>
    <x v="0"/>
    <n v="448"/>
    <n v="43"/>
    <n v="491"/>
    <n v="1.0018018018018018"/>
    <n v="28"/>
    <x v="12"/>
  </r>
  <r>
    <x v="12"/>
    <x v="2"/>
    <n v="6721"/>
    <n v="7"/>
    <n v="401"/>
    <n v="6177"/>
    <n v="17"/>
    <n v="6"/>
    <n v="116220"/>
    <n v="141"/>
    <n v="73640"/>
    <n v="15"/>
    <n v="433"/>
    <n v="6133"/>
    <n v="18"/>
    <n v="5"/>
    <n v="115604"/>
    <n v="73515"/>
    <n v="141"/>
    <n v="13"/>
    <n v="-32"/>
    <n v="-1"/>
    <x v="0"/>
    <n v="616"/>
    <n v="125"/>
    <n v="741"/>
    <n v="0.92609699769053122"/>
    <n v="44"/>
    <x v="12"/>
  </r>
  <r>
    <x v="12"/>
    <x v="3"/>
    <n v="8072"/>
    <n v="49"/>
    <n v="480"/>
    <n v="7287"/>
    <n v="36"/>
    <n v="2"/>
    <n v="127095"/>
    <n v="304"/>
    <n v="66330"/>
    <n v="42"/>
    <n v="458"/>
    <n v="7259"/>
    <n v="36"/>
    <n v="1"/>
    <n v="126461"/>
    <n v="66187"/>
    <n v="303"/>
    <n v="51"/>
    <n v="22"/>
    <n v="0"/>
    <x v="0"/>
    <n v="634"/>
    <n v="143"/>
    <n v="777"/>
    <n v="1.0480349344978166"/>
    <n v="28"/>
    <x v="12"/>
  </r>
  <r>
    <x v="12"/>
    <x v="4"/>
    <n v="6350"/>
    <n v="62"/>
    <n v="897"/>
    <n v="5384"/>
    <n v="46"/>
    <n v="9"/>
    <n v="104598"/>
    <n v="72"/>
    <n v="44951"/>
    <n v="49"/>
    <n v="865"/>
    <n v="5344"/>
    <n v="44"/>
    <n v="9"/>
    <n v="103782"/>
    <n v="44782"/>
    <n v="72"/>
    <n v="72"/>
    <n v="32"/>
    <n v="2"/>
    <x v="2"/>
    <n v="816"/>
    <n v="169"/>
    <n v="985"/>
    <n v="1.0369942196531792"/>
    <n v="40"/>
    <x v="12"/>
  </r>
  <r>
    <x v="12"/>
    <x v="5"/>
    <n v="9097"/>
    <n v="84"/>
    <n v="1144"/>
    <n v="7779"/>
    <n v="63"/>
    <n v="6"/>
    <n v="169789"/>
    <n v="176"/>
    <n v="90000"/>
    <n v="91"/>
    <n v="1100"/>
    <n v="7719"/>
    <n v="62"/>
    <n v="6"/>
    <n v="168336"/>
    <n v="89774"/>
    <n v="175"/>
    <n v="104"/>
    <n v="44"/>
    <n v="1"/>
    <x v="2"/>
    <n v="1453"/>
    <n v="226"/>
    <n v="1679"/>
    <n v="1.04"/>
    <n v="60"/>
    <x v="12"/>
  </r>
  <r>
    <x v="12"/>
    <x v="6"/>
    <n v="11512"/>
    <n v="90"/>
    <n v="1302"/>
    <n v="9961"/>
    <n v="53"/>
    <n v="13"/>
    <n v="217358"/>
    <n v="250"/>
    <n v="57120"/>
    <n v="92"/>
    <n v="1308"/>
    <n v="9861"/>
    <n v="45"/>
    <n v="13"/>
    <n v="215719"/>
    <n v="57026"/>
    <n v="249"/>
    <n v="95"/>
    <n v="-6"/>
    <n v="8"/>
    <x v="2"/>
    <n v="1639"/>
    <n v="94"/>
    <n v="1733"/>
    <n v="0.99541284403669728"/>
    <n v="100"/>
    <x v="12"/>
  </r>
  <r>
    <x v="12"/>
    <x v="7"/>
    <n v="58341"/>
    <n v="367"/>
    <n v="5641"/>
    <n v="51373"/>
    <n v="309"/>
    <n v="55"/>
    <n v="1023225"/>
    <n v="1332"/>
    <n v="436919"/>
    <n v="357"/>
    <n v="5618"/>
    <n v="50993"/>
    <n v="302"/>
    <n v="50"/>
    <n v="1016839"/>
    <n v="435924"/>
    <n v="1327"/>
    <n v="408"/>
    <n v="23"/>
    <n v="7"/>
    <x v="11"/>
    <n v="6386"/>
    <n v="995"/>
    <n v="7381"/>
    <n v="1.0040939836240654"/>
    <n v="380"/>
    <x v="12"/>
  </r>
  <r>
    <x v="13"/>
    <x v="0"/>
    <n v="12883"/>
    <n v="69"/>
    <n v="870"/>
    <n v="11712"/>
    <n v="58"/>
    <n v="14"/>
    <n v="218024"/>
    <n v="305"/>
    <n v="75419"/>
    <n v="46"/>
    <n v="861"/>
    <n v="11644"/>
    <n v="64"/>
    <n v="14"/>
    <n v="216767"/>
    <n v="75203"/>
    <n v="305"/>
    <n v="77"/>
    <n v="9"/>
    <n v="-6"/>
    <x v="2"/>
    <n v="1257"/>
    <n v="216"/>
    <n v="1473"/>
    <n v="1.0104529616724738"/>
    <n v="68"/>
    <x v="13"/>
  </r>
  <r>
    <x v="13"/>
    <x v="1"/>
    <n v="3793"/>
    <n v="9"/>
    <n v="534"/>
    <n v="3173"/>
    <n v="31"/>
    <n v="6"/>
    <n v="71661"/>
    <n v="84"/>
    <n v="29755"/>
    <n v="29"/>
    <n v="556"/>
    <n v="3141"/>
    <n v="30"/>
    <n v="5"/>
    <n v="71398"/>
    <n v="29675"/>
    <n v="84"/>
    <n v="10"/>
    <n v="-22"/>
    <n v="1"/>
    <x v="0"/>
    <n v="263"/>
    <n v="80"/>
    <n v="343"/>
    <n v="0.96043165467625902"/>
    <n v="32"/>
    <x v="13"/>
  </r>
  <r>
    <x v="13"/>
    <x v="2"/>
    <n v="6752"/>
    <n v="32"/>
    <n v="404"/>
    <n v="6205"/>
    <n v="12"/>
    <n v="7"/>
    <n v="116998"/>
    <n v="141"/>
    <n v="73772"/>
    <n v="7"/>
    <n v="401"/>
    <n v="6177"/>
    <n v="17"/>
    <n v="6"/>
    <n v="116220"/>
    <n v="73640"/>
    <n v="141"/>
    <n v="31"/>
    <n v="3"/>
    <n v="-5"/>
    <x v="0"/>
    <n v="778"/>
    <n v="132"/>
    <n v="910"/>
    <n v="1.0074812967581048"/>
    <n v="28"/>
    <x v="13"/>
  </r>
  <r>
    <x v="13"/>
    <x v="3"/>
    <n v="8095"/>
    <n v="18"/>
    <n v="478"/>
    <n v="7310"/>
    <n v="32"/>
    <n v="3"/>
    <n v="127827"/>
    <n v="306"/>
    <n v="66445"/>
    <n v="49"/>
    <n v="480"/>
    <n v="7287"/>
    <n v="36"/>
    <n v="2"/>
    <n v="127095"/>
    <n v="66330"/>
    <n v="304"/>
    <n v="23"/>
    <n v="-2"/>
    <n v="-4"/>
    <x v="0"/>
    <n v="732"/>
    <n v="115"/>
    <n v="847"/>
    <n v="0.99583333333333335"/>
    <n v="23"/>
    <x v="13"/>
  </r>
  <r>
    <x v="13"/>
    <x v="4"/>
    <n v="6414"/>
    <n v="62"/>
    <n v="925"/>
    <n v="5419"/>
    <n v="37"/>
    <n v="8"/>
    <n v="105534"/>
    <n v="73"/>
    <n v="45080"/>
    <n v="62"/>
    <n v="897"/>
    <n v="5384"/>
    <n v="46"/>
    <n v="9"/>
    <n v="104598"/>
    <n v="44951"/>
    <n v="72"/>
    <n v="64"/>
    <n v="28"/>
    <n v="-9"/>
    <x v="4"/>
    <n v="936"/>
    <n v="129"/>
    <n v="1065"/>
    <n v="1.0312151616499443"/>
    <n v="35"/>
    <x v="13"/>
  </r>
  <r>
    <x v="13"/>
    <x v="5"/>
    <n v="9198"/>
    <n v="74"/>
    <n v="1195"/>
    <n v="7829"/>
    <n v="66"/>
    <n v="6"/>
    <n v="171809"/>
    <n v="176"/>
    <n v="90232"/>
    <n v="84"/>
    <n v="1144"/>
    <n v="7779"/>
    <n v="63"/>
    <n v="6"/>
    <n v="169789"/>
    <n v="90000"/>
    <n v="176"/>
    <n v="101"/>
    <n v="51"/>
    <n v="3"/>
    <x v="2"/>
    <n v="2020"/>
    <n v="232"/>
    <n v="2252"/>
    <n v="1.0445804195804196"/>
    <n v="50"/>
    <x v="13"/>
  </r>
  <r>
    <x v="13"/>
    <x v="6"/>
    <n v="11595"/>
    <n v="75"/>
    <n v="1247"/>
    <n v="10098"/>
    <n v="45"/>
    <n v="12"/>
    <n v="219144"/>
    <n v="251"/>
    <n v="57230"/>
    <n v="90"/>
    <n v="1302"/>
    <n v="9961"/>
    <n v="53"/>
    <n v="13"/>
    <n v="217358"/>
    <n v="57120"/>
    <n v="250"/>
    <n v="83"/>
    <n v="-55"/>
    <n v="-8"/>
    <x v="4"/>
    <n v="1786"/>
    <n v="110"/>
    <n v="1896"/>
    <n v="0.95775729646697394"/>
    <n v="137"/>
    <x v="13"/>
  </r>
  <r>
    <x v="13"/>
    <x v="7"/>
    <n v="58730"/>
    <n v="339"/>
    <n v="5653"/>
    <n v="51746"/>
    <n v="281"/>
    <n v="56"/>
    <n v="1030997"/>
    <n v="1336"/>
    <n v="437933"/>
    <n v="367"/>
    <n v="5641"/>
    <n v="51373"/>
    <n v="309"/>
    <n v="55"/>
    <n v="1023225"/>
    <n v="436919"/>
    <n v="1332"/>
    <n v="389"/>
    <n v="12"/>
    <n v="-28"/>
    <x v="0"/>
    <n v="7772"/>
    <n v="1014"/>
    <n v="8786"/>
    <n v="1.0021272823967382"/>
    <n v="373"/>
    <x v="13"/>
  </r>
  <r>
    <x v="14"/>
    <x v="0"/>
    <n v="12950"/>
    <n v="64"/>
    <n v="887"/>
    <n v="11762"/>
    <n v="59"/>
    <n v="14"/>
    <n v="218913"/>
    <n v="305"/>
    <n v="75492"/>
    <n v="69"/>
    <n v="870"/>
    <n v="11712"/>
    <n v="58"/>
    <n v="14"/>
    <n v="218024"/>
    <n v="75419"/>
    <n v="305"/>
    <n v="67"/>
    <n v="17"/>
    <n v="1"/>
    <x v="2"/>
    <n v="889"/>
    <n v="73"/>
    <n v="962"/>
    <n v="1.0195402298850575"/>
    <n v="50"/>
    <x v="14"/>
  </r>
  <r>
    <x v="14"/>
    <x v="1"/>
    <n v="3804"/>
    <n v="12"/>
    <n v="486"/>
    <n v="3232"/>
    <n v="29"/>
    <n v="5"/>
    <n v="72008"/>
    <n v="84"/>
    <n v="29777"/>
    <n v="9"/>
    <n v="534"/>
    <n v="3173"/>
    <n v="31"/>
    <n v="6"/>
    <n v="71661"/>
    <n v="29755"/>
    <n v="84"/>
    <n v="11"/>
    <n v="-48"/>
    <n v="-2"/>
    <x v="4"/>
    <n v="347"/>
    <n v="22"/>
    <n v="369"/>
    <n v="0.9101123595505618"/>
    <n v="59"/>
    <x v="14"/>
  </r>
  <r>
    <x v="14"/>
    <x v="2"/>
    <n v="6781"/>
    <n v="26"/>
    <n v="371"/>
    <n v="6267"/>
    <n v="13"/>
    <n v="6"/>
    <n v="117917"/>
    <n v="141"/>
    <n v="73856"/>
    <n v="32"/>
    <n v="404"/>
    <n v="6205"/>
    <n v="12"/>
    <n v="7"/>
    <n v="116998"/>
    <n v="73772"/>
    <n v="141"/>
    <n v="29"/>
    <n v="-33"/>
    <n v="1"/>
    <x v="4"/>
    <n v="919"/>
    <n v="84"/>
    <n v="1003"/>
    <n v="0.91831683168316836"/>
    <n v="62"/>
    <x v="14"/>
  </r>
  <r>
    <x v="14"/>
    <x v="3"/>
    <n v="8110"/>
    <n v="13"/>
    <n v="470"/>
    <n v="7333"/>
    <n v="32"/>
    <n v="3"/>
    <n v="128731"/>
    <n v="306"/>
    <n v="66496"/>
    <n v="18"/>
    <n v="478"/>
    <n v="7310"/>
    <n v="32"/>
    <n v="3"/>
    <n v="127827"/>
    <n v="66445"/>
    <n v="306"/>
    <n v="15"/>
    <n v="-8"/>
    <n v="0"/>
    <x v="2"/>
    <n v="904"/>
    <n v="51"/>
    <n v="955"/>
    <n v="0.98326359832635979"/>
    <n v="23"/>
    <x v="14"/>
  </r>
  <r>
    <x v="14"/>
    <x v="4"/>
    <n v="6472"/>
    <n v="57"/>
    <n v="936"/>
    <n v="5464"/>
    <n v="40"/>
    <n v="8"/>
    <n v="106253"/>
    <n v="75"/>
    <n v="45157"/>
    <n v="62"/>
    <n v="925"/>
    <n v="5419"/>
    <n v="37"/>
    <n v="8"/>
    <n v="105534"/>
    <n v="45080"/>
    <n v="73"/>
    <n v="58"/>
    <n v="11"/>
    <n v="3"/>
    <x v="2"/>
    <n v="719"/>
    <n v="77"/>
    <n v="796"/>
    <n v="1.011891891891892"/>
    <n v="45"/>
    <x v="14"/>
  </r>
  <r>
    <x v="14"/>
    <x v="5"/>
    <n v="9279"/>
    <n v="77"/>
    <n v="1216"/>
    <n v="7889"/>
    <n v="73"/>
    <n v="5"/>
    <n v="173432"/>
    <n v="176"/>
    <n v="90351"/>
    <n v="74"/>
    <n v="1195"/>
    <n v="7829"/>
    <n v="66"/>
    <n v="6"/>
    <n v="171809"/>
    <n v="90232"/>
    <n v="176"/>
    <n v="81"/>
    <n v="21"/>
    <n v="7"/>
    <x v="4"/>
    <n v="1623"/>
    <n v="119"/>
    <n v="1742"/>
    <n v="1.0175732217573221"/>
    <n v="60"/>
    <x v="14"/>
  </r>
  <r>
    <x v="14"/>
    <x v="6"/>
    <n v="11671"/>
    <n v="79"/>
    <n v="1243"/>
    <n v="10178"/>
    <n v="47"/>
    <n v="12"/>
    <n v="221745"/>
    <n v="251"/>
    <n v="57288"/>
    <n v="75"/>
    <n v="1247"/>
    <n v="10098"/>
    <n v="45"/>
    <n v="12"/>
    <n v="219144"/>
    <n v="57230"/>
    <n v="251"/>
    <n v="76"/>
    <n v="-4"/>
    <n v="2"/>
    <x v="2"/>
    <n v="2601"/>
    <n v="58"/>
    <n v="2659"/>
    <n v="0.99679230152365672"/>
    <n v="80"/>
    <x v="14"/>
  </r>
  <r>
    <x v="14"/>
    <x v="7"/>
    <n v="59067"/>
    <n v="328"/>
    <n v="5609"/>
    <n v="52125"/>
    <n v="293"/>
    <n v="53"/>
    <n v="1038999"/>
    <n v="1338"/>
    <n v="438417"/>
    <n v="339"/>
    <n v="5653"/>
    <n v="51746"/>
    <n v="281"/>
    <n v="56"/>
    <n v="1030997"/>
    <n v="437933"/>
    <n v="1336"/>
    <n v="337"/>
    <n v="-44"/>
    <n v="12"/>
    <x v="10"/>
    <n v="8002"/>
    <n v="484"/>
    <n v="8486"/>
    <n v="0.99221652220060141"/>
    <n v="379"/>
    <x v="14"/>
  </r>
  <r>
    <x v="15"/>
    <x v="0"/>
    <n v="13003"/>
    <n v="46"/>
    <n v="882"/>
    <n v="11820"/>
    <n v="60"/>
    <n v="14"/>
    <n v="219933"/>
    <n v="305"/>
    <n v="75586"/>
    <n v="64"/>
    <n v="887"/>
    <n v="11762"/>
    <n v="59"/>
    <n v="14"/>
    <n v="218913"/>
    <n v="75492"/>
    <n v="305"/>
    <n v="53"/>
    <n v="-5"/>
    <n v="1"/>
    <x v="2"/>
    <n v="1020"/>
    <n v="94"/>
    <n v="1114"/>
    <n v="0.99436302142051858"/>
    <n v="58"/>
    <x v="15"/>
  </r>
  <r>
    <x v="15"/>
    <x v="1"/>
    <n v="3817"/>
    <n v="13"/>
    <n v="458"/>
    <n v="3273"/>
    <n v="30"/>
    <n v="4"/>
    <n v="72321"/>
    <n v="84"/>
    <n v="29805"/>
    <n v="12"/>
    <n v="486"/>
    <n v="3232"/>
    <n v="29"/>
    <n v="5"/>
    <n v="72008"/>
    <n v="29777"/>
    <n v="84"/>
    <n v="13"/>
    <n v="-28"/>
    <n v="1"/>
    <x v="4"/>
    <n v="313"/>
    <n v="28"/>
    <n v="341"/>
    <n v="0.9423868312757202"/>
    <n v="41"/>
    <x v="15"/>
  </r>
  <r>
    <x v="15"/>
    <x v="2"/>
    <n v="6798"/>
    <n v="17"/>
    <n v="369"/>
    <n v="6286"/>
    <n v="14"/>
    <n v="6"/>
    <n v="118424"/>
    <n v="141"/>
    <n v="73917"/>
    <n v="26"/>
    <n v="371"/>
    <n v="6267"/>
    <n v="13"/>
    <n v="6"/>
    <n v="117917"/>
    <n v="73856"/>
    <n v="141"/>
    <n v="17"/>
    <n v="-2"/>
    <n v="1"/>
    <x v="2"/>
    <n v="507"/>
    <n v="61"/>
    <n v="568"/>
    <n v="0.99460916442048519"/>
    <n v="19"/>
    <x v="15"/>
  </r>
  <r>
    <x v="15"/>
    <x v="3"/>
    <n v="8154"/>
    <n v="42"/>
    <n v="489"/>
    <n v="7357"/>
    <n v="30"/>
    <n v="4"/>
    <n v="129829"/>
    <n v="307"/>
    <n v="66545"/>
    <n v="13"/>
    <n v="470"/>
    <n v="7333"/>
    <n v="32"/>
    <n v="3"/>
    <n v="128731"/>
    <n v="66496"/>
    <n v="306"/>
    <n v="44"/>
    <n v="19"/>
    <n v="-2"/>
    <x v="0"/>
    <n v="1098"/>
    <n v="49"/>
    <n v="1147"/>
    <n v="1.0404255319148936"/>
    <n v="24"/>
    <x v="15"/>
  </r>
  <r>
    <x v="15"/>
    <x v="4"/>
    <n v="6498"/>
    <n v="21"/>
    <n v="917"/>
    <n v="5508"/>
    <n v="42"/>
    <n v="7"/>
    <n v="106722"/>
    <n v="76"/>
    <n v="45218"/>
    <n v="57"/>
    <n v="936"/>
    <n v="5464"/>
    <n v="40"/>
    <n v="8"/>
    <n v="106253"/>
    <n v="45157"/>
    <n v="75"/>
    <n v="26"/>
    <n v="-19"/>
    <n v="2"/>
    <x v="4"/>
    <n v="469"/>
    <n v="61"/>
    <n v="530"/>
    <n v="0.97970085470085466"/>
    <n v="44"/>
    <x v="15"/>
  </r>
  <r>
    <x v="15"/>
    <x v="5"/>
    <n v="9343"/>
    <n v="61"/>
    <n v="1235"/>
    <n v="7933"/>
    <n v="76"/>
    <n v="6"/>
    <n v="175129"/>
    <n v="177"/>
    <n v="90451"/>
    <n v="77"/>
    <n v="1216"/>
    <n v="7889"/>
    <n v="73"/>
    <n v="5"/>
    <n v="173432"/>
    <n v="90351"/>
    <n v="176"/>
    <n v="64"/>
    <n v="19"/>
    <n v="3"/>
    <x v="0"/>
    <n v="1697"/>
    <n v="100"/>
    <n v="1797"/>
    <n v="1.015625"/>
    <n v="44"/>
    <x v="15"/>
  </r>
  <r>
    <x v="15"/>
    <x v="6"/>
    <n v="11740"/>
    <n v="68"/>
    <n v="1246"/>
    <n v="10244"/>
    <n v="49"/>
    <n v="12"/>
    <n v="223498"/>
    <n v="251"/>
    <n v="57335"/>
    <n v="79"/>
    <n v="1243"/>
    <n v="10178"/>
    <n v="47"/>
    <n v="12"/>
    <n v="221745"/>
    <n v="57288"/>
    <n v="251"/>
    <n v="69"/>
    <n v="3"/>
    <n v="2"/>
    <x v="2"/>
    <n v="1753"/>
    <n v="47"/>
    <n v="1800"/>
    <n v="1.002413515687852"/>
    <n v="66"/>
    <x v="15"/>
  </r>
  <r>
    <x v="15"/>
    <x v="7"/>
    <n v="59353"/>
    <n v="268"/>
    <n v="5596"/>
    <n v="52421"/>
    <n v="301"/>
    <n v="53"/>
    <n v="1045856"/>
    <n v="1341"/>
    <n v="438857"/>
    <n v="328"/>
    <n v="5609"/>
    <n v="52125"/>
    <n v="293"/>
    <n v="53"/>
    <n v="1038999"/>
    <n v="438417"/>
    <n v="1338"/>
    <n v="286"/>
    <n v="-13"/>
    <n v="8"/>
    <x v="2"/>
    <n v="6857"/>
    <n v="440"/>
    <n v="7297"/>
    <n v="0.99768229630950256"/>
    <n v="296"/>
    <x v="15"/>
  </r>
  <r>
    <x v="16"/>
    <x v="0"/>
    <n v="13026"/>
    <n v="10"/>
    <n v="866"/>
    <n v="11859"/>
    <n v="63"/>
    <n v="15"/>
    <n v="220477"/>
    <n v="305"/>
    <n v="75831"/>
    <n v="46"/>
    <n v="882"/>
    <n v="11820"/>
    <n v="60"/>
    <n v="14"/>
    <n v="219933"/>
    <n v="75586"/>
    <n v="305"/>
    <n v="23"/>
    <n v="-16"/>
    <n v="3"/>
    <x v="0"/>
    <n v="544"/>
    <n v="245"/>
    <n v="789"/>
    <n v="0.98185941043083902"/>
    <n v="39"/>
    <x v="16"/>
  </r>
  <r>
    <x v="16"/>
    <x v="1"/>
    <n v="3829"/>
    <n v="12"/>
    <n v="446"/>
    <n v="3296"/>
    <n v="33"/>
    <n v="4"/>
    <n v="72601"/>
    <n v="85"/>
    <n v="29871"/>
    <n v="13"/>
    <n v="458"/>
    <n v="3273"/>
    <n v="30"/>
    <n v="4"/>
    <n v="72321"/>
    <n v="29805"/>
    <n v="84"/>
    <n v="12"/>
    <n v="-12"/>
    <n v="3"/>
    <x v="2"/>
    <n v="280"/>
    <n v="66"/>
    <n v="346"/>
    <n v="0.97379912663755464"/>
    <n v="23"/>
    <x v="16"/>
  </r>
  <r>
    <x v="16"/>
    <x v="2"/>
    <n v="6815"/>
    <n v="14"/>
    <n v="360"/>
    <n v="6310"/>
    <n v="14"/>
    <n v="4"/>
    <n v="118742"/>
    <n v="143"/>
    <n v="74027"/>
    <n v="17"/>
    <n v="369"/>
    <n v="6286"/>
    <n v="14"/>
    <n v="6"/>
    <n v="118424"/>
    <n v="73917"/>
    <n v="141"/>
    <n v="17"/>
    <n v="-9"/>
    <n v="0"/>
    <x v="5"/>
    <n v="318"/>
    <n v="110"/>
    <n v="428"/>
    <n v="0.97560975609756095"/>
    <n v="24"/>
    <x v="16"/>
  </r>
  <r>
    <x v="16"/>
    <x v="3"/>
    <n v="8205"/>
    <n v="44"/>
    <n v="519"/>
    <n v="7378"/>
    <n v="30"/>
    <n v="4"/>
    <n v="130702"/>
    <n v="307"/>
    <n v="66687"/>
    <n v="42"/>
    <n v="489"/>
    <n v="7357"/>
    <n v="30"/>
    <n v="4"/>
    <n v="129829"/>
    <n v="66545"/>
    <n v="307"/>
    <n v="51"/>
    <n v="30"/>
    <n v="0"/>
    <x v="2"/>
    <n v="873"/>
    <n v="142"/>
    <n v="1015"/>
    <n v="1.0613496932515338"/>
    <n v="21"/>
    <x v="16"/>
  </r>
  <r>
    <x v="16"/>
    <x v="4"/>
    <n v="6543"/>
    <n v="39"/>
    <n v="922"/>
    <n v="5548"/>
    <n v="42"/>
    <n v="8"/>
    <n v="107331"/>
    <n v="76"/>
    <n v="45357"/>
    <n v="21"/>
    <n v="917"/>
    <n v="5508"/>
    <n v="42"/>
    <n v="7"/>
    <n v="106722"/>
    <n v="45218"/>
    <n v="76"/>
    <n v="45"/>
    <n v="5"/>
    <n v="0"/>
    <x v="0"/>
    <n v="609"/>
    <n v="139"/>
    <n v="748"/>
    <n v="1.005452562704471"/>
    <n v="40"/>
    <x v="16"/>
  </r>
  <r>
    <x v="16"/>
    <x v="5"/>
    <n v="9398"/>
    <n v="42"/>
    <n v="1248"/>
    <n v="7975"/>
    <n v="73"/>
    <n v="7"/>
    <n v="176863"/>
    <n v="177"/>
    <n v="90648"/>
    <n v="61"/>
    <n v="1235"/>
    <n v="7933"/>
    <n v="76"/>
    <n v="6"/>
    <n v="175129"/>
    <n v="90451"/>
    <n v="177"/>
    <n v="55"/>
    <n v="13"/>
    <n v="-3"/>
    <x v="0"/>
    <n v="1734"/>
    <n v="197"/>
    <n v="1931"/>
    <n v="1.0105263157894737"/>
    <n v="42"/>
    <x v="16"/>
  </r>
  <r>
    <x v="16"/>
    <x v="6"/>
    <n v="11786"/>
    <n v="41"/>
    <n v="1242"/>
    <n v="10292"/>
    <n v="51"/>
    <n v="9"/>
    <n v="225997"/>
    <n v="253"/>
    <n v="57462"/>
    <n v="68"/>
    <n v="1246"/>
    <n v="10244"/>
    <n v="49"/>
    <n v="12"/>
    <n v="223498"/>
    <n v="57335"/>
    <n v="251"/>
    <n v="46"/>
    <n v="-4"/>
    <n v="2"/>
    <x v="10"/>
    <n v="2499"/>
    <n v="127"/>
    <n v="2626"/>
    <n v="0.9967897271268058"/>
    <n v="48"/>
    <x v="16"/>
  </r>
  <r>
    <x v="16"/>
    <x v="7"/>
    <n v="59602"/>
    <n v="202"/>
    <n v="5603"/>
    <n v="52658"/>
    <n v="306"/>
    <n v="51"/>
    <n v="1052713"/>
    <n v="1346"/>
    <n v="439883"/>
    <n v="268"/>
    <n v="5596"/>
    <n v="52421"/>
    <n v="301"/>
    <n v="53"/>
    <n v="1045856"/>
    <n v="438857"/>
    <n v="1341"/>
    <n v="249"/>
    <n v="7"/>
    <n v="5"/>
    <x v="5"/>
    <n v="6857"/>
    <n v="1026"/>
    <n v="7883"/>
    <n v="1.0012508934953539"/>
    <n v="237"/>
    <x v="16"/>
  </r>
  <r>
    <x v="17"/>
    <x v="0"/>
    <n v="13090"/>
    <n v="68"/>
    <n v="880"/>
    <n v="11909"/>
    <n v="56"/>
    <n v="15"/>
    <n v="222182"/>
    <n v="305"/>
    <n v="76028"/>
    <n v="10"/>
    <n v="866"/>
    <n v="11859"/>
    <n v="63"/>
    <n v="15"/>
    <n v="220477"/>
    <n v="75831"/>
    <n v="305"/>
    <n v="64"/>
    <n v="14"/>
    <n v="-7"/>
    <x v="2"/>
    <n v="1705"/>
    <n v="197"/>
    <n v="1902"/>
    <n v="1.0161662817551964"/>
    <n v="50"/>
    <x v="17"/>
  </r>
  <r>
    <x v="17"/>
    <x v="1"/>
    <n v="3846"/>
    <n v="15"/>
    <n v="426"/>
    <n v="3333"/>
    <n v="30"/>
    <n v="3"/>
    <n v="73442"/>
    <n v="85"/>
    <n v="29928"/>
    <n v="12"/>
    <n v="446"/>
    <n v="3296"/>
    <n v="33"/>
    <n v="4"/>
    <n v="72601"/>
    <n v="29871"/>
    <n v="85"/>
    <n v="17"/>
    <n v="-20"/>
    <n v="-3"/>
    <x v="4"/>
    <n v="841"/>
    <n v="57"/>
    <n v="898"/>
    <n v="0.95515695067264572"/>
    <n v="37"/>
    <x v="17"/>
  </r>
  <r>
    <x v="17"/>
    <x v="2"/>
    <n v="6841"/>
    <n v="26"/>
    <n v="356"/>
    <n v="6339"/>
    <n v="9"/>
    <n v="4"/>
    <n v="119586"/>
    <n v="144"/>
    <n v="74133"/>
    <n v="14"/>
    <n v="360"/>
    <n v="6310"/>
    <n v="14"/>
    <n v="4"/>
    <n v="118742"/>
    <n v="74027"/>
    <n v="143"/>
    <n v="26"/>
    <n v="-4"/>
    <n v="-5"/>
    <x v="2"/>
    <n v="844"/>
    <n v="106"/>
    <n v="950"/>
    <n v="0.98888888888888893"/>
    <n v="29"/>
    <x v="17"/>
  </r>
  <r>
    <x v="17"/>
    <x v="3"/>
    <n v="8232"/>
    <n v="22"/>
    <n v="506"/>
    <n v="7418"/>
    <n v="24"/>
    <n v="4"/>
    <n v="131359"/>
    <n v="307"/>
    <n v="66797"/>
    <n v="44"/>
    <n v="519"/>
    <n v="7378"/>
    <n v="30"/>
    <n v="4"/>
    <n v="130702"/>
    <n v="66687"/>
    <n v="307"/>
    <n v="27"/>
    <n v="-13"/>
    <n v="-6"/>
    <x v="2"/>
    <n v="657"/>
    <n v="110"/>
    <n v="767"/>
    <n v="0.97495183044315992"/>
    <n v="40"/>
    <x v="17"/>
  </r>
  <r>
    <x v="17"/>
    <x v="4"/>
    <n v="6579"/>
    <n v="25"/>
    <n v="911"/>
    <n v="5595"/>
    <n v="42"/>
    <n v="6"/>
    <n v="108212"/>
    <n v="76"/>
    <n v="45477"/>
    <n v="39"/>
    <n v="922"/>
    <n v="5548"/>
    <n v="42"/>
    <n v="8"/>
    <n v="107331"/>
    <n v="45357"/>
    <n v="76"/>
    <n v="36"/>
    <n v="-11"/>
    <n v="0"/>
    <x v="5"/>
    <n v="881"/>
    <n v="120"/>
    <n v="1001"/>
    <n v="0.98806941431670281"/>
    <n v="47"/>
    <x v="17"/>
  </r>
  <r>
    <x v="17"/>
    <x v="5"/>
    <n v="9478"/>
    <n v="61"/>
    <n v="1270"/>
    <n v="8031"/>
    <n v="76"/>
    <n v="5"/>
    <n v="178364"/>
    <n v="179"/>
    <n v="90898"/>
    <n v="42"/>
    <n v="1248"/>
    <n v="7975"/>
    <n v="73"/>
    <n v="7"/>
    <n v="176863"/>
    <n v="90648"/>
    <n v="177"/>
    <n v="80"/>
    <n v="22"/>
    <n v="3"/>
    <x v="5"/>
    <n v="1501"/>
    <n v="250"/>
    <n v="1751"/>
    <n v="1.0176282051282051"/>
    <n v="56"/>
    <x v="17"/>
  </r>
  <r>
    <x v="17"/>
    <x v="6"/>
    <n v="11878"/>
    <n v="82"/>
    <n v="1216"/>
    <n v="10409"/>
    <n v="56"/>
    <n v="11"/>
    <n v="228944"/>
    <n v="254"/>
    <n v="57574"/>
    <n v="41"/>
    <n v="1242"/>
    <n v="10292"/>
    <n v="51"/>
    <n v="9"/>
    <n v="225997"/>
    <n v="57462"/>
    <n v="253"/>
    <n v="92"/>
    <n v="-26"/>
    <n v="5"/>
    <x v="1"/>
    <n v="2947"/>
    <n v="112"/>
    <n v="3059"/>
    <n v="0.97906602254428343"/>
    <n v="117"/>
    <x v="17"/>
  </r>
  <r>
    <x v="17"/>
    <x v="7"/>
    <n v="59944"/>
    <n v="299"/>
    <n v="5565"/>
    <n v="53034"/>
    <n v="293"/>
    <n v="48"/>
    <n v="1062089"/>
    <n v="1350"/>
    <n v="440835"/>
    <n v="202"/>
    <n v="5603"/>
    <n v="52658"/>
    <n v="306"/>
    <n v="51"/>
    <n v="1052713"/>
    <n v="439883"/>
    <n v="1346"/>
    <n v="342"/>
    <n v="-38"/>
    <n v="-13"/>
    <x v="10"/>
    <n v="9376"/>
    <n v="952"/>
    <n v="10328"/>
    <n v="0.99321791897197931"/>
    <n v="376"/>
    <x v="17"/>
  </r>
  <r>
    <x v="18"/>
    <x v="0"/>
    <n v="13150"/>
    <n v="41"/>
    <n v="878"/>
    <n v="11971"/>
    <n v="55"/>
    <n v="17"/>
    <n v="224846"/>
    <n v="305"/>
    <n v="76244"/>
    <n v="68"/>
    <n v="880"/>
    <n v="11909"/>
    <n v="56"/>
    <n v="15"/>
    <n v="222182"/>
    <n v="76028"/>
    <n v="305"/>
    <n v="60"/>
    <n v="-2"/>
    <n v="-1"/>
    <x v="1"/>
    <n v="2664"/>
    <n v="216"/>
    <n v="2880"/>
    <n v="0.99772727272727268"/>
    <n v="62"/>
    <x v="18"/>
  </r>
  <r>
    <x v="18"/>
    <x v="1"/>
    <n v="3866"/>
    <n v="18"/>
    <n v="395"/>
    <n v="3384"/>
    <n v="30"/>
    <n v="2"/>
    <n v="74153"/>
    <n v="85"/>
    <n v="29966"/>
    <n v="15"/>
    <n v="426"/>
    <n v="3333"/>
    <n v="30"/>
    <n v="3"/>
    <n v="73442"/>
    <n v="29928"/>
    <n v="85"/>
    <n v="20"/>
    <n v="-31"/>
    <n v="0"/>
    <x v="4"/>
    <n v="711"/>
    <n v="38"/>
    <n v="749"/>
    <n v="0.92723004694835676"/>
    <n v="51"/>
    <x v="18"/>
  </r>
  <r>
    <x v="18"/>
    <x v="2"/>
    <n v="6876"/>
    <n v="34"/>
    <n v="370"/>
    <n v="6360"/>
    <n v="10"/>
    <n v="3"/>
    <n v="120792"/>
    <n v="144"/>
    <n v="74228"/>
    <n v="26"/>
    <n v="356"/>
    <n v="6339"/>
    <n v="9"/>
    <n v="4"/>
    <n v="119586"/>
    <n v="74133"/>
    <n v="144"/>
    <n v="35"/>
    <n v="14"/>
    <n v="1"/>
    <x v="4"/>
    <n v="1206"/>
    <n v="95"/>
    <n v="1301"/>
    <n v="1.0393258426966292"/>
    <n v="21"/>
    <x v="18"/>
  </r>
  <r>
    <x v="18"/>
    <x v="3"/>
    <n v="8277"/>
    <n v="34"/>
    <n v="522"/>
    <n v="7446"/>
    <n v="27"/>
    <n v="4"/>
    <n v="132051"/>
    <n v="308"/>
    <n v="66920"/>
    <n v="22"/>
    <n v="506"/>
    <n v="7418"/>
    <n v="24"/>
    <n v="4"/>
    <n v="131359"/>
    <n v="66797"/>
    <n v="307"/>
    <n v="45"/>
    <n v="16"/>
    <n v="3"/>
    <x v="2"/>
    <n v="692"/>
    <n v="123"/>
    <n v="815"/>
    <n v="1.0316205533596838"/>
    <n v="28"/>
    <x v="18"/>
  </r>
  <r>
    <x v="18"/>
    <x v="4"/>
    <n v="6639"/>
    <n v="53"/>
    <n v="904"/>
    <n v="5662"/>
    <n v="40"/>
    <n v="8"/>
    <n v="109184"/>
    <n v="76"/>
    <n v="45607"/>
    <n v="25"/>
    <n v="911"/>
    <n v="5595"/>
    <n v="42"/>
    <n v="6"/>
    <n v="108212"/>
    <n v="45477"/>
    <n v="76"/>
    <n v="60"/>
    <n v="-7"/>
    <n v="-2"/>
    <x v="1"/>
    <n v="972"/>
    <n v="130"/>
    <n v="1102"/>
    <n v="0.99231613611416025"/>
    <n v="67"/>
    <x v="18"/>
  </r>
  <r>
    <x v="18"/>
    <x v="5"/>
    <n v="9592"/>
    <n v="103"/>
    <n v="1321"/>
    <n v="8094"/>
    <n v="70"/>
    <n v="6"/>
    <n v="179948"/>
    <n v="179"/>
    <n v="91144"/>
    <n v="61"/>
    <n v="1270"/>
    <n v="8031"/>
    <n v="76"/>
    <n v="5"/>
    <n v="178364"/>
    <n v="90898"/>
    <n v="179"/>
    <n v="114"/>
    <n v="51"/>
    <n v="-6"/>
    <x v="0"/>
    <n v="1584"/>
    <n v="246"/>
    <n v="1830"/>
    <n v="1.0401574803149607"/>
    <n v="63"/>
    <x v="18"/>
  </r>
  <r>
    <x v="18"/>
    <x v="6"/>
    <n v="11995"/>
    <n v="111"/>
    <n v="1265"/>
    <n v="10474"/>
    <n v="54"/>
    <n v="11"/>
    <n v="231728"/>
    <n v="257"/>
    <n v="57688"/>
    <n v="82"/>
    <n v="1216"/>
    <n v="10409"/>
    <n v="56"/>
    <n v="11"/>
    <n v="228944"/>
    <n v="57574"/>
    <n v="254"/>
    <n v="117"/>
    <n v="49"/>
    <n v="-2"/>
    <x v="2"/>
    <n v="2784"/>
    <n v="114"/>
    <n v="2898"/>
    <n v="1.040296052631579"/>
    <n v="65"/>
    <x v="18"/>
  </r>
  <r>
    <x v="18"/>
    <x v="7"/>
    <n v="60395"/>
    <n v="394"/>
    <n v="5655"/>
    <n v="53391"/>
    <n v="286"/>
    <n v="51"/>
    <n v="1072702"/>
    <n v="1354"/>
    <n v="441797"/>
    <n v="299"/>
    <n v="5565"/>
    <n v="53034"/>
    <n v="293"/>
    <n v="48"/>
    <n v="1062089"/>
    <n v="440835"/>
    <n v="1350"/>
    <n v="451"/>
    <n v="90"/>
    <n v="-7"/>
    <x v="3"/>
    <n v="10613"/>
    <n v="962"/>
    <n v="11575"/>
    <n v="1.0161725067385445"/>
    <n v="357"/>
    <x v="18"/>
  </r>
  <r>
    <x v="19"/>
    <x v="0"/>
    <n v="13217"/>
    <n v="64"/>
    <n v="899"/>
    <n v="12017"/>
    <n v="56"/>
    <n v="18"/>
    <n v="227089"/>
    <n v="305"/>
    <n v="76462"/>
    <n v="41"/>
    <n v="878"/>
    <n v="11971"/>
    <n v="55"/>
    <n v="17"/>
    <n v="224846"/>
    <n v="76244"/>
    <n v="305"/>
    <n v="67"/>
    <n v="21"/>
    <n v="1"/>
    <x v="0"/>
    <n v="2243"/>
    <n v="218"/>
    <n v="2461"/>
    <n v="1.0239179954441913"/>
    <n v="46"/>
    <x v="19"/>
  </r>
  <r>
    <x v="19"/>
    <x v="1"/>
    <n v="3888"/>
    <n v="20"/>
    <n v="398"/>
    <n v="3403"/>
    <n v="29"/>
    <n v="1"/>
    <n v="74785"/>
    <n v="85"/>
    <n v="30005"/>
    <n v="18"/>
    <n v="395"/>
    <n v="3384"/>
    <n v="30"/>
    <n v="2"/>
    <n v="74153"/>
    <n v="29966"/>
    <n v="85"/>
    <n v="22"/>
    <n v="3"/>
    <n v="-1"/>
    <x v="4"/>
    <n v="632"/>
    <n v="39"/>
    <n v="671"/>
    <n v="1.0075949367088608"/>
    <n v="19"/>
    <x v="19"/>
  </r>
  <r>
    <x v="19"/>
    <x v="2"/>
    <n v="6904"/>
    <n v="23"/>
    <n v="382"/>
    <n v="6376"/>
    <n v="10"/>
    <n v="3"/>
    <n v="121740"/>
    <n v="144"/>
    <n v="74356"/>
    <n v="34"/>
    <n v="370"/>
    <n v="6360"/>
    <n v="10"/>
    <n v="3"/>
    <n v="120792"/>
    <n v="74228"/>
    <n v="144"/>
    <n v="28"/>
    <n v="12"/>
    <n v="0"/>
    <x v="2"/>
    <n v="948"/>
    <n v="128"/>
    <n v="1076"/>
    <n v="1.0324324324324323"/>
    <n v="16"/>
    <x v="19"/>
  </r>
  <r>
    <x v="19"/>
    <x v="3"/>
    <n v="8329"/>
    <n v="38"/>
    <n v="551"/>
    <n v="7469"/>
    <n v="18"/>
    <n v="4"/>
    <n v="132831"/>
    <n v="308"/>
    <n v="67077"/>
    <n v="34"/>
    <n v="522"/>
    <n v="7446"/>
    <n v="27"/>
    <n v="4"/>
    <n v="132051"/>
    <n v="66920"/>
    <n v="308"/>
    <n v="52"/>
    <n v="29"/>
    <n v="-9"/>
    <x v="2"/>
    <n v="780"/>
    <n v="157"/>
    <n v="937"/>
    <n v="1.0555555555555556"/>
    <n v="23"/>
    <x v="19"/>
  </r>
  <r>
    <x v="19"/>
    <x v="4"/>
    <n v="6697"/>
    <n v="49"/>
    <n v="922"/>
    <n v="5702"/>
    <n v="39"/>
    <n v="9"/>
    <n v="110201"/>
    <n v="76"/>
    <n v="45722"/>
    <n v="53"/>
    <n v="904"/>
    <n v="5662"/>
    <n v="40"/>
    <n v="8"/>
    <n v="109184"/>
    <n v="45607"/>
    <n v="76"/>
    <n v="58"/>
    <n v="18"/>
    <n v="-1"/>
    <x v="0"/>
    <n v="1017"/>
    <n v="115"/>
    <n v="1132"/>
    <n v="1.0199115044247788"/>
    <n v="40"/>
    <x v="19"/>
  </r>
  <r>
    <x v="19"/>
    <x v="5"/>
    <n v="9670"/>
    <n v="63"/>
    <n v="1323"/>
    <n v="8170"/>
    <n v="63"/>
    <n v="7"/>
    <n v="182331"/>
    <n v="179"/>
    <n v="91366"/>
    <n v="103"/>
    <n v="1321"/>
    <n v="8094"/>
    <n v="70"/>
    <n v="6"/>
    <n v="179948"/>
    <n v="91144"/>
    <n v="179"/>
    <n v="78"/>
    <n v="2"/>
    <n v="-7"/>
    <x v="0"/>
    <n v="2383"/>
    <n v="222"/>
    <n v="2605"/>
    <n v="1.0015140045420137"/>
    <n v="76"/>
    <x v="19"/>
  </r>
  <r>
    <x v="19"/>
    <x v="6"/>
    <n v="12060"/>
    <n v="52"/>
    <n v="1279"/>
    <n v="10525"/>
    <n v="50"/>
    <n v="12"/>
    <n v="233697"/>
    <n v="257"/>
    <n v="57808"/>
    <n v="111"/>
    <n v="1265"/>
    <n v="10474"/>
    <n v="54"/>
    <n v="11"/>
    <n v="231728"/>
    <n v="57688"/>
    <n v="257"/>
    <n v="65"/>
    <n v="14"/>
    <n v="-4"/>
    <x v="0"/>
    <n v="1969"/>
    <n v="120"/>
    <n v="2089"/>
    <n v="1.0110671936758893"/>
    <n v="51"/>
    <x v="19"/>
  </r>
  <r>
    <x v="19"/>
    <x v="7"/>
    <n v="60765"/>
    <n v="309"/>
    <n v="5754"/>
    <n v="53662"/>
    <n v="265"/>
    <n v="54"/>
    <n v="1082674"/>
    <n v="1354"/>
    <n v="442796"/>
    <n v="394"/>
    <n v="5655"/>
    <n v="53391"/>
    <n v="286"/>
    <n v="51"/>
    <n v="1072702"/>
    <n v="441797"/>
    <n v="1354"/>
    <n v="370"/>
    <n v="99"/>
    <n v="-21"/>
    <x v="3"/>
    <n v="9972"/>
    <n v="999"/>
    <n v="10971"/>
    <n v="1.0175066312997347"/>
    <n v="271"/>
    <x v="19"/>
  </r>
  <r>
    <x v="20"/>
    <x v="0"/>
    <n v="13276"/>
    <n v="61"/>
    <n v="901"/>
    <n v="12072"/>
    <n v="56"/>
    <n v="17"/>
    <n v="228245"/>
    <n v="307"/>
    <n v="76537"/>
    <n v="64"/>
    <n v="899"/>
    <n v="12017"/>
    <n v="56"/>
    <n v="18"/>
    <n v="227089"/>
    <n v="76462"/>
    <n v="305"/>
    <n v="59"/>
    <n v="2"/>
    <n v="0"/>
    <x v="4"/>
    <n v="1156"/>
    <n v="75"/>
    <n v="1231"/>
    <n v="1.0022246941045607"/>
    <n v="55"/>
    <x v="20"/>
  </r>
  <r>
    <x v="20"/>
    <x v="1"/>
    <n v="3900"/>
    <n v="12"/>
    <n v="382"/>
    <n v="3429"/>
    <n v="26"/>
    <n v="2"/>
    <n v="75272"/>
    <n v="87"/>
    <n v="30026"/>
    <n v="20"/>
    <n v="398"/>
    <n v="3403"/>
    <n v="29"/>
    <n v="1"/>
    <n v="74785"/>
    <n v="30005"/>
    <n v="85"/>
    <n v="12"/>
    <n v="-16"/>
    <n v="-3"/>
    <x v="0"/>
    <n v="487"/>
    <n v="21"/>
    <n v="508"/>
    <n v="0.95979899497487442"/>
    <n v="26"/>
    <x v="20"/>
  </r>
  <r>
    <x v="20"/>
    <x v="2"/>
    <n v="6939"/>
    <n v="33"/>
    <n v="381"/>
    <n v="6412"/>
    <n v="10"/>
    <n v="4"/>
    <n v="122144"/>
    <n v="144"/>
    <n v="74395"/>
    <n v="23"/>
    <n v="382"/>
    <n v="6376"/>
    <n v="10"/>
    <n v="3"/>
    <n v="121740"/>
    <n v="74356"/>
    <n v="144"/>
    <n v="35"/>
    <n v="-1"/>
    <n v="0"/>
    <x v="0"/>
    <n v="404"/>
    <n v="39"/>
    <n v="443"/>
    <n v="0.99738219895287961"/>
    <n v="36"/>
    <x v="20"/>
  </r>
  <r>
    <x v="20"/>
    <x v="3"/>
    <n v="8371"/>
    <n v="39"/>
    <n v="558"/>
    <n v="7504"/>
    <n v="20"/>
    <n v="3"/>
    <n v="133368"/>
    <n v="308"/>
    <n v="67117"/>
    <n v="38"/>
    <n v="551"/>
    <n v="7469"/>
    <n v="18"/>
    <n v="4"/>
    <n v="132831"/>
    <n v="67077"/>
    <n v="308"/>
    <n v="42"/>
    <n v="7"/>
    <n v="2"/>
    <x v="4"/>
    <n v="537"/>
    <n v="40"/>
    <n v="577"/>
    <n v="1.0127041742286751"/>
    <n v="35"/>
    <x v="20"/>
  </r>
  <r>
    <x v="20"/>
    <x v="4"/>
    <n v="6736"/>
    <n v="38"/>
    <n v="907"/>
    <n v="5755"/>
    <n v="45"/>
    <n v="9"/>
    <n v="110689"/>
    <n v="77"/>
    <n v="45786"/>
    <n v="49"/>
    <n v="922"/>
    <n v="5702"/>
    <n v="39"/>
    <n v="9"/>
    <n v="110201"/>
    <n v="45722"/>
    <n v="76"/>
    <n v="39"/>
    <n v="-15"/>
    <n v="6"/>
    <x v="2"/>
    <n v="488"/>
    <n v="64"/>
    <n v="552"/>
    <n v="0.98373101952277653"/>
    <n v="53"/>
    <x v="20"/>
  </r>
  <r>
    <x v="20"/>
    <x v="5"/>
    <n v="9769"/>
    <n v="96"/>
    <n v="1355"/>
    <n v="8234"/>
    <n v="65"/>
    <n v="7"/>
    <n v="184272"/>
    <n v="182"/>
    <n v="91457"/>
    <n v="63"/>
    <n v="1323"/>
    <n v="8170"/>
    <n v="63"/>
    <n v="7"/>
    <n v="182331"/>
    <n v="91366"/>
    <n v="179"/>
    <n v="99"/>
    <n v="32"/>
    <n v="2"/>
    <x v="2"/>
    <n v="1941"/>
    <n v="91"/>
    <n v="2032"/>
    <n v="1.0241874527588812"/>
    <n v="64"/>
    <x v="20"/>
  </r>
  <r>
    <x v="20"/>
    <x v="6"/>
    <n v="12148"/>
    <n v="94"/>
    <n v="1232"/>
    <n v="10659"/>
    <n v="51"/>
    <n v="13"/>
    <n v="234881"/>
    <n v="258"/>
    <n v="57852"/>
    <n v="52"/>
    <n v="1279"/>
    <n v="10525"/>
    <n v="50"/>
    <n v="12"/>
    <n v="233697"/>
    <n v="57808"/>
    <n v="257"/>
    <n v="88"/>
    <n v="-47"/>
    <n v="1"/>
    <x v="0"/>
    <n v="1184"/>
    <n v="44"/>
    <n v="1228"/>
    <n v="0.96325254104769353"/>
    <n v="134"/>
    <x v="20"/>
  </r>
  <r>
    <x v="20"/>
    <x v="7"/>
    <n v="61139"/>
    <n v="373"/>
    <n v="5716"/>
    <n v="54065"/>
    <n v="273"/>
    <n v="55"/>
    <n v="1088871"/>
    <n v="1363"/>
    <n v="443170"/>
    <n v="309"/>
    <n v="5754"/>
    <n v="53662"/>
    <n v="265"/>
    <n v="54"/>
    <n v="1082674"/>
    <n v="442796"/>
    <n v="1354"/>
    <n v="374"/>
    <n v="-38"/>
    <n v="8"/>
    <x v="0"/>
    <n v="6197"/>
    <n v="374"/>
    <n v="6571"/>
    <n v="0.99339589850538756"/>
    <n v="403"/>
    <x v="20"/>
  </r>
  <r>
    <x v="21"/>
    <x v="0"/>
    <n v="13312"/>
    <n v="32"/>
    <n v="873"/>
    <n v="12136"/>
    <n v="61"/>
    <n v="18"/>
    <n v="228586"/>
    <n v="307"/>
    <n v="76600"/>
    <n v="61"/>
    <n v="901"/>
    <n v="12072"/>
    <n v="56"/>
    <n v="17"/>
    <n v="228245"/>
    <n v="76537"/>
    <n v="307"/>
    <n v="36"/>
    <n v="-28"/>
    <n v="5"/>
    <x v="0"/>
    <n v="341"/>
    <n v="63"/>
    <n v="404"/>
    <n v="0.96892341842397334"/>
    <n v="64"/>
    <x v="21"/>
  </r>
  <r>
    <x v="21"/>
    <x v="1"/>
    <n v="3909"/>
    <n v="8"/>
    <n v="348"/>
    <n v="3472"/>
    <n v="25"/>
    <n v="3"/>
    <n v="75538"/>
    <n v="87"/>
    <n v="30043"/>
    <n v="12"/>
    <n v="382"/>
    <n v="3429"/>
    <n v="26"/>
    <n v="2"/>
    <n v="75272"/>
    <n v="30026"/>
    <n v="87"/>
    <n v="9"/>
    <n v="-34"/>
    <n v="-1"/>
    <x v="0"/>
    <n v="266"/>
    <n v="17"/>
    <n v="283"/>
    <n v="0.91099476439790572"/>
    <n v="43"/>
    <x v="21"/>
  </r>
  <r>
    <x v="21"/>
    <x v="2"/>
    <n v="6950"/>
    <n v="7"/>
    <n v="374"/>
    <n v="6429"/>
    <n v="9"/>
    <n v="4"/>
    <n v="122460"/>
    <n v="145"/>
    <n v="74455"/>
    <n v="33"/>
    <n v="381"/>
    <n v="6412"/>
    <n v="10"/>
    <n v="4"/>
    <n v="122144"/>
    <n v="74395"/>
    <n v="144"/>
    <n v="11"/>
    <n v="-7"/>
    <n v="-1"/>
    <x v="2"/>
    <n v="316"/>
    <n v="60"/>
    <n v="376"/>
    <n v="0.98162729658792647"/>
    <n v="17"/>
    <x v="21"/>
  </r>
  <r>
    <x v="21"/>
    <x v="3"/>
    <n v="8387"/>
    <n v="13"/>
    <n v="540"/>
    <n v="7538"/>
    <n v="19"/>
    <n v="4"/>
    <n v="133619"/>
    <n v="308"/>
    <n v="67183"/>
    <n v="39"/>
    <n v="558"/>
    <n v="7504"/>
    <n v="20"/>
    <n v="3"/>
    <n v="133368"/>
    <n v="67117"/>
    <n v="308"/>
    <n v="16"/>
    <n v="-18"/>
    <n v="-1"/>
    <x v="0"/>
    <n v="251"/>
    <n v="66"/>
    <n v="317"/>
    <n v="0.967741935483871"/>
    <n v="34"/>
    <x v="21"/>
  </r>
  <r>
    <x v="21"/>
    <x v="4"/>
    <n v="6782"/>
    <n v="47"/>
    <n v="896"/>
    <n v="5812"/>
    <n v="45"/>
    <n v="11"/>
    <n v="111195"/>
    <n v="77"/>
    <n v="45839"/>
    <n v="38"/>
    <n v="907"/>
    <n v="5755"/>
    <n v="45"/>
    <n v="9"/>
    <n v="110689"/>
    <n v="45786"/>
    <n v="77"/>
    <n v="46"/>
    <n v="-11"/>
    <n v="0"/>
    <x v="1"/>
    <n v="506"/>
    <n v="53"/>
    <n v="559"/>
    <n v="0.98787210584343987"/>
    <n v="57"/>
    <x v="21"/>
  </r>
  <r>
    <x v="21"/>
    <x v="5"/>
    <n v="9848"/>
    <n v="68"/>
    <n v="1352"/>
    <n v="8314"/>
    <n v="69"/>
    <n v="7"/>
    <n v="184920"/>
    <n v="184"/>
    <n v="91549"/>
    <n v="96"/>
    <n v="1355"/>
    <n v="8234"/>
    <n v="65"/>
    <n v="7"/>
    <n v="184272"/>
    <n v="91457"/>
    <n v="182"/>
    <n v="79"/>
    <n v="-3"/>
    <n v="4"/>
    <x v="2"/>
    <n v="648"/>
    <n v="92"/>
    <n v="740"/>
    <n v="0.99778597785977863"/>
    <n v="80"/>
    <x v="21"/>
  </r>
  <r>
    <x v="21"/>
    <x v="6"/>
    <n v="12187"/>
    <n v="38"/>
    <n v="1226"/>
    <n v="10701"/>
    <n v="50"/>
    <n v="11"/>
    <n v="235406"/>
    <n v="261"/>
    <n v="57919"/>
    <n v="94"/>
    <n v="1232"/>
    <n v="10659"/>
    <n v="51"/>
    <n v="13"/>
    <n v="234881"/>
    <n v="57852"/>
    <n v="258"/>
    <n v="39"/>
    <n v="-6"/>
    <n v="-1"/>
    <x v="5"/>
    <n v="525"/>
    <n v="67"/>
    <n v="592"/>
    <n v="0.99512987012987009"/>
    <n v="42"/>
    <x v="21"/>
  </r>
  <r>
    <x v="21"/>
    <x v="7"/>
    <n v="61375"/>
    <n v="213"/>
    <n v="5609"/>
    <n v="54402"/>
    <n v="278"/>
    <n v="58"/>
    <n v="1091724"/>
    <n v="1369"/>
    <n v="443588"/>
    <n v="373"/>
    <n v="5716"/>
    <n v="54065"/>
    <n v="273"/>
    <n v="55"/>
    <n v="1088871"/>
    <n v="443170"/>
    <n v="1363"/>
    <n v="236"/>
    <n v="-107"/>
    <n v="5"/>
    <x v="3"/>
    <n v="2853"/>
    <n v="418"/>
    <n v="3271"/>
    <n v="0.98128061581525539"/>
    <n v="337"/>
    <x v="21"/>
  </r>
  <r>
    <x v="22"/>
    <x v="0"/>
    <n v="13360"/>
    <n v="50"/>
    <n v="860"/>
    <n v="12197"/>
    <n v="66"/>
    <n v="17"/>
    <n v="229720"/>
    <n v="307"/>
    <n v="76680"/>
    <n v="32"/>
    <n v="873"/>
    <n v="12136"/>
    <n v="61"/>
    <n v="18"/>
    <n v="228586"/>
    <n v="76600"/>
    <n v="307"/>
    <n v="48"/>
    <n v="-13"/>
    <n v="5"/>
    <x v="4"/>
    <n v="1134"/>
    <n v="80"/>
    <n v="1214"/>
    <n v="0.98510882016036661"/>
    <n v="61"/>
    <x v="22"/>
  </r>
  <r>
    <x v="22"/>
    <x v="1"/>
    <n v="3925"/>
    <n v="14"/>
    <n v="336"/>
    <n v="3500"/>
    <n v="24"/>
    <n v="4"/>
    <n v="75919"/>
    <n v="87"/>
    <n v="30082"/>
    <n v="8"/>
    <n v="348"/>
    <n v="3472"/>
    <n v="25"/>
    <n v="3"/>
    <n v="75538"/>
    <n v="30043"/>
    <n v="87"/>
    <n v="16"/>
    <n v="-12"/>
    <n v="-1"/>
    <x v="0"/>
    <n v="381"/>
    <n v="39"/>
    <n v="420"/>
    <n v="0.96551724137931039"/>
    <n v="28"/>
    <x v="22"/>
  </r>
  <r>
    <x v="22"/>
    <x v="2"/>
    <n v="6993"/>
    <n v="41"/>
    <n v="397"/>
    <n v="6449"/>
    <n v="11"/>
    <n v="3"/>
    <n v="123071"/>
    <n v="145"/>
    <n v="74519"/>
    <n v="7"/>
    <n v="374"/>
    <n v="6429"/>
    <n v="9"/>
    <n v="4"/>
    <n v="122460"/>
    <n v="74455"/>
    <n v="145"/>
    <n v="43"/>
    <n v="23"/>
    <n v="2"/>
    <x v="4"/>
    <n v="611"/>
    <n v="64"/>
    <n v="675"/>
    <n v="1.0614973262032086"/>
    <n v="20"/>
    <x v="22"/>
  </r>
  <r>
    <x v="22"/>
    <x v="3"/>
    <n v="8408"/>
    <n v="18"/>
    <n v="525"/>
    <n v="7574"/>
    <n v="22"/>
    <n v="4"/>
    <n v="134040"/>
    <n v="308"/>
    <n v="67234"/>
    <n v="13"/>
    <n v="540"/>
    <n v="7538"/>
    <n v="19"/>
    <n v="4"/>
    <n v="133619"/>
    <n v="67183"/>
    <n v="308"/>
    <n v="21"/>
    <n v="-15"/>
    <n v="3"/>
    <x v="2"/>
    <n v="421"/>
    <n v="51"/>
    <n v="472"/>
    <n v="0.97222222222222221"/>
    <n v="36"/>
    <x v="22"/>
  </r>
  <r>
    <x v="22"/>
    <x v="4"/>
    <n v="6819"/>
    <n v="33"/>
    <n v="866"/>
    <n v="5879"/>
    <n v="50"/>
    <n v="11"/>
    <n v="111937"/>
    <n v="77"/>
    <n v="45905"/>
    <n v="47"/>
    <n v="896"/>
    <n v="5812"/>
    <n v="45"/>
    <n v="11"/>
    <n v="111195"/>
    <n v="45839"/>
    <n v="77"/>
    <n v="37"/>
    <n v="-30"/>
    <n v="5"/>
    <x v="2"/>
    <n v="742"/>
    <n v="66"/>
    <n v="808"/>
    <n v="0.9665178571428571"/>
    <n v="67"/>
    <x v="22"/>
  </r>
  <r>
    <x v="22"/>
    <x v="5"/>
    <n v="9924"/>
    <n v="70"/>
    <n v="1347"/>
    <n v="8395"/>
    <n v="71"/>
    <n v="7"/>
    <n v="185800"/>
    <n v="184"/>
    <n v="91655"/>
    <n v="68"/>
    <n v="1352"/>
    <n v="8314"/>
    <n v="69"/>
    <n v="7"/>
    <n v="184920"/>
    <n v="91549"/>
    <n v="184"/>
    <n v="76"/>
    <n v="-5"/>
    <n v="2"/>
    <x v="2"/>
    <n v="880"/>
    <n v="106"/>
    <n v="986"/>
    <n v="0.99630177514792895"/>
    <n v="81"/>
    <x v="22"/>
  </r>
  <r>
    <x v="22"/>
    <x v="6"/>
    <n v="12239"/>
    <n v="51"/>
    <n v="1177"/>
    <n v="10801"/>
    <n v="51"/>
    <n v="12"/>
    <n v="236261"/>
    <n v="262"/>
    <n v="57983"/>
    <n v="38"/>
    <n v="1226"/>
    <n v="10701"/>
    <n v="50"/>
    <n v="11"/>
    <n v="235406"/>
    <n v="57919"/>
    <n v="261"/>
    <n v="52"/>
    <n v="-49"/>
    <n v="1"/>
    <x v="0"/>
    <n v="855"/>
    <n v="64"/>
    <n v="919"/>
    <n v="0.96003262642740617"/>
    <n v="100"/>
    <x v="22"/>
  </r>
  <r>
    <x v="22"/>
    <x v="7"/>
    <n v="61668"/>
    <n v="277"/>
    <n v="5508"/>
    <n v="54795"/>
    <n v="295"/>
    <n v="58"/>
    <n v="1096748"/>
    <n v="1370"/>
    <n v="444058"/>
    <n v="213"/>
    <n v="5609"/>
    <n v="54402"/>
    <n v="278"/>
    <n v="58"/>
    <n v="1091724"/>
    <n v="443588"/>
    <n v="1369"/>
    <n v="293"/>
    <n v="-101"/>
    <n v="17"/>
    <x v="2"/>
    <n v="5024"/>
    <n v="470"/>
    <n v="5494"/>
    <n v="0.98199322517382781"/>
    <n v="393"/>
    <x v="22"/>
  </r>
  <r>
    <x v="23"/>
    <x v="0"/>
    <n v="13414"/>
    <n v="42"/>
    <n v="884"/>
    <n v="12223"/>
    <n v="71"/>
    <n v="18"/>
    <n v="230377"/>
    <n v="311"/>
    <n v="76850"/>
    <n v="50"/>
    <n v="860"/>
    <n v="12197"/>
    <n v="66"/>
    <n v="17"/>
    <n v="229720"/>
    <n v="76680"/>
    <n v="307"/>
    <n v="54"/>
    <n v="24"/>
    <n v="5"/>
    <x v="0"/>
    <n v="657"/>
    <n v="170"/>
    <n v="827"/>
    <n v="1.027906976744186"/>
    <n v="26"/>
    <x v="23"/>
  </r>
  <r>
    <x v="23"/>
    <x v="1"/>
    <n v="3954"/>
    <n v="30"/>
    <n v="337"/>
    <n v="3527"/>
    <n v="27"/>
    <n v="4"/>
    <n v="76156"/>
    <n v="88"/>
    <n v="30134"/>
    <n v="14"/>
    <n v="336"/>
    <n v="3500"/>
    <n v="24"/>
    <n v="4"/>
    <n v="75919"/>
    <n v="30082"/>
    <n v="87"/>
    <n v="29"/>
    <n v="1"/>
    <n v="3"/>
    <x v="2"/>
    <n v="237"/>
    <n v="52"/>
    <n v="289"/>
    <n v="1.0029761904761905"/>
    <n v="27"/>
    <x v="23"/>
  </r>
  <r>
    <x v="23"/>
    <x v="2"/>
    <n v="7009"/>
    <n v="13"/>
    <n v="397"/>
    <n v="6465"/>
    <n v="10"/>
    <n v="3"/>
    <n v="123460"/>
    <n v="145"/>
    <n v="74626"/>
    <n v="41"/>
    <n v="397"/>
    <n v="6449"/>
    <n v="11"/>
    <n v="3"/>
    <n v="123071"/>
    <n v="74519"/>
    <n v="145"/>
    <n v="16"/>
    <n v="0"/>
    <n v="-1"/>
    <x v="2"/>
    <n v="389"/>
    <n v="107"/>
    <n v="496"/>
    <n v="1"/>
    <n v="16"/>
    <x v="23"/>
  </r>
  <r>
    <x v="23"/>
    <x v="3"/>
    <n v="8435"/>
    <n v="20"/>
    <n v="525"/>
    <n v="7601"/>
    <n v="21"/>
    <n v="4"/>
    <n v="134691"/>
    <n v="308"/>
    <n v="67336"/>
    <n v="18"/>
    <n v="525"/>
    <n v="7574"/>
    <n v="22"/>
    <n v="4"/>
    <n v="134040"/>
    <n v="67234"/>
    <n v="308"/>
    <n v="27"/>
    <n v="0"/>
    <n v="-1"/>
    <x v="2"/>
    <n v="651"/>
    <n v="102"/>
    <n v="753"/>
    <n v="1"/>
    <n v="27"/>
    <x v="23"/>
  </r>
  <r>
    <x v="23"/>
    <x v="4"/>
    <n v="6858"/>
    <n v="32"/>
    <n v="852"/>
    <n v="5932"/>
    <n v="44"/>
    <n v="10"/>
    <n v="112437"/>
    <n v="77"/>
    <n v="46011"/>
    <n v="33"/>
    <n v="866"/>
    <n v="5879"/>
    <n v="50"/>
    <n v="11"/>
    <n v="111937"/>
    <n v="45905"/>
    <n v="77"/>
    <n v="39"/>
    <n v="-14"/>
    <n v="-6"/>
    <x v="4"/>
    <n v="500"/>
    <n v="106"/>
    <n v="606"/>
    <n v="0.9838337182448037"/>
    <n v="53"/>
    <x v="23"/>
  </r>
  <r>
    <x v="23"/>
    <x v="5"/>
    <n v="9996"/>
    <n v="54"/>
    <n v="1336"/>
    <n v="8474"/>
    <n v="74"/>
    <n v="5"/>
    <n v="186535"/>
    <n v="188"/>
    <n v="91849"/>
    <n v="70"/>
    <n v="1347"/>
    <n v="8395"/>
    <n v="71"/>
    <n v="7"/>
    <n v="185800"/>
    <n v="91655"/>
    <n v="184"/>
    <n v="72"/>
    <n v="-11"/>
    <n v="3"/>
    <x v="5"/>
    <n v="735"/>
    <n v="194"/>
    <n v="929"/>
    <n v="0.99183370452858199"/>
    <n v="79"/>
    <x v="23"/>
  </r>
  <r>
    <x v="23"/>
    <x v="6"/>
    <n v="12316"/>
    <n v="70"/>
    <n v="1192"/>
    <n v="10862"/>
    <n v="44"/>
    <n v="12"/>
    <n v="236973"/>
    <n v="263"/>
    <n v="58090"/>
    <n v="51"/>
    <n v="1177"/>
    <n v="10801"/>
    <n v="51"/>
    <n v="12"/>
    <n v="236261"/>
    <n v="57983"/>
    <n v="262"/>
    <n v="77"/>
    <n v="15"/>
    <n v="-7"/>
    <x v="2"/>
    <n v="712"/>
    <n v="107"/>
    <n v="819"/>
    <n v="1.0127442650807137"/>
    <n v="61"/>
    <x v="23"/>
  </r>
  <r>
    <x v="23"/>
    <x v="7"/>
    <n v="61982"/>
    <n v="261"/>
    <n v="5523"/>
    <n v="55084"/>
    <n v="291"/>
    <n v="56"/>
    <n v="1100629"/>
    <n v="1380"/>
    <n v="444896"/>
    <n v="277"/>
    <n v="5508"/>
    <n v="54795"/>
    <n v="295"/>
    <n v="58"/>
    <n v="1096748"/>
    <n v="444058"/>
    <n v="1370"/>
    <n v="314"/>
    <n v="15"/>
    <n v="-4"/>
    <x v="5"/>
    <n v="3881"/>
    <n v="838"/>
    <n v="4719"/>
    <n v="1.002723311546841"/>
    <n v="289"/>
    <x v="23"/>
  </r>
  <r>
    <x v="24"/>
    <x v="0"/>
    <n v="13535"/>
    <n v="118"/>
    <n v="956"/>
    <n v="12272"/>
    <n v="71"/>
    <n v="18"/>
    <n v="231633"/>
    <n v="311"/>
    <n v="77039"/>
    <n v="42"/>
    <n v="884"/>
    <n v="12223"/>
    <n v="71"/>
    <n v="18"/>
    <n v="230377"/>
    <n v="76850"/>
    <n v="311"/>
    <n v="121"/>
    <n v="72"/>
    <n v="0"/>
    <x v="2"/>
    <n v="1256"/>
    <n v="189"/>
    <n v="1445"/>
    <n v="1.0814479638009049"/>
    <n v="49"/>
    <x v="24"/>
  </r>
  <r>
    <x v="24"/>
    <x v="1"/>
    <n v="3969"/>
    <n v="13"/>
    <n v="327"/>
    <n v="3551"/>
    <n v="31"/>
    <n v="3"/>
    <n v="76468"/>
    <n v="89"/>
    <n v="30177"/>
    <n v="30"/>
    <n v="337"/>
    <n v="3527"/>
    <n v="27"/>
    <n v="4"/>
    <n v="76156"/>
    <n v="30134"/>
    <n v="88"/>
    <n v="15"/>
    <n v="-10"/>
    <n v="4"/>
    <x v="4"/>
    <n v="312"/>
    <n v="43"/>
    <n v="355"/>
    <n v="0.97032640949554894"/>
    <n v="24"/>
    <x v="24"/>
  </r>
  <r>
    <x v="24"/>
    <x v="2"/>
    <n v="7059"/>
    <n v="50"/>
    <n v="430"/>
    <n v="6482"/>
    <n v="12"/>
    <n v="2"/>
    <n v="124244"/>
    <n v="145"/>
    <n v="74737"/>
    <n v="13"/>
    <n v="397"/>
    <n v="6465"/>
    <n v="10"/>
    <n v="3"/>
    <n v="123460"/>
    <n v="74626"/>
    <n v="145"/>
    <n v="50"/>
    <n v="33"/>
    <n v="2"/>
    <x v="4"/>
    <n v="784"/>
    <n v="111"/>
    <n v="895"/>
    <n v="1.0831234256926952"/>
    <n v="17"/>
    <x v="24"/>
  </r>
  <r>
    <x v="24"/>
    <x v="3"/>
    <n v="8484"/>
    <n v="36"/>
    <n v="545"/>
    <n v="7630"/>
    <n v="22"/>
    <n v="3"/>
    <n v="135342"/>
    <n v="308"/>
    <n v="67470"/>
    <n v="20"/>
    <n v="525"/>
    <n v="7601"/>
    <n v="21"/>
    <n v="4"/>
    <n v="134691"/>
    <n v="67336"/>
    <n v="308"/>
    <n v="49"/>
    <n v="20"/>
    <n v="1"/>
    <x v="4"/>
    <n v="651"/>
    <n v="134"/>
    <n v="785"/>
    <n v="1.0380952380952382"/>
    <n v="29"/>
    <x v="24"/>
  </r>
  <r>
    <x v="24"/>
    <x v="4"/>
    <n v="6911"/>
    <n v="48"/>
    <n v="821"/>
    <n v="6016"/>
    <n v="41"/>
    <n v="11"/>
    <n v="113362"/>
    <n v="77"/>
    <n v="46138"/>
    <n v="32"/>
    <n v="852"/>
    <n v="5932"/>
    <n v="44"/>
    <n v="10"/>
    <n v="112437"/>
    <n v="46011"/>
    <n v="77"/>
    <n v="53"/>
    <n v="-31"/>
    <n v="-3"/>
    <x v="0"/>
    <n v="925"/>
    <n v="127"/>
    <n v="1052"/>
    <n v="0.96361502347417838"/>
    <n v="84"/>
    <x v="24"/>
  </r>
  <r>
    <x v="24"/>
    <x v="5"/>
    <n v="10117"/>
    <n v="103"/>
    <n v="1373"/>
    <n v="8557"/>
    <n v="65"/>
    <n v="7"/>
    <n v="187694"/>
    <n v="189"/>
    <n v="92122"/>
    <n v="54"/>
    <n v="1336"/>
    <n v="8474"/>
    <n v="74"/>
    <n v="5"/>
    <n v="186535"/>
    <n v="91849"/>
    <n v="188"/>
    <n v="121"/>
    <n v="37"/>
    <n v="-9"/>
    <x v="1"/>
    <n v="1159"/>
    <n v="273"/>
    <n v="1432"/>
    <n v="1.027694610778443"/>
    <n v="83"/>
    <x v="24"/>
  </r>
  <r>
    <x v="24"/>
    <x v="6"/>
    <n v="12391"/>
    <n v="73"/>
    <n v="1173"/>
    <n v="10952"/>
    <n v="40"/>
    <n v="11"/>
    <n v="238334"/>
    <n v="267"/>
    <n v="58197"/>
    <n v="70"/>
    <n v="1192"/>
    <n v="10862"/>
    <n v="44"/>
    <n v="12"/>
    <n v="236973"/>
    <n v="58090"/>
    <n v="263"/>
    <n v="75"/>
    <n v="-19"/>
    <n v="-4"/>
    <x v="4"/>
    <n v="1361"/>
    <n v="107"/>
    <n v="1468"/>
    <n v="0.98406040268456374"/>
    <n v="90"/>
    <x v="24"/>
  </r>
  <r>
    <x v="24"/>
    <x v="7"/>
    <n v="62466"/>
    <n v="441"/>
    <n v="5625"/>
    <n v="55460"/>
    <n v="282"/>
    <n v="55"/>
    <n v="1107077"/>
    <n v="1386"/>
    <n v="445880"/>
    <n v="261"/>
    <n v="5523"/>
    <n v="55084"/>
    <n v="291"/>
    <n v="56"/>
    <n v="1100629"/>
    <n v="444896"/>
    <n v="1380"/>
    <n v="484"/>
    <n v="102"/>
    <n v="-9"/>
    <x v="4"/>
    <n v="6448"/>
    <n v="984"/>
    <n v="7432"/>
    <n v="1.0184682237914178"/>
    <n v="376"/>
    <x v="24"/>
  </r>
  <r>
    <x v="25"/>
    <x v="0"/>
    <n v="13669"/>
    <n v="115"/>
    <n v="1029"/>
    <n v="12333"/>
    <n v="70"/>
    <n v="19"/>
    <n v="233058"/>
    <n v="311"/>
    <n v="77228"/>
    <n v="118"/>
    <n v="956"/>
    <n v="12272"/>
    <n v="71"/>
    <n v="18"/>
    <n v="231633"/>
    <n v="77039"/>
    <n v="311"/>
    <n v="134"/>
    <n v="73"/>
    <n v="-1"/>
    <x v="0"/>
    <n v="1425"/>
    <n v="189"/>
    <n v="1614"/>
    <n v="1.0763598326359833"/>
    <n v="61"/>
    <x v="25"/>
  </r>
  <r>
    <x v="25"/>
    <x v="1"/>
    <n v="3993"/>
    <n v="26"/>
    <n v="312"/>
    <n v="3589"/>
    <n v="33"/>
    <n v="3"/>
    <n v="76840"/>
    <n v="90"/>
    <n v="30208"/>
    <n v="13"/>
    <n v="327"/>
    <n v="3551"/>
    <n v="31"/>
    <n v="3"/>
    <n v="76468"/>
    <n v="30177"/>
    <n v="89"/>
    <n v="24"/>
    <n v="-15"/>
    <n v="2"/>
    <x v="2"/>
    <n v="372"/>
    <n v="31"/>
    <n v="403"/>
    <n v="0.95412844036697253"/>
    <n v="38"/>
    <x v="25"/>
  </r>
  <r>
    <x v="25"/>
    <x v="2"/>
    <n v="7108"/>
    <n v="45"/>
    <n v="444"/>
    <n v="6517"/>
    <n v="16"/>
    <n v="2"/>
    <n v="125028"/>
    <n v="145"/>
    <n v="74843"/>
    <n v="50"/>
    <n v="430"/>
    <n v="6482"/>
    <n v="12"/>
    <n v="2"/>
    <n v="124244"/>
    <n v="74737"/>
    <n v="145"/>
    <n v="49"/>
    <n v="14"/>
    <n v="4"/>
    <x v="2"/>
    <n v="784"/>
    <n v="106"/>
    <n v="890"/>
    <n v="1.0325581395348837"/>
    <n v="35"/>
    <x v="25"/>
  </r>
  <r>
    <x v="25"/>
    <x v="3"/>
    <n v="8553"/>
    <n v="60"/>
    <n v="573"/>
    <n v="7671"/>
    <n v="24"/>
    <n v="3"/>
    <n v="135753"/>
    <n v="308"/>
    <n v="67695"/>
    <n v="36"/>
    <n v="545"/>
    <n v="7630"/>
    <n v="22"/>
    <n v="3"/>
    <n v="135342"/>
    <n v="67470"/>
    <n v="308"/>
    <n v="69"/>
    <n v="28"/>
    <n v="2"/>
    <x v="2"/>
    <n v="411"/>
    <n v="225"/>
    <n v="636"/>
    <n v="1.0513761467889908"/>
    <n v="41"/>
    <x v="25"/>
  </r>
  <r>
    <x v="25"/>
    <x v="4"/>
    <n v="6941"/>
    <n v="25"/>
    <n v="816"/>
    <n v="6050"/>
    <n v="42"/>
    <n v="10"/>
    <n v="114435"/>
    <n v="78"/>
    <n v="46229"/>
    <n v="48"/>
    <n v="821"/>
    <n v="6016"/>
    <n v="41"/>
    <n v="11"/>
    <n v="113362"/>
    <n v="46138"/>
    <n v="77"/>
    <n v="30"/>
    <n v="-5"/>
    <n v="1"/>
    <x v="4"/>
    <n v="1073"/>
    <n v="91"/>
    <n v="1164"/>
    <n v="0.99390986601705233"/>
    <n v="34"/>
    <x v="25"/>
  </r>
  <r>
    <x v="25"/>
    <x v="5"/>
    <n v="10232"/>
    <n v="89"/>
    <n v="1369"/>
    <n v="8674"/>
    <n v="69"/>
    <n v="7"/>
    <n v="188719"/>
    <n v="191"/>
    <n v="92370"/>
    <n v="103"/>
    <n v="1373"/>
    <n v="8557"/>
    <n v="65"/>
    <n v="7"/>
    <n v="187694"/>
    <n v="92122"/>
    <n v="189"/>
    <n v="115"/>
    <n v="-4"/>
    <n v="4"/>
    <x v="2"/>
    <n v="1025"/>
    <n v="248"/>
    <n v="1273"/>
    <n v="0.99708667152221409"/>
    <n v="117"/>
    <x v="25"/>
  </r>
  <r>
    <x v="25"/>
    <x v="6"/>
    <n v="12482"/>
    <n v="78"/>
    <n v="1137"/>
    <n v="11076"/>
    <n v="42"/>
    <n v="11"/>
    <n v="239822"/>
    <n v="270"/>
    <n v="58318"/>
    <n v="73"/>
    <n v="1173"/>
    <n v="10952"/>
    <n v="40"/>
    <n v="11"/>
    <n v="238334"/>
    <n v="58197"/>
    <n v="267"/>
    <n v="91"/>
    <n v="-36"/>
    <n v="2"/>
    <x v="2"/>
    <n v="1488"/>
    <n v="121"/>
    <n v="1609"/>
    <n v="0.96930946291560105"/>
    <n v="124"/>
    <x v="25"/>
  </r>
  <r>
    <x v="25"/>
    <x v="7"/>
    <n v="62978"/>
    <n v="438"/>
    <n v="5680"/>
    <n v="55910"/>
    <n v="296"/>
    <n v="55"/>
    <n v="1113655"/>
    <n v="1393"/>
    <n v="446891"/>
    <n v="441"/>
    <n v="5625"/>
    <n v="55460"/>
    <n v="282"/>
    <n v="55"/>
    <n v="1107077"/>
    <n v="445880"/>
    <n v="1386"/>
    <n v="512"/>
    <n v="55"/>
    <n v="14"/>
    <x v="2"/>
    <n v="6578"/>
    <n v="1011"/>
    <n v="7589"/>
    <n v="1.0097777777777779"/>
    <n v="450"/>
    <x v="25"/>
  </r>
  <r>
    <x v="26"/>
    <x v="0"/>
    <n v="13776"/>
    <n v="97"/>
    <n v="1091"/>
    <n v="12377"/>
    <n v="67"/>
    <n v="20"/>
    <n v="234308"/>
    <n v="312"/>
    <n v="77433"/>
    <n v="115"/>
    <n v="1029"/>
    <n v="12333"/>
    <n v="70"/>
    <n v="19"/>
    <n v="233058"/>
    <n v="77228"/>
    <n v="311"/>
    <n v="107"/>
    <n v="62"/>
    <n v="-3"/>
    <x v="0"/>
    <n v="1250"/>
    <n v="205"/>
    <n v="1455"/>
    <n v="1.0602526724975705"/>
    <n v="44"/>
    <x v="26"/>
  </r>
  <r>
    <x v="26"/>
    <x v="1"/>
    <n v="4017"/>
    <n v="19"/>
    <n v="307"/>
    <n v="3618"/>
    <n v="35"/>
    <n v="2"/>
    <n v="77124"/>
    <n v="90"/>
    <n v="30256"/>
    <n v="26"/>
    <n v="312"/>
    <n v="3589"/>
    <n v="33"/>
    <n v="3"/>
    <n v="76840"/>
    <n v="30208"/>
    <n v="90"/>
    <n v="24"/>
    <n v="-5"/>
    <n v="2"/>
    <x v="4"/>
    <n v="284"/>
    <n v="48"/>
    <n v="332"/>
    <n v="0.98397435897435892"/>
    <n v="29"/>
    <x v="26"/>
  </r>
  <r>
    <x v="26"/>
    <x v="2"/>
    <n v="7155"/>
    <n v="32"/>
    <n v="463"/>
    <n v="6545"/>
    <n v="13"/>
    <n v="2"/>
    <n v="125659"/>
    <n v="145"/>
    <n v="74958"/>
    <n v="45"/>
    <n v="444"/>
    <n v="6517"/>
    <n v="16"/>
    <n v="2"/>
    <n v="125028"/>
    <n v="74843"/>
    <n v="145"/>
    <n v="47"/>
    <n v="19"/>
    <n v="-3"/>
    <x v="2"/>
    <n v="631"/>
    <n v="115"/>
    <n v="746"/>
    <n v="1.0427927927927927"/>
    <n v="28"/>
    <x v="26"/>
  </r>
  <r>
    <x v="26"/>
    <x v="3"/>
    <n v="8622"/>
    <n v="52"/>
    <n v="600"/>
    <n v="7712"/>
    <n v="21"/>
    <n v="2"/>
    <n v="136517"/>
    <n v="309"/>
    <n v="67852"/>
    <n v="60"/>
    <n v="573"/>
    <n v="7671"/>
    <n v="24"/>
    <n v="3"/>
    <n v="135753"/>
    <n v="67695"/>
    <n v="308"/>
    <n v="69"/>
    <n v="27"/>
    <n v="-3"/>
    <x v="4"/>
    <n v="764"/>
    <n v="157"/>
    <n v="921"/>
    <n v="1.0471204188481675"/>
    <n v="41"/>
    <x v="26"/>
  </r>
  <r>
    <x v="26"/>
    <x v="4"/>
    <n v="6992"/>
    <n v="48"/>
    <n v="789"/>
    <n v="6126"/>
    <n v="39"/>
    <n v="12"/>
    <n v="115421"/>
    <n v="80"/>
    <n v="46347"/>
    <n v="25"/>
    <n v="816"/>
    <n v="6050"/>
    <n v="42"/>
    <n v="10"/>
    <n v="114435"/>
    <n v="46229"/>
    <n v="78"/>
    <n v="51"/>
    <n v="-27"/>
    <n v="-3"/>
    <x v="1"/>
    <n v="986"/>
    <n v="118"/>
    <n v="1104"/>
    <n v="0.96691176470588236"/>
    <n v="76"/>
    <x v="26"/>
  </r>
  <r>
    <x v="26"/>
    <x v="5"/>
    <n v="10335"/>
    <n v="83"/>
    <n v="1346"/>
    <n v="8798"/>
    <n v="75"/>
    <n v="8"/>
    <n v="190051"/>
    <n v="193"/>
    <n v="92624"/>
    <n v="89"/>
    <n v="1369"/>
    <n v="8674"/>
    <n v="69"/>
    <n v="7"/>
    <n v="188719"/>
    <n v="92370"/>
    <n v="191"/>
    <n v="103"/>
    <n v="-23"/>
    <n v="6"/>
    <x v="0"/>
    <n v="1332"/>
    <n v="254"/>
    <n v="1586"/>
    <n v="0.98319941563184809"/>
    <n v="124"/>
    <x v="26"/>
  </r>
  <r>
    <x v="26"/>
    <x v="6"/>
    <n v="12613"/>
    <n v="110"/>
    <n v="1181"/>
    <n v="11162"/>
    <n v="40"/>
    <n v="9"/>
    <n v="241510"/>
    <n v="271"/>
    <n v="58439"/>
    <n v="78"/>
    <n v="1137"/>
    <n v="11076"/>
    <n v="42"/>
    <n v="11"/>
    <n v="239822"/>
    <n v="58318"/>
    <n v="270"/>
    <n v="131"/>
    <n v="44"/>
    <n v="-2"/>
    <x v="5"/>
    <n v="1688"/>
    <n v="121"/>
    <n v="1809"/>
    <n v="1.0386983289357961"/>
    <n v="86"/>
    <x v="26"/>
  </r>
  <r>
    <x v="26"/>
    <x v="7"/>
    <n v="63510"/>
    <n v="441"/>
    <n v="5777"/>
    <n v="56338"/>
    <n v="290"/>
    <n v="55"/>
    <n v="1120590"/>
    <n v="1400"/>
    <n v="447909"/>
    <n v="438"/>
    <n v="5680"/>
    <n v="55910"/>
    <n v="296"/>
    <n v="55"/>
    <n v="1113655"/>
    <n v="446891"/>
    <n v="1393"/>
    <n v="532"/>
    <n v="97"/>
    <n v="-6"/>
    <x v="2"/>
    <n v="6935"/>
    <n v="1018"/>
    <n v="7953"/>
    <n v="1.0170774647887324"/>
    <n v="428"/>
    <x v="26"/>
  </r>
  <r>
    <x v="27"/>
    <x v="0"/>
    <n v="13894"/>
    <n v="116"/>
    <n v="1150"/>
    <n v="12434"/>
    <n v="72"/>
    <n v="20"/>
    <n v="235418"/>
    <n v="314"/>
    <n v="77528"/>
    <n v="97"/>
    <n v="1091"/>
    <n v="12377"/>
    <n v="67"/>
    <n v="20"/>
    <n v="234308"/>
    <n v="77433"/>
    <n v="312"/>
    <n v="118"/>
    <n v="59"/>
    <n v="5"/>
    <x v="2"/>
    <n v="1110"/>
    <n v="95"/>
    <n v="1205"/>
    <n v="1.0540788267644363"/>
    <n v="57"/>
    <x v="27"/>
  </r>
  <r>
    <x v="27"/>
    <x v="1"/>
    <n v="4038"/>
    <n v="21"/>
    <n v="309"/>
    <n v="3637"/>
    <n v="37"/>
    <n v="2"/>
    <n v="77386"/>
    <n v="90"/>
    <n v="30271"/>
    <n v="19"/>
    <n v="307"/>
    <n v="3618"/>
    <n v="35"/>
    <n v="2"/>
    <n v="77124"/>
    <n v="30256"/>
    <n v="90"/>
    <n v="21"/>
    <n v="2"/>
    <n v="2"/>
    <x v="2"/>
    <n v="262"/>
    <n v="15"/>
    <n v="277"/>
    <n v="1.006514657980456"/>
    <n v="19"/>
    <x v="27"/>
  </r>
  <r>
    <x v="27"/>
    <x v="2"/>
    <n v="7190"/>
    <n v="39"/>
    <n v="475"/>
    <n v="6568"/>
    <n v="14"/>
    <n v="2"/>
    <n v="126196"/>
    <n v="145"/>
    <n v="75004"/>
    <n v="32"/>
    <n v="463"/>
    <n v="6545"/>
    <n v="13"/>
    <n v="2"/>
    <n v="125659"/>
    <n v="74958"/>
    <n v="145"/>
    <n v="35"/>
    <n v="12"/>
    <n v="1"/>
    <x v="2"/>
    <n v="537"/>
    <n v="46"/>
    <n v="583"/>
    <n v="1.0259179265658747"/>
    <n v="23"/>
    <x v="27"/>
  </r>
  <r>
    <x v="27"/>
    <x v="3"/>
    <n v="8653"/>
    <n v="14"/>
    <n v="595"/>
    <n v="7748"/>
    <n v="22"/>
    <n v="2"/>
    <n v="136922"/>
    <n v="309"/>
    <n v="67926"/>
    <n v="52"/>
    <n v="600"/>
    <n v="7712"/>
    <n v="21"/>
    <n v="2"/>
    <n v="136517"/>
    <n v="67852"/>
    <n v="309"/>
    <n v="31"/>
    <n v="-5"/>
    <n v="1"/>
    <x v="2"/>
    <n v="405"/>
    <n v="74"/>
    <n v="479"/>
    <n v="0.9916666666666667"/>
    <n v="36"/>
    <x v="27"/>
  </r>
  <r>
    <x v="27"/>
    <x v="4"/>
    <n v="7038"/>
    <n v="42"/>
    <n v="773"/>
    <n v="6188"/>
    <n v="32"/>
    <n v="12"/>
    <n v="115751"/>
    <n v="81"/>
    <n v="46420"/>
    <n v="48"/>
    <n v="789"/>
    <n v="6126"/>
    <n v="39"/>
    <n v="12"/>
    <n v="115421"/>
    <n v="46347"/>
    <n v="80"/>
    <n v="46"/>
    <n v="-16"/>
    <n v="-7"/>
    <x v="2"/>
    <n v="330"/>
    <n v="73"/>
    <n v="403"/>
    <n v="0.97972116603295312"/>
    <n v="62"/>
    <x v="27"/>
  </r>
  <r>
    <x v="27"/>
    <x v="5"/>
    <n v="10457"/>
    <n v="115"/>
    <n v="1356"/>
    <n v="8910"/>
    <n v="79"/>
    <n v="8"/>
    <n v="190999"/>
    <n v="193"/>
    <n v="92720"/>
    <n v="83"/>
    <n v="1346"/>
    <n v="8798"/>
    <n v="75"/>
    <n v="8"/>
    <n v="190051"/>
    <n v="92624"/>
    <n v="193"/>
    <n v="122"/>
    <n v="10"/>
    <n v="4"/>
    <x v="2"/>
    <n v="948"/>
    <n v="96"/>
    <n v="1044"/>
    <n v="1.0074294205052006"/>
    <n v="112"/>
    <x v="27"/>
  </r>
  <r>
    <x v="27"/>
    <x v="6"/>
    <n v="12684"/>
    <n v="65"/>
    <n v="1175"/>
    <n v="11239"/>
    <n v="41"/>
    <n v="11"/>
    <n v="242347"/>
    <n v="271"/>
    <n v="58492"/>
    <n v="110"/>
    <n v="1181"/>
    <n v="11162"/>
    <n v="40"/>
    <n v="9"/>
    <n v="241510"/>
    <n v="58439"/>
    <n v="271"/>
    <n v="71"/>
    <n v="-6"/>
    <n v="1"/>
    <x v="1"/>
    <n v="837"/>
    <n v="53"/>
    <n v="890"/>
    <n v="0.99491955969517354"/>
    <n v="77"/>
    <x v="27"/>
  </r>
  <r>
    <x v="27"/>
    <x v="7"/>
    <n v="63954"/>
    <n v="412"/>
    <n v="5833"/>
    <n v="56724"/>
    <n v="297"/>
    <n v="57"/>
    <n v="1125019"/>
    <n v="1403"/>
    <n v="448361"/>
    <n v="441"/>
    <n v="5777"/>
    <n v="56338"/>
    <n v="290"/>
    <n v="55"/>
    <n v="1120590"/>
    <n v="447909"/>
    <n v="1400"/>
    <n v="444"/>
    <n v="56"/>
    <n v="7"/>
    <x v="1"/>
    <n v="4429"/>
    <n v="452"/>
    <n v="4881"/>
    <n v="1.0096936126016964"/>
    <n v="386"/>
    <x v="27"/>
  </r>
  <r>
    <x v="28"/>
    <x v="0"/>
    <n v="13940"/>
    <n v="43"/>
    <n v="1134"/>
    <n v="12496"/>
    <n v="77"/>
    <n v="18"/>
    <n v="236006"/>
    <n v="314"/>
    <n v="77651"/>
    <n v="116"/>
    <n v="1150"/>
    <n v="12434"/>
    <n v="72"/>
    <n v="20"/>
    <n v="235418"/>
    <n v="77528"/>
    <n v="314"/>
    <n v="46"/>
    <n v="-16"/>
    <n v="5"/>
    <x v="5"/>
    <n v="588"/>
    <n v="123"/>
    <n v="711"/>
    <n v="0.98608695652173917"/>
    <n v="62"/>
    <x v="28"/>
  </r>
  <r>
    <x v="28"/>
    <x v="1"/>
    <n v="4049"/>
    <n v="9"/>
    <n v="295"/>
    <n v="3662"/>
    <n v="41"/>
    <n v="2"/>
    <n v="77572"/>
    <n v="90"/>
    <n v="30286"/>
    <n v="21"/>
    <n v="309"/>
    <n v="3637"/>
    <n v="37"/>
    <n v="2"/>
    <n v="77386"/>
    <n v="30271"/>
    <n v="90"/>
    <n v="11"/>
    <n v="-14"/>
    <n v="4"/>
    <x v="2"/>
    <n v="186"/>
    <n v="15"/>
    <n v="201"/>
    <n v="0.95469255663430419"/>
    <n v="25"/>
    <x v="28"/>
  </r>
  <r>
    <x v="28"/>
    <x v="2"/>
    <n v="7223"/>
    <n v="29"/>
    <n v="483"/>
    <n v="6593"/>
    <n v="16"/>
    <n v="2"/>
    <n v="126441"/>
    <n v="145"/>
    <n v="75074"/>
    <n v="39"/>
    <n v="475"/>
    <n v="6568"/>
    <n v="14"/>
    <n v="2"/>
    <n v="126196"/>
    <n v="75004"/>
    <n v="145"/>
    <n v="33"/>
    <n v="8"/>
    <n v="2"/>
    <x v="2"/>
    <n v="245"/>
    <n v="70"/>
    <n v="315"/>
    <n v="1.016842105263158"/>
    <n v="25"/>
    <x v="28"/>
  </r>
  <r>
    <x v="28"/>
    <x v="3"/>
    <n v="8683"/>
    <n v="28"/>
    <n v="605"/>
    <n v="7768"/>
    <n v="23"/>
    <n v="3"/>
    <n v="137290"/>
    <n v="309"/>
    <n v="68012"/>
    <n v="14"/>
    <n v="595"/>
    <n v="7748"/>
    <n v="22"/>
    <n v="2"/>
    <n v="136922"/>
    <n v="67926"/>
    <n v="309"/>
    <n v="30"/>
    <n v="10"/>
    <n v="1"/>
    <x v="0"/>
    <n v="368"/>
    <n v="86"/>
    <n v="454"/>
    <n v="1.0168067226890756"/>
    <n v="20"/>
    <x v="28"/>
  </r>
  <r>
    <x v="28"/>
    <x v="4"/>
    <n v="7064"/>
    <n v="16"/>
    <n v="710"/>
    <n v="6274"/>
    <n v="35"/>
    <n v="9"/>
    <n v="116039"/>
    <n v="83"/>
    <n v="46508"/>
    <n v="42"/>
    <n v="773"/>
    <n v="6188"/>
    <n v="32"/>
    <n v="12"/>
    <n v="115751"/>
    <n v="46420"/>
    <n v="81"/>
    <n v="26"/>
    <n v="-63"/>
    <n v="3"/>
    <x v="10"/>
    <n v="288"/>
    <n v="88"/>
    <n v="376"/>
    <n v="0.91849935316946962"/>
    <n v="86"/>
    <x v="28"/>
  </r>
  <r>
    <x v="28"/>
    <x v="5"/>
    <n v="10523"/>
    <n v="57"/>
    <n v="1332"/>
    <n v="8996"/>
    <n v="76"/>
    <n v="11"/>
    <n v="191595"/>
    <n v="197"/>
    <n v="92859"/>
    <n v="115"/>
    <n v="1356"/>
    <n v="8910"/>
    <n v="79"/>
    <n v="8"/>
    <n v="190999"/>
    <n v="92720"/>
    <n v="193"/>
    <n v="66"/>
    <n v="-24"/>
    <n v="-3"/>
    <x v="3"/>
    <n v="596"/>
    <n v="139"/>
    <n v="735"/>
    <n v="0.98230088495575218"/>
    <n v="86"/>
    <x v="28"/>
  </r>
  <r>
    <x v="28"/>
    <x v="6"/>
    <n v="12769"/>
    <n v="87"/>
    <n v="1173"/>
    <n v="11326"/>
    <n v="43"/>
    <n v="12"/>
    <n v="243394"/>
    <n v="271"/>
    <n v="58559"/>
    <n v="65"/>
    <n v="1175"/>
    <n v="11239"/>
    <n v="41"/>
    <n v="11"/>
    <n v="242347"/>
    <n v="58492"/>
    <n v="271"/>
    <n v="85"/>
    <n v="-2"/>
    <n v="2"/>
    <x v="0"/>
    <n v="1047"/>
    <n v="67"/>
    <n v="1114"/>
    <n v="0.99829787234042555"/>
    <n v="87"/>
    <x v="28"/>
  </r>
  <r>
    <x v="28"/>
    <x v="7"/>
    <n v="64251"/>
    <n v="269"/>
    <n v="5732"/>
    <n v="57115"/>
    <n v="311"/>
    <n v="57"/>
    <n v="1128337"/>
    <n v="1409"/>
    <n v="448949"/>
    <n v="412"/>
    <n v="5833"/>
    <n v="56724"/>
    <n v="297"/>
    <n v="57"/>
    <n v="1125019"/>
    <n v="448361"/>
    <n v="1403"/>
    <n v="297"/>
    <n v="-101"/>
    <n v="14"/>
    <x v="2"/>
    <n v="3318"/>
    <n v="588"/>
    <n v="3906"/>
    <n v="0.98268472484141955"/>
    <n v="391"/>
    <x v="28"/>
  </r>
  <r>
    <x v="29"/>
    <x v="0"/>
    <n v="14058"/>
    <n v="103"/>
    <n v="1193"/>
    <n v="12554"/>
    <n v="83"/>
    <n v="19"/>
    <n v="236832"/>
    <n v="315"/>
    <n v="77770"/>
    <n v="43"/>
    <n v="1134"/>
    <n v="12496"/>
    <n v="77"/>
    <n v="18"/>
    <n v="236006"/>
    <n v="77651"/>
    <n v="314"/>
    <n v="118"/>
    <n v="59"/>
    <n v="6"/>
    <x v="0"/>
    <n v="826"/>
    <n v="119"/>
    <n v="945"/>
    <n v="1.0520282186948853"/>
    <n v="58"/>
    <x v="29"/>
  </r>
  <r>
    <x v="29"/>
    <x v="1"/>
    <n v="4103"/>
    <n v="54"/>
    <n v="343"/>
    <n v="3668"/>
    <n v="45"/>
    <n v="1"/>
    <n v="77922"/>
    <n v="90"/>
    <n v="30308"/>
    <n v="9"/>
    <n v="295"/>
    <n v="3662"/>
    <n v="41"/>
    <n v="2"/>
    <n v="77572"/>
    <n v="30286"/>
    <n v="90"/>
    <n v="54"/>
    <n v="48"/>
    <n v="4"/>
    <x v="4"/>
    <n v="350"/>
    <n v="22"/>
    <n v="372"/>
    <n v="1.1627118644067798"/>
    <n v="6"/>
    <x v="29"/>
  </r>
  <r>
    <x v="29"/>
    <x v="2"/>
    <n v="7283"/>
    <n v="57"/>
    <n v="507"/>
    <n v="6629"/>
    <n v="17"/>
    <n v="0"/>
    <n v="127325"/>
    <n v="145"/>
    <n v="75158"/>
    <n v="29"/>
    <n v="483"/>
    <n v="6593"/>
    <n v="16"/>
    <n v="2"/>
    <n v="126441"/>
    <n v="75074"/>
    <n v="145"/>
    <n v="60"/>
    <n v="24"/>
    <n v="1"/>
    <x v="5"/>
    <n v="884"/>
    <n v="84"/>
    <n v="968"/>
    <n v="1.0496894409937889"/>
    <n v="36"/>
    <x v="29"/>
  </r>
  <r>
    <x v="29"/>
    <x v="3"/>
    <n v="8770"/>
    <n v="81"/>
    <n v="670"/>
    <n v="7790"/>
    <n v="25"/>
    <n v="3"/>
    <n v="138003"/>
    <n v="309"/>
    <n v="68096"/>
    <n v="28"/>
    <n v="605"/>
    <n v="7768"/>
    <n v="23"/>
    <n v="3"/>
    <n v="137290"/>
    <n v="68012"/>
    <n v="309"/>
    <n v="87"/>
    <n v="65"/>
    <n v="2"/>
    <x v="2"/>
    <n v="713"/>
    <n v="84"/>
    <n v="797"/>
    <n v="1.1074380165289257"/>
    <n v="22"/>
    <x v="29"/>
  </r>
  <r>
    <x v="29"/>
    <x v="4"/>
    <n v="7123"/>
    <n v="56"/>
    <n v="731"/>
    <n v="6312"/>
    <n v="39"/>
    <n v="8"/>
    <n v="116387"/>
    <n v="83"/>
    <n v="46572"/>
    <n v="16"/>
    <n v="710"/>
    <n v="6274"/>
    <n v="35"/>
    <n v="9"/>
    <n v="116039"/>
    <n v="46508"/>
    <n v="83"/>
    <n v="59"/>
    <n v="21"/>
    <n v="4"/>
    <x v="4"/>
    <n v="348"/>
    <n v="64"/>
    <n v="412"/>
    <n v="1.0295774647887324"/>
    <n v="38"/>
    <x v="29"/>
  </r>
  <r>
    <x v="29"/>
    <x v="5"/>
    <n v="10576"/>
    <n v="43"/>
    <n v="1327"/>
    <n v="9051"/>
    <n v="74"/>
    <n v="12"/>
    <n v="192423"/>
    <n v="200"/>
    <n v="93010"/>
    <n v="57"/>
    <n v="1332"/>
    <n v="8996"/>
    <n v="76"/>
    <n v="11"/>
    <n v="191595"/>
    <n v="92859"/>
    <n v="197"/>
    <n v="53"/>
    <n v="-5"/>
    <n v="-2"/>
    <x v="0"/>
    <n v="828"/>
    <n v="151"/>
    <n v="979"/>
    <n v="0.99624624624624625"/>
    <n v="55"/>
    <x v="29"/>
  </r>
  <r>
    <x v="29"/>
    <x v="6"/>
    <n v="12802"/>
    <n v="28"/>
    <n v="1134"/>
    <n v="11397"/>
    <n v="51"/>
    <n v="11"/>
    <n v="244550"/>
    <n v="272"/>
    <n v="58615"/>
    <n v="87"/>
    <n v="1173"/>
    <n v="11326"/>
    <n v="43"/>
    <n v="12"/>
    <n v="243394"/>
    <n v="58559"/>
    <n v="271"/>
    <n v="33"/>
    <n v="-39"/>
    <n v="8"/>
    <x v="4"/>
    <n v="1156"/>
    <n v="56"/>
    <n v="1212"/>
    <n v="0.96675191815856776"/>
    <n v="71"/>
    <x v="29"/>
  </r>
  <r>
    <x v="29"/>
    <x v="7"/>
    <n v="64715"/>
    <n v="422"/>
    <n v="5905"/>
    <n v="57401"/>
    <n v="334"/>
    <n v="54"/>
    <n v="1133442"/>
    <n v="1414"/>
    <n v="449529"/>
    <n v="269"/>
    <n v="5732"/>
    <n v="57115"/>
    <n v="311"/>
    <n v="57"/>
    <n v="1128337"/>
    <n v="448949"/>
    <n v="1409"/>
    <n v="464"/>
    <n v="173"/>
    <n v="23"/>
    <x v="10"/>
    <n v="5105"/>
    <n v="580"/>
    <n v="5685"/>
    <n v="1.0301814375436147"/>
    <n v="286"/>
    <x v="29"/>
  </r>
  <r>
    <x v="30"/>
    <x v="0"/>
    <n v="14144"/>
    <n v="71"/>
    <n v="1224"/>
    <n v="12604"/>
    <n v="81"/>
    <n v="17"/>
    <n v="237316"/>
    <n v="321"/>
    <n v="77919"/>
    <n v="103"/>
    <n v="1193"/>
    <n v="12554"/>
    <n v="83"/>
    <n v="19"/>
    <n v="236832"/>
    <n v="77770"/>
    <n v="315"/>
    <n v="86"/>
    <n v="31"/>
    <n v="-2"/>
    <x v="5"/>
    <n v="484"/>
    <n v="149"/>
    <n v="633"/>
    <n v="1.0259849119865885"/>
    <n v="50"/>
    <x v="30"/>
  </r>
  <r>
    <x v="30"/>
    <x v="1"/>
    <n v="4125"/>
    <n v="23"/>
    <n v="348"/>
    <n v="3685"/>
    <n v="50"/>
    <n v="1"/>
    <n v="78261"/>
    <n v="90"/>
    <n v="30348"/>
    <n v="54"/>
    <n v="343"/>
    <n v="3668"/>
    <n v="45"/>
    <n v="1"/>
    <n v="77922"/>
    <n v="30308"/>
    <n v="90"/>
    <n v="22"/>
    <n v="5"/>
    <n v="5"/>
    <x v="2"/>
    <n v="339"/>
    <n v="40"/>
    <n v="379"/>
    <n v="1.0145772594752187"/>
    <n v="17"/>
    <x v="30"/>
  </r>
  <r>
    <x v="30"/>
    <x v="2"/>
    <n v="7328"/>
    <n v="46"/>
    <n v="531"/>
    <n v="6649"/>
    <n v="17"/>
    <n v="0"/>
    <n v="128312"/>
    <n v="145"/>
    <n v="75322"/>
    <n v="57"/>
    <n v="507"/>
    <n v="6629"/>
    <n v="17"/>
    <n v="0"/>
    <n v="127325"/>
    <n v="75158"/>
    <n v="145"/>
    <n v="45"/>
    <n v="24"/>
    <n v="0"/>
    <x v="2"/>
    <n v="987"/>
    <n v="164"/>
    <n v="1151"/>
    <n v="1.0473372781065089"/>
    <n v="20"/>
    <x v="30"/>
  </r>
  <r>
    <x v="30"/>
    <x v="3"/>
    <n v="8832"/>
    <n v="52"/>
    <n v="688"/>
    <n v="7834"/>
    <n v="28"/>
    <n v="2"/>
    <n v="138494"/>
    <n v="310"/>
    <n v="68234"/>
    <n v="81"/>
    <n v="670"/>
    <n v="7790"/>
    <n v="25"/>
    <n v="3"/>
    <n v="138003"/>
    <n v="68096"/>
    <n v="309"/>
    <n v="62"/>
    <n v="18"/>
    <n v="3"/>
    <x v="4"/>
    <n v="491"/>
    <n v="138"/>
    <n v="629"/>
    <n v="1.026865671641791"/>
    <n v="44"/>
    <x v="30"/>
  </r>
  <r>
    <x v="30"/>
    <x v="4"/>
    <n v="7167"/>
    <n v="40"/>
    <n v="751"/>
    <n v="6336"/>
    <n v="37"/>
    <n v="11"/>
    <n v="116987"/>
    <n v="83"/>
    <n v="46682"/>
    <n v="56"/>
    <n v="731"/>
    <n v="6312"/>
    <n v="39"/>
    <n v="8"/>
    <n v="116387"/>
    <n v="46572"/>
    <n v="83"/>
    <n v="44"/>
    <n v="20"/>
    <n v="-2"/>
    <x v="3"/>
    <n v="600"/>
    <n v="110"/>
    <n v="710"/>
    <n v="1.027359781121751"/>
    <n v="24"/>
    <x v="30"/>
  </r>
  <r>
    <x v="30"/>
    <x v="5"/>
    <n v="10636"/>
    <n v="37"/>
    <n v="1336"/>
    <n v="9102"/>
    <n v="80"/>
    <n v="13"/>
    <n v="193006"/>
    <n v="200"/>
    <n v="93241"/>
    <n v="43"/>
    <n v="1327"/>
    <n v="9051"/>
    <n v="74"/>
    <n v="12"/>
    <n v="192423"/>
    <n v="93010"/>
    <n v="200"/>
    <n v="60"/>
    <n v="9"/>
    <n v="6"/>
    <x v="0"/>
    <n v="583"/>
    <n v="231"/>
    <n v="814"/>
    <n v="1.0067822155237378"/>
    <n v="51"/>
    <x v="30"/>
  </r>
  <r>
    <x v="30"/>
    <x v="6"/>
    <n v="12834"/>
    <n v="29"/>
    <n v="1113"/>
    <n v="11450"/>
    <n v="49"/>
    <n v="12"/>
    <n v="245275"/>
    <n v="272"/>
    <n v="58724"/>
    <n v="28"/>
    <n v="1134"/>
    <n v="11397"/>
    <n v="51"/>
    <n v="11"/>
    <n v="244550"/>
    <n v="58615"/>
    <n v="272"/>
    <n v="32"/>
    <n v="-21"/>
    <n v="-2"/>
    <x v="0"/>
    <n v="725"/>
    <n v="109"/>
    <n v="834"/>
    <n v="0.98148148148148151"/>
    <n v="53"/>
    <x v="30"/>
  </r>
  <r>
    <x v="30"/>
    <x v="7"/>
    <n v="65066"/>
    <n v="298"/>
    <n v="5991"/>
    <n v="57660"/>
    <n v="342"/>
    <n v="56"/>
    <n v="1137651"/>
    <n v="1421"/>
    <n v="450470"/>
    <n v="422"/>
    <n v="5905"/>
    <n v="57401"/>
    <n v="334"/>
    <n v="54"/>
    <n v="1133442"/>
    <n v="449529"/>
    <n v="1414"/>
    <n v="351"/>
    <n v="86"/>
    <n v="8"/>
    <x v="1"/>
    <n v="4209"/>
    <n v="941"/>
    <n v="5150"/>
    <n v="1.0145639288738357"/>
    <n v="259"/>
    <x v="30"/>
  </r>
  <r>
    <x v="31"/>
    <x v="0"/>
    <n v="14331"/>
    <n v="166"/>
    <n v="1377"/>
    <n v="12637"/>
    <n v="79"/>
    <n v="18"/>
    <n v="238580"/>
    <n v="322"/>
    <n v="78160"/>
    <n v="71"/>
    <n v="1224"/>
    <n v="12604"/>
    <n v="81"/>
    <n v="17"/>
    <n v="237316"/>
    <n v="77919"/>
    <n v="321"/>
    <n v="187"/>
    <n v="153"/>
    <n v="-2"/>
    <x v="0"/>
    <n v="1264"/>
    <n v="241"/>
    <n v="1505"/>
    <n v="1.125"/>
    <n v="33"/>
    <x v="31"/>
  </r>
  <r>
    <x v="31"/>
    <x v="1"/>
    <n v="4180"/>
    <n v="52"/>
    <n v="387"/>
    <n v="3700"/>
    <n v="46"/>
    <n v="1"/>
    <n v="78862"/>
    <n v="91"/>
    <n v="30389"/>
    <n v="23"/>
    <n v="348"/>
    <n v="3685"/>
    <n v="50"/>
    <n v="1"/>
    <n v="78261"/>
    <n v="30348"/>
    <n v="90"/>
    <n v="55"/>
    <n v="39"/>
    <n v="-4"/>
    <x v="2"/>
    <n v="601"/>
    <n v="41"/>
    <n v="642"/>
    <n v="1.1120689655172413"/>
    <n v="15"/>
    <x v="31"/>
  </r>
  <r>
    <x v="31"/>
    <x v="2"/>
    <n v="7391"/>
    <n v="53"/>
    <n v="575"/>
    <n v="6668"/>
    <n v="18"/>
    <n v="0"/>
    <n v="129326"/>
    <n v="145"/>
    <n v="75446"/>
    <n v="46"/>
    <n v="531"/>
    <n v="6649"/>
    <n v="17"/>
    <n v="0"/>
    <n v="128312"/>
    <n v="75322"/>
    <n v="145"/>
    <n v="63"/>
    <n v="44"/>
    <n v="1"/>
    <x v="2"/>
    <n v="1014"/>
    <n v="124"/>
    <n v="1138"/>
    <n v="1.0828625235404896"/>
    <n v="19"/>
    <x v="31"/>
  </r>
  <r>
    <x v="31"/>
    <x v="3"/>
    <n v="8927"/>
    <n v="67"/>
    <n v="734"/>
    <n v="7881"/>
    <n v="31"/>
    <n v="1"/>
    <n v="139315"/>
    <n v="312"/>
    <n v="68540"/>
    <n v="52"/>
    <n v="688"/>
    <n v="7834"/>
    <n v="28"/>
    <n v="2"/>
    <n v="138494"/>
    <n v="68234"/>
    <n v="310"/>
    <n v="95"/>
    <n v="46"/>
    <n v="3"/>
    <x v="4"/>
    <n v="821"/>
    <n v="306"/>
    <n v="1127"/>
    <n v="1.066860465116279"/>
    <n v="47"/>
    <x v="31"/>
  </r>
  <r>
    <x v="31"/>
    <x v="4"/>
    <n v="7200"/>
    <n v="29"/>
    <n v="743"/>
    <n v="6377"/>
    <n v="44"/>
    <n v="11"/>
    <n v="117753"/>
    <n v="83"/>
    <n v="46801"/>
    <n v="40"/>
    <n v="751"/>
    <n v="6336"/>
    <n v="37"/>
    <n v="11"/>
    <n v="116987"/>
    <n v="46682"/>
    <n v="83"/>
    <n v="33"/>
    <n v="-8"/>
    <n v="7"/>
    <x v="2"/>
    <n v="766"/>
    <n v="119"/>
    <n v="885"/>
    <n v="0.98934753661784292"/>
    <n v="41"/>
    <x v="31"/>
  </r>
  <r>
    <x v="31"/>
    <x v="5"/>
    <n v="10792"/>
    <n v="133"/>
    <n v="1442"/>
    <n v="9151"/>
    <n v="83"/>
    <n v="13"/>
    <n v="194985"/>
    <n v="201"/>
    <n v="93535"/>
    <n v="37"/>
    <n v="1336"/>
    <n v="9102"/>
    <n v="80"/>
    <n v="13"/>
    <n v="193006"/>
    <n v="93241"/>
    <n v="200"/>
    <n v="156"/>
    <n v="106"/>
    <n v="3"/>
    <x v="2"/>
    <n v="1979"/>
    <n v="294"/>
    <n v="2273"/>
    <n v="1.0793413173652695"/>
    <n v="49"/>
    <x v="31"/>
  </r>
  <r>
    <x v="31"/>
    <x v="6"/>
    <n v="12929"/>
    <n v="90"/>
    <n v="1146"/>
    <n v="11511"/>
    <n v="41"/>
    <n v="13"/>
    <n v="246582"/>
    <n v="273"/>
    <n v="58862"/>
    <n v="29"/>
    <n v="1113"/>
    <n v="11450"/>
    <n v="49"/>
    <n v="12"/>
    <n v="245275"/>
    <n v="58724"/>
    <n v="272"/>
    <n v="95"/>
    <n v="33"/>
    <n v="-8"/>
    <x v="0"/>
    <n v="1307"/>
    <n v="138"/>
    <n v="1445"/>
    <n v="1.0296495956873315"/>
    <n v="61"/>
    <x v="31"/>
  </r>
  <r>
    <x v="31"/>
    <x v="7"/>
    <n v="65750"/>
    <n v="590"/>
    <n v="6404"/>
    <n v="57925"/>
    <n v="342"/>
    <n v="57"/>
    <n v="1145403"/>
    <n v="1427"/>
    <n v="451733"/>
    <n v="298"/>
    <n v="5991"/>
    <n v="57660"/>
    <n v="342"/>
    <n v="56"/>
    <n v="1137651"/>
    <n v="450470"/>
    <n v="1421"/>
    <n v="684"/>
    <n v="413"/>
    <n v="0"/>
    <x v="0"/>
    <n v="7752"/>
    <n v="1263"/>
    <n v="9015"/>
    <n v="1.0689367384409949"/>
    <n v="265"/>
    <x v="31"/>
  </r>
  <r>
    <x v="32"/>
    <x v="0"/>
    <n v="14489"/>
    <n v="157"/>
    <n v="1470"/>
    <n v="12700"/>
    <n v="85"/>
    <n v="19"/>
    <n v="239718"/>
    <n v="324"/>
    <n v="78249"/>
    <n v="166"/>
    <n v="1377"/>
    <n v="12637"/>
    <n v="79"/>
    <n v="18"/>
    <n v="238580"/>
    <n v="78160"/>
    <n v="322"/>
    <n v="158"/>
    <n v="93"/>
    <n v="6"/>
    <x v="0"/>
    <n v="1138"/>
    <n v="89"/>
    <n v="1227"/>
    <n v="1.0675381263616557"/>
    <n v="63"/>
    <x v="32"/>
  </r>
  <r>
    <x v="32"/>
    <x v="1"/>
    <n v="4211"/>
    <n v="29"/>
    <n v="399"/>
    <n v="3718"/>
    <n v="44"/>
    <n v="3"/>
    <n v="79320"/>
    <n v="92"/>
    <n v="30418"/>
    <n v="52"/>
    <n v="387"/>
    <n v="3700"/>
    <n v="46"/>
    <n v="1"/>
    <n v="78862"/>
    <n v="30389"/>
    <n v="91"/>
    <n v="31"/>
    <n v="12"/>
    <n v="-2"/>
    <x v="1"/>
    <n v="458"/>
    <n v="29"/>
    <n v="487"/>
    <n v="1.0310077519379846"/>
    <n v="18"/>
    <x v="32"/>
  </r>
  <r>
    <x v="32"/>
    <x v="2"/>
    <n v="7460"/>
    <n v="63"/>
    <n v="619"/>
    <n v="6693"/>
    <n v="19"/>
    <n v="0"/>
    <n v="130505"/>
    <n v="145"/>
    <n v="75518"/>
    <n v="53"/>
    <n v="575"/>
    <n v="6668"/>
    <n v="18"/>
    <n v="0"/>
    <n v="129326"/>
    <n v="75446"/>
    <n v="145"/>
    <n v="69"/>
    <n v="44"/>
    <n v="1"/>
    <x v="2"/>
    <n v="1179"/>
    <n v="72"/>
    <n v="1251"/>
    <n v="1.0765217391304347"/>
    <n v="25"/>
    <x v="32"/>
  </r>
  <r>
    <x v="32"/>
    <x v="3"/>
    <n v="9007"/>
    <n v="71"/>
    <n v="764"/>
    <n v="7931"/>
    <n v="32"/>
    <n v="2"/>
    <n v="140160"/>
    <n v="312"/>
    <n v="68633"/>
    <n v="67"/>
    <n v="734"/>
    <n v="7881"/>
    <n v="31"/>
    <n v="1"/>
    <n v="139315"/>
    <n v="68540"/>
    <n v="312"/>
    <n v="80"/>
    <n v="30"/>
    <n v="1"/>
    <x v="0"/>
    <n v="845"/>
    <n v="93"/>
    <n v="938"/>
    <n v="1.0408719346049047"/>
    <n v="50"/>
    <x v="32"/>
  </r>
  <r>
    <x v="32"/>
    <x v="4"/>
    <n v="7250"/>
    <n v="45"/>
    <n v="735"/>
    <n v="6435"/>
    <n v="46"/>
    <n v="10"/>
    <n v="118495"/>
    <n v="83"/>
    <n v="46878"/>
    <n v="29"/>
    <n v="743"/>
    <n v="6377"/>
    <n v="44"/>
    <n v="11"/>
    <n v="117753"/>
    <n v="46801"/>
    <n v="83"/>
    <n v="50"/>
    <n v="-8"/>
    <n v="2"/>
    <x v="4"/>
    <n v="742"/>
    <n v="77"/>
    <n v="819"/>
    <n v="0.98923283983849264"/>
    <n v="58"/>
    <x v="32"/>
  </r>
  <r>
    <x v="32"/>
    <x v="5"/>
    <n v="10898"/>
    <n v="93"/>
    <n v="1453"/>
    <n v="9245"/>
    <n v="91"/>
    <n v="9"/>
    <n v="197078"/>
    <n v="202"/>
    <n v="93644"/>
    <n v="133"/>
    <n v="1442"/>
    <n v="9151"/>
    <n v="83"/>
    <n v="13"/>
    <n v="194985"/>
    <n v="93535"/>
    <n v="201"/>
    <n v="106"/>
    <n v="11"/>
    <n v="8"/>
    <x v="6"/>
    <n v="2093"/>
    <n v="109"/>
    <n v="2202"/>
    <n v="1.007628294036061"/>
    <n v="94"/>
    <x v="32"/>
  </r>
  <r>
    <x v="32"/>
    <x v="6"/>
    <n v="13113"/>
    <n v="181"/>
    <n v="1260"/>
    <n v="11581"/>
    <n v="45"/>
    <n v="14"/>
    <n v="248071"/>
    <n v="273"/>
    <n v="58939"/>
    <n v="90"/>
    <n v="1146"/>
    <n v="11511"/>
    <n v="41"/>
    <n v="13"/>
    <n v="246582"/>
    <n v="58862"/>
    <n v="273"/>
    <n v="184"/>
    <n v="114"/>
    <n v="4"/>
    <x v="0"/>
    <n v="1489"/>
    <n v="77"/>
    <n v="1566"/>
    <n v="1.0994764397905759"/>
    <n v="70"/>
    <x v="32"/>
  </r>
  <r>
    <x v="32"/>
    <x v="7"/>
    <n v="66428"/>
    <n v="639"/>
    <n v="6700"/>
    <n v="58303"/>
    <n v="362"/>
    <n v="57"/>
    <n v="1153347"/>
    <n v="1431"/>
    <n v="452279"/>
    <n v="590"/>
    <n v="6404"/>
    <n v="57925"/>
    <n v="342"/>
    <n v="57"/>
    <n v="1145403"/>
    <n v="451733"/>
    <n v="1427"/>
    <n v="678"/>
    <n v="296"/>
    <n v="20"/>
    <x v="2"/>
    <n v="7944"/>
    <n v="546"/>
    <n v="8490"/>
    <n v="1.0462211118051219"/>
    <n v="378"/>
    <x v="32"/>
  </r>
  <r>
    <x v="33"/>
    <x v="0"/>
    <n v="14640"/>
    <n v="124"/>
    <n v="1557"/>
    <n v="12764"/>
    <n v="88"/>
    <n v="21"/>
    <n v="240574"/>
    <n v="324"/>
    <n v="78450"/>
    <n v="157"/>
    <n v="1470"/>
    <n v="12700"/>
    <n v="85"/>
    <n v="19"/>
    <n v="239718"/>
    <n v="78249"/>
    <n v="324"/>
    <n v="151"/>
    <n v="87"/>
    <n v="3"/>
    <x v="1"/>
    <n v="856"/>
    <n v="201"/>
    <n v="1057"/>
    <n v="1.0591836734693878"/>
    <n v="64"/>
    <x v="33"/>
  </r>
  <r>
    <x v="33"/>
    <x v="1"/>
    <n v="4261"/>
    <n v="46"/>
    <n v="432"/>
    <n v="3735"/>
    <n v="43"/>
    <n v="3"/>
    <n v="79637"/>
    <n v="92"/>
    <n v="30461"/>
    <n v="29"/>
    <n v="399"/>
    <n v="3718"/>
    <n v="44"/>
    <n v="3"/>
    <n v="79320"/>
    <n v="30418"/>
    <n v="92"/>
    <n v="50"/>
    <n v="33"/>
    <n v="-1"/>
    <x v="2"/>
    <n v="317"/>
    <n v="43"/>
    <n v="360"/>
    <n v="1.0827067669172932"/>
    <n v="17"/>
    <x v="33"/>
  </r>
  <r>
    <x v="33"/>
    <x v="2"/>
    <n v="7502"/>
    <n v="34"/>
    <n v="626"/>
    <n v="6728"/>
    <n v="17"/>
    <n v="0"/>
    <n v="131040"/>
    <n v="145"/>
    <n v="75694"/>
    <n v="63"/>
    <n v="619"/>
    <n v="6693"/>
    <n v="19"/>
    <n v="0"/>
    <n v="130505"/>
    <n v="75518"/>
    <n v="145"/>
    <n v="42"/>
    <n v="7"/>
    <n v="-2"/>
    <x v="2"/>
    <n v="535"/>
    <n v="176"/>
    <n v="711"/>
    <n v="1.0113085621970921"/>
    <n v="35"/>
    <x v="33"/>
  </r>
  <r>
    <x v="33"/>
    <x v="3"/>
    <n v="9109"/>
    <n v="75"/>
    <n v="818"/>
    <n v="7978"/>
    <n v="32"/>
    <n v="2"/>
    <n v="140922"/>
    <n v="313"/>
    <n v="68887"/>
    <n v="71"/>
    <n v="764"/>
    <n v="7931"/>
    <n v="32"/>
    <n v="2"/>
    <n v="140160"/>
    <n v="68633"/>
    <n v="312"/>
    <n v="102"/>
    <n v="54"/>
    <n v="0"/>
    <x v="2"/>
    <n v="762"/>
    <n v="254"/>
    <n v="1016"/>
    <n v="1.0706806282722514"/>
    <n v="47"/>
    <x v="33"/>
  </r>
  <r>
    <x v="33"/>
    <x v="4"/>
    <n v="7305"/>
    <n v="51"/>
    <n v="717"/>
    <n v="6507"/>
    <n v="39"/>
    <n v="12"/>
    <n v="118973"/>
    <n v="84"/>
    <n v="46976"/>
    <n v="45"/>
    <n v="735"/>
    <n v="6435"/>
    <n v="46"/>
    <n v="10"/>
    <n v="118495"/>
    <n v="46878"/>
    <n v="83"/>
    <n v="55"/>
    <n v="-18"/>
    <n v="-7"/>
    <x v="1"/>
    <n v="478"/>
    <n v="98"/>
    <n v="576"/>
    <n v="0.97551020408163269"/>
    <n v="72"/>
    <x v="33"/>
  </r>
  <r>
    <x v="33"/>
    <x v="5"/>
    <n v="11077"/>
    <n v="139"/>
    <n v="1517"/>
    <n v="9360"/>
    <n v="92"/>
    <n v="9"/>
    <n v="199738"/>
    <n v="202"/>
    <n v="93851"/>
    <n v="93"/>
    <n v="1453"/>
    <n v="9245"/>
    <n v="91"/>
    <n v="9"/>
    <n v="197078"/>
    <n v="93644"/>
    <n v="202"/>
    <n v="179"/>
    <n v="64"/>
    <n v="1"/>
    <x v="2"/>
    <n v="2660"/>
    <n v="207"/>
    <n v="2867"/>
    <n v="1.0440467997247076"/>
    <n v="115"/>
    <x v="33"/>
  </r>
  <r>
    <x v="33"/>
    <x v="6"/>
    <n v="13191"/>
    <n v="66"/>
    <n v="1222"/>
    <n v="11694"/>
    <n v="39"/>
    <n v="16"/>
    <n v="248732"/>
    <n v="276"/>
    <n v="59037"/>
    <n v="181"/>
    <n v="1260"/>
    <n v="11581"/>
    <n v="45"/>
    <n v="14"/>
    <n v="248071"/>
    <n v="58939"/>
    <n v="273"/>
    <n v="78"/>
    <n v="-38"/>
    <n v="-6"/>
    <x v="1"/>
    <n v="661"/>
    <n v="98"/>
    <n v="759"/>
    <n v="0.96984126984126984"/>
    <n v="113"/>
    <x v="33"/>
  </r>
  <r>
    <x v="33"/>
    <x v="7"/>
    <n v="67085"/>
    <n v="535"/>
    <n v="6889"/>
    <n v="58766"/>
    <n v="350"/>
    <n v="63"/>
    <n v="1159616"/>
    <n v="1436"/>
    <n v="453356"/>
    <n v="639"/>
    <n v="6700"/>
    <n v="58303"/>
    <n v="362"/>
    <n v="57"/>
    <n v="1153347"/>
    <n v="452279"/>
    <n v="1431"/>
    <n v="657"/>
    <n v="189"/>
    <n v="-12"/>
    <x v="12"/>
    <n v="6269"/>
    <n v="1077"/>
    <n v="7346"/>
    <n v="1.0282089552238807"/>
    <n v="463"/>
    <x v="33"/>
  </r>
  <r>
    <x v="34"/>
    <x v="0"/>
    <n v="14839"/>
    <n v="171"/>
    <n v="1696"/>
    <n v="12822"/>
    <n v="84"/>
    <n v="18"/>
    <n v="242068"/>
    <n v="326"/>
    <n v="78718"/>
    <n v="124"/>
    <n v="1557"/>
    <n v="12764"/>
    <n v="88"/>
    <n v="21"/>
    <n v="240574"/>
    <n v="78450"/>
    <n v="324"/>
    <n v="199"/>
    <n v="139"/>
    <n v="-4"/>
    <x v="10"/>
    <n v="1494"/>
    <n v="268"/>
    <n v="1762"/>
    <n v="1.0892742453436095"/>
    <n v="58"/>
    <x v="34"/>
  </r>
  <r>
    <x v="34"/>
    <x v="1"/>
    <n v="4294"/>
    <n v="28"/>
    <n v="437"/>
    <n v="3762"/>
    <n v="35"/>
    <n v="4"/>
    <n v="80005"/>
    <n v="93"/>
    <n v="30507"/>
    <n v="46"/>
    <n v="432"/>
    <n v="3735"/>
    <n v="43"/>
    <n v="3"/>
    <n v="79637"/>
    <n v="30461"/>
    <n v="92"/>
    <n v="33"/>
    <n v="5"/>
    <n v="-8"/>
    <x v="0"/>
    <n v="368"/>
    <n v="46"/>
    <n v="414"/>
    <n v="1.0115740740740742"/>
    <n v="27"/>
    <x v="34"/>
  </r>
  <r>
    <x v="34"/>
    <x v="2"/>
    <n v="7598"/>
    <n v="87"/>
    <n v="699"/>
    <n v="6750"/>
    <n v="18"/>
    <n v="0"/>
    <n v="131831"/>
    <n v="146"/>
    <n v="75975"/>
    <n v="34"/>
    <n v="626"/>
    <n v="6728"/>
    <n v="17"/>
    <n v="0"/>
    <n v="131040"/>
    <n v="75694"/>
    <n v="145"/>
    <n v="96"/>
    <n v="73"/>
    <n v="1"/>
    <x v="2"/>
    <n v="791"/>
    <n v="281"/>
    <n v="1072"/>
    <n v="1.1166134185303513"/>
    <n v="22"/>
    <x v="34"/>
  </r>
  <r>
    <x v="34"/>
    <x v="3"/>
    <n v="9209"/>
    <n v="79"/>
    <n v="856"/>
    <n v="8040"/>
    <n v="30"/>
    <n v="3"/>
    <n v="142045"/>
    <n v="313"/>
    <n v="69256"/>
    <n v="75"/>
    <n v="818"/>
    <n v="7978"/>
    <n v="32"/>
    <n v="2"/>
    <n v="140922"/>
    <n v="68887"/>
    <n v="313"/>
    <n v="100"/>
    <n v="38"/>
    <n v="-2"/>
    <x v="0"/>
    <n v="1123"/>
    <n v="369"/>
    <n v="1492"/>
    <n v="1.0464547677261613"/>
    <n v="62"/>
    <x v="34"/>
  </r>
  <r>
    <x v="34"/>
    <x v="4"/>
    <n v="7368"/>
    <n v="55"/>
    <n v="724"/>
    <n v="6563"/>
    <n v="40"/>
    <n v="12"/>
    <n v="119477"/>
    <n v="84"/>
    <n v="47095"/>
    <n v="51"/>
    <n v="717"/>
    <n v="6507"/>
    <n v="39"/>
    <n v="12"/>
    <n v="118973"/>
    <n v="46976"/>
    <n v="84"/>
    <n v="63"/>
    <n v="7"/>
    <n v="1"/>
    <x v="2"/>
    <n v="504"/>
    <n v="119"/>
    <n v="623"/>
    <n v="1.0097629009762901"/>
    <n v="56"/>
    <x v="34"/>
  </r>
  <r>
    <x v="34"/>
    <x v="5"/>
    <n v="11280"/>
    <n v="169"/>
    <n v="1650"/>
    <n v="9430"/>
    <n v="94"/>
    <n v="8"/>
    <n v="201981"/>
    <n v="202"/>
    <n v="94266"/>
    <n v="139"/>
    <n v="1517"/>
    <n v="9360"/>
    <n v="92"/>
    <n v="9"/>
    <n v="199738"/>
    <n v="93851"/>
    <n v="202"/>
    <n v="203"/>
    <n v="133"/>
    <n v="2"/>
    <x v="4"/>
    <n v="2243"/>
    <n v="415"/>
    <n v="2658"/>
    <n v="1.0876730388925511"/>
    <n v="70"/>
    <x v="34"/>
  </r>
  <r>
    <x v="34"/>
    <x v="6"/>
    <n v="13411"/>
    <n v="209"/>
    <n v="1330"/>
    <n v="11805"/>
    <n v="41"/>
    <n v="18"/>
    <n v="250599"/>
    <n v="277"/>
    <n v="59226"/>
    <n v="66"/>
    <n v="1222"/>
    <n v="11694"/>
    <n v="39"/>
    <n v="16"/>
    <n v="248732"/>
    <n v="59037"/>
    <n v="276"/>
    <n v="220"/>
    <n v="108"/>
    <n v="2"/>
    <x v="1"/>
    <n v="1867"/>
    <n v="189"/>
    <n v="2056"/>
    <n v="1.0883797054009821"/>
    <n v="111"/>
    <x v="34"/>
  </r>
  <r>
    <x v="34"/>
    <x v="7"/>
    <n v="67999"/>
    <n v="798"/>
    <n v="7392"/>
    <n v="59172"/>
    <n v="342"/>
    <n v="63"/>
    <n v="1168006"/>
    <n v="1441"/>
    <n v="455043"/>
    <n v="535"/>
    <n v="6889"/>
    <n v="58766"/>
    <n v="350"/>
    <n v="63"/>
    <n v="1159616"/>
    <n v="453356"/>
    <n v="1436"/>
    <n v="914"/>
    <n v="503"/>
    <n v="-8"/>
    <x v="2"/>
    <n v="8390"/>
    <n v="1687"/>
    <n v="10077"/>
    <n v="1.0730149513717522"/>
    <n v="406"/>
    <x v="34"/>
  </r>
  <r>
    <x v="35"/>
    <x v="0"/>
    <n v="15023"/>
    <n v="177"/>
    <n v="1831"/>
    <n v="12871"/>
    <n v="83"/>
    <n v="18"/>
    <n v="243463"/>
    <n v="327"/>
    <n v="78812"/>
    <n v="171"/>
    <n v="1696"/>
    <n v="12822"/>
    <n v="84"/>
    <n v="18"/>
    <n v="242068"/>
    <n v="78718"/>
    <n v="326"/>
    <n v="184"/>
    <n v="135"/>
    <n v="-1"/>
    <x v="2"/>
    <n v="1395"/>
    <n v="94"/>
    <n v="1489"/>
    <n v="1.0795990566037736"/>
    <n v="49"/>
    <x v="35"/>
  </r>
  <r>
    <x v="35"/>
    <x v="1"/>
    <n v="4358"/>
    <n v="61"/>
    <n v="491"/>
    <n v="3772"/>
    <n v="43"/>
    <n v="3"/>
    <n v="80740"/>
    <n v="93"/>
    <n v="30543"/>
    <n v="28"/>
    <n v="437"/>
    <n v="3762"/>
    <n v="35"/>
    <n v="4"/>
    <n v="80005"/>
    <n v="30507"/>
    <n v="93"/>
    <n v="64"/>
    <n v="54"/>
    <n v="8"/>
    <x v="4"/>
    <n v="735"/>
    <n v="36"/>
    <n v="771"/>
    <n v="1.1235697940503433"/>
    <n v="10"/>
    <x v="35"/>
  </r>
  <r>
    <x v="35"/>
    <x v="2"/>
    <n v="7673"/>
    <n v="71"/>
    <n v="751"/>
    <n v="6773"/>
    <n v="20"/>
    <n v="2"/>
    <n v="132730"/>
    <n v="146"/>
    <n v="76051"/>
    <n v="87"/>
    <n v="699"/>
    <n v="6750"/>
    <n v="18"/>
    <n v="0"/>
    <n v="131831"/>
    <n v="75975"/>
    <n v="146"/>
    <n v="75"/>
    <n v="52"/>
    <n v="2"/>
    <x v="1"/>
    <n v="899"/>
    <n v="76"/>
    <n v="975"/>
    <n v="1.0743919885550788"/>
    <n v="23"/>
    <x v="35"/>
  </r>
  <r>
    <x v="35"/>
    <x v="3"/>
    <n v="9319"/>
    <n v="88"/>
    <n v="947"/>
    <n v="8058"/>
    <n v="37"/>
    <n v="3"/>
    <n v="143165"/>
    <n v="314"/>
    <n v="69514"/>
    <n v="79"/>
    <n v="856"/>
    <n v="8040"/>
    <n v="30"/>
    <n v="3"/>
    <n v="142045"/>
    <n v="69256"/>
    <n v="313"/>
    <n v="110"/>
    <n v="91"/>
    <n v="7"/>
    <x v="2"/>
    <n v="1120"/>
    <n v="258"/>
    <n v="1378"/>
    <n v="1.1063084112149533"/>
    <n v="18"/>
    <x v="35"/>
  </r>
  <r>
    <x v="35"/>
    <x v="4"/>
    <n v="7418"/>
    <n v="43"/>
    <n v="736"/>
    <n v="6599"/>
    <n v="38"/>
    <n v="12"/>
    <n v="120151"/>
    <n v="86"/>
    <n v="47192"/>
    <n v="55"/>
    <n v="724"/>
    <n v="6563"/>
    <n v="40"/>
    <n v="12"/>
    <n v="119477"/>
    <n v="47095"/>
    <n v="84"/>
    <n v="50"/>
    <n v="12"/>
    <n v="-2"/>
    <x v="2"/>
    <n v="674"/>
    <n v="97"/>
    <n v="771"/>
    <n v="1.0165745856353592"/>
    <n v="36"/>
    <x v="35"/>
  </r>
  <r>
    <x v="35"/>
    <x v="5"/>
    <n v="11378"/>
    <n v="88"/>
    <n v="1642"/>
    <n v="9536"/>
    <n v="98"/>
    <n v="7"/>
    <n v="204277"/>
    <n v="202"/>
    <n v="94457"/>
    <n v="169"/>
    <n v="1650"/>
    <n v="9430"/>
    <n v="94"/>
    <n v="8"/>
    <n v="201981"/>
    <n v="94266"/>
    <n v="202"/>
    <n v="98"/>
    <n v="-8"/>
    <n v="4"/>
    <x v="4"/>
    <n v="2296"/>
    <n v="191"/>
    <n v="2487"/>
    <n v="0.99515151515151512"/>
    <n v="106"/>
    <x v="35"/>
  </r>
  <r>
    <x v="35"/>
    <x v="6"/>
    <n v="13547"/>
    <n v="133"/>
    <n v="1397"/>
    <n v="11874"/>
    <n v="41"/>
    <n v="16"/>
    <n v="252346"/>
    <n v="277"/>
    <n v="59305"/>
    <n v="209"/>
    <n v="1330"/>
    <n v="11805"/>
    <n v="41"/>
    <n v="18"/>
    <n v="250599"/>
    <n v="59226"/>
    <n v="277"/>
    <n v="136"/>
    <n v="67"/>
    <n v="0"/>
    <x v="5"/>
    <n v="1747"/>
    <n v="79"/>
    <n v="1826"/>
    <n v="1.050375939849624"/>
    <n v="69"/>
    <x v="35"/>
  </r>
  <r>
    <x v="35"/>
    <x v="7"/>
    <n v="68716"/>
    <n v="661"/>
    <n v="7795"/>
    <n v="59483"/>
    <n v="360"/>
    <n v="61"/>
    <n v="1176872"/>
    <n v="1445"/>
    <n v="455874"/>
    <n v="798"/>
    <n v="7392"/>
    <n v="59172"/>
    <n v="342"/>
    <n v="63"/>
    <n v="1168006"/>
    <n v="455043"/>
    <n v="1441"/>
    <n v="717"/>
    <n v="403"/>
    <n v="18"/>
    <x v="5"/>
    <n v="8866"/>
    <n v="831"/>
    <n v="9697"/>
    <n v="1.0545183982683983"/>
    <n v="311"/>
    <x v="35"/>
  </r>
  <r>
    <x v="36"/>
    <x v="0"/>
    <n v="15181"/>
    <n v="151"/>
    <n v="1944"/>
    <n v="12916"/>
    <n v="93"/>
    <n v="21"/>
    <n v="244567"/>
    <n v="327"/>
    <n v="78963"/>
    <n v="177"/>
    <n v="1831"/>
    <n v="12871"/>
    <n v="83"/>
    <n v="18"/>
    <n v="243463"/>
    <n v="78812"/>
    <n v="327"/>
    <n v="158"/>
    <n v="113"/>
    <n v="10"/>
    <x v="3"/>
    <n v="1104"/>
    <n v="151"/>
    <n v="1255"/>
    <n v="1.0617149098853085"/>
    <n v="45"/>
    <x v="36"/>
  </r>
  <r>
    <x v="36"/>
    <x v="1"/>
    <n v="4445"/>
    <n v="86"/>
    <n v="567"/>
    <n v="3783"/>
    <n v="54"/>
    <n v="6"/>
    <n v="81369"/>
    <n v="93"/>
    <n v="30566"/>
    <n v="61"/>
    <n v="491"/>
    <n v="3772"/>
    <n v="43"/>
    <n v="3"/>
    <n v="80740"/>
    <n v="30543"/>
    <n v="93"/>
    <n v="87"/>
    <n v="76"/>
    <n v="11"/>
    <x v="3"/>
    <n v="629"/>
    <n v="23"/>
    <n v="652"/>
    <n v="1.154786150712831"/>
    <n v="11"/>
    <x v="36"/>
  </r>
  <r>
    <x v="36"/>
    <x v="2"/>
    <n v="7730"/>
    <n v="50"/>
    <n v="778"/>
    <n v="6802"/>
    <n v="21"/>
    <n v="3"/>
    <n v="133652"/>
    <n v="147"/>
    <n v="76110"/>
    <n v="71"/>
    <n v="751"/>
    <n v="6773"/>
    <n v="20"/>
    <n v="2"/>
    <n v="132730"/>
    <n v="76051"/>
    <n v="146"/>
    <n v="57"/>
    <n v="27"/>
    <n v="1"/>
    <x v="0"/>
    <n v="922"/>
    <n v="59"/>
    <n v="981"/>
    <n v="1.0359520639147803"/>
    <n v="29"/>
    <x v="36"/>
  </r>
  <r>
    <x v="36"/>
    <x v="3"/>
    <n v="9433"/>
    <n v="89"/>
    <n v="1040"/>
    <n v="8078"/>
    <n v="42"/>
    <n v="3"/>
    <n v="144529"/>
    <n v="315"/>
    <n v="69623"/>
    <n v="88"/>
    <n v="947"/>
    <n v="8058"/>
    <n v="37"/>
    <n v="3"/>
    <n v="143165"/>
    <n v="69514"/>
    <n v="314"/>
    <n v="114"/>
    <n v="93"/>
    <n v="5"/>
    <x v="2"/>
    <n v="1364"/>
    <n v="109"/>
    <n v="1473"/>
    <n v="1.0982048574445618"/>
    <n v="20"/>
    <x v="36"/>
  </r>
  <r>
    <x v="36"/>
    <x v="4"/>
    <n v="7485"/>
    <n v="66"/>
    <n v="758"/>
    <n v="6644"/>
    <n v="44"/>
    <n v="11"/>
    <n v="120500"/>
    <n v="87"/>
    <n v="47268"/>
    <n v="43"/>
    <n v="736"/>
    <n v="6599"/>
    <n v="38"/>
    <n v="12"/>
    <n v="120151"/>
    <n v="47192"/>
    <n v="86"/>
    <n v="67"/>
    <n v="22"/>
    <n v="6"/>
    <x v="4"/>
    <n v="349"/>
    <n v="76"/>
    <n v="425"/>
    <n v="1.0298913043478262"/>
    <n v="45"/>
    <x v="36"/>
  </r>
  <r>
    <x v="36"/>
    <x v="5"/>
    <n v="11477"/>
    <n v="74"/>
    <n v="1679"/>
    <n v="9596"/>
    <n v="101"/>
    <n v="8"/>
    <n v="206256"/>
    <n v="204"/>
    <n v="94568"/>
    <n v="88"/>
    <n v="1642"/>
    <n v="9536"/>
    <n v="98"/>
    <n v="7"/>
    <n v="204277"/>
    <n v="94457"/>
    <n v="202"/>
    <n v="99"/>
    <n v="37"/>
    <n v="3"/>
    <x v="0"/>
    <n v="1979"/>
    <n v="111"/>
    <n v="2090"/>
    <n v="1.0225334957369061"/>
    <n v="60"/>
    <x v="36"/>
  </r>
  <r>
    <x v="36"/>
    <x v="6"/>
    <n v="13667"/>
    <n v="111"/>
    <n v="1484"/>
    <n v="11906"/>
    <n v="42"/>
    <n v="19"/>
    <n v="254048"/>
    <n v="277"/>
    <n v="59344"/>
    <n v="133"/>
    <n v="1397"/>
    <n v="11874"/>
    <n v="41"/>
    <n v="16"/>
    <n v="252346"/>
    <n v="59305"/>
    <n v="277"/>
    <n v="120"/>
    <n v="87"/>
    <n v="1"/>
    <x v="3"/>
    <n v="1702"/>
    <n v="39"/>
    <n v="1741"/>
    <n v="1.0622763063707945"/>
    <n v="32"/>
    <x v="36"/>
  </r>
  <r>
    <x v="36"/>
    <x v="7"/>
    <n v="69418"/>
    <n v="627"/>
    <n v="8250"/>
    <n v="59725"/>
    <n v="397"/>
    <n v="71"/>
    <n v="1184921"/>
    <n v="1450"/>
    <n v="456442"/>
    <n v="661"/>
    <n v="7795"/>
    <n v="59483"/>
    <n v="360"/>
    <n v="61"/>
    <n v="1176872"/>
    <n v="455874"/>
    <n v="1445"/>
    <n v="702"/>
    <n v="455"/>
    <n v="37"/>
    <x v="13"/>
    <n v="8049"/>
    <n v="568"/>
    <n v="8617"/>
    <n v="1.0583707504810775"/>
    <n v="242"/>
    <x v="36"/>
  </r>
  <r>
    <x v="37"/>
    <x v="0"/>
    <n v="15360"/>
    <n v="144"/>
    <n v="2064"/>
    <n v="12973"/>
    <n v="95"/>
    <n v="22"/>
    <n v="245390"/>
    <n v="329"/>
    <n v="79413"/>
    <n v="151"/>
    <n v="1944"/>
    <n v="12916"/>
    <n v="93"/>
    <n v="21"/>
    <n v="244567"/>
    <n v="78963"/>
    <n v="327"/>
    <n v="179"/>
    <n v="120"/>
    <n v="2"/>
    <x v="0"/>
    <n v="823"/>
    <n v="450"/>
    <n v="1273"/>
    <n v="1.0617283950617284"/>
    <n v="57"/>
    <x v="37"/>
  </r>
  <r>
    <x v="37"/>
    <x v="1"/>
    <n v="4496"/>
    <n v="49"/>
    <n v="598"/>
    <n v="3800"/>
    <n v="62"/>
    <n v="5"/>
    <n v="81907"/>
    <n v="96"/>
    <n v="30633"/>
    <n v="86"/>
    <n v="567"/>
    <n v="3783"/>
    <n v="54"/>
    <n v="6"/>
    <n v="81369"/>
    <n v="30566"/>
    <n v="93"/>
    <n v="51"/>
    <n v="31"/>
    <n v="8"/>
    <x v="4"/>
    <n v="538"/>
    <n v="67"/>
    <n v="605"/>
    <n v="1.0546737213403881"/>
    <n v="17"/>
    <x v="37"/>
  </r>
  <r>
    <x v="37"/>
    <x v="2"/>
    <n v="7777"/>
    <n v="38"/>
    <n v="810"/>
    <n v="6815"/>
    <n v="25"/>
    <n v="2"/>
    <n v="134704"/>
    <n v="148"/>
    <n v="76350"/>
    <n v="50"/>
    <n v="778"/>
    <n v="6802"/>
    <n v="21"/>
    <n v="3"/>
    <n v="133652"/>
    <n v="76110"/>
    <n v="147"/>
    <n v="47"/>
    <n v="32"/>
    <n v="4"/>
    <x v="4"/>
    <n v="1052"/>
    <n v="240"/>
    <n v="1292"/>
    <n v="1.0411311053984575"/>
    <n v="13"/>
    <x v="37"/>
  </r>
  <r>
    <x v="37"/>
    <x v="3"/>
    <n v="9557"/>
    <n v="98"/>
    <n v="1140"/>
    <n v="8101"/>
    <n v="44"/>
    <n v="4"/>
    <n v="145561"/>
    <n v="316"/>
    <n v="69872"/>
    <n v="89"/>
    <n v="1040"/>
    <n v="8078"/>
    <n v="42"/>
    <n v="3"/>
    <n v="144529"/>
    <n v="69623"/>
    <n v="315"/>
    <n v="124"/>
    <n v="100"/>
    <n v="2"/>
    <x v="0"/>
    <n v="1032"/>
    <n v="249"/>
    <n v="1281"/>
    <n v="1.0961538461538463"/>
    <n v="23"/>
    <x v="37"/>
  </r>
  <r>
    <x v="37"/>
    <x v="4"/>
    <n v="7580"/>
    <n v="79"/>
    <n v="809"/>
    <n v="6687"/>
    <n v="45"/>
    <n v="10"/>
    <n v="120914"/>
    <n v="88"/>
    <n v="47435"/>
    <n v="66"/>
    <n v="758"/>
    <n v="6644"/>
    <n v="44"/>
    <n v="11"/>
    <n v="120500"/>
    <n v="47268"/>
    <n v="87"/>
    <n v="95"/>
    <n v="51"/>
    <n v="1"/>
    <x v="4"/>
    <n v="414"/>
    <n v="167"/>
    <n v="581"/>
    <n v="1.067282321899736"/>
    <n v="43"/>
    <x v="37"/>
  </r>
  <r>
    <x v="37"/>
    <x v="5"/>
    <n v="11677"/>
    <n v="171"/>
    <n v="1810"/>
    <n v="9664"/>
    <n v="105"/>
    <n v="7"/>
    <n v="207313"/>
    <n v="206"/>
    <n v="94818"/>
    <n v="74"/>
    <n v="1679"/>
    <n v="9596"/>
    <n v="101"/>
    <n v="8"/>
    <n v="206256"/>
    <n v="94568"/>
    <n v="204"/>
    <n v="200"/>
    <n v="131"/>
    <n v="4"/>
    <x v="4"/>
    <n v="1057"/>
    <n v="250"/>
    <n v="1307"/>
    <n v="1.0780226325193567"/>
    <n v="68"/>
    <x v="37"/>
  </r>
  <r>
    <x v="37"/>
    <x v="6"/>
    <n v="13815"/>
    <n v="140"/>
    <n v="1579"/>
    <n v="11957"/>
    <n v="45"/>
    <n v="20"/>
    <n v="255364"/>
    <n v="279"/>
    <n v="59450"/>
    <n v="111"/>
    <n v="1484"/>
    <n v="11906"/>
    <n v="42"/>
    <n v="19"/>
    <n v="254048"/>
    <n v="59344"/>
    <n v="277"/>
    <n v="148"/>
    <n v="95"/>
    <n v="3"/>
    <x v="0"/>
    <n v="1316"/>
    <n v="106"/>
    <n v="1422"/>
    <n v="1.0640161725067385"/>
    <n v="51"/>
    <x v="37"/>
  </r>
  <r>
    <x v="37"/>
    <x v="7"/>
    <n v="70262"/>
    <n v="719"/>
    <n v="8810"/>
    <n v="59997"/>
    <n v="421"/>
    <n v="70"/>
    <n v="1191153"/>
    <n v="1462"/>
    <n v="457971"/>
    <n v="627"/>
    <n v="8250"/>
    <n v="59725"/>
    <n v="397"/>
    <n v="71"/>
    <n v="1184921"/>
    <n v="456442"/>
    <n v="1450"/>
    <n v="844"/>
    <n v="560"/>
    <n v="24"/>
    <x v="4"/>
    <n v="6232"/>
    <n v="1529"/>
    <n v="7761"/>
    <n v="1.0678787878787879"/>
    <n v="272"/>
    <x v="37"/>
  </r>
  <r>
    <x v="38"/>
    <x v="0"/>
    <n v="15616"/>
    <n v="229"/>
    <n v="2260"/>
    <n v="13031"/>
    <n v="108"/>
    <n v="22"/>
    <n v="247114"/>
    <n v="331"/>
    <n v="79691"/>
    <n v="144"/>
    <n v="2064"/>
    <n v="12973"/>
    <n v="95"/>
    <n v="22"/>
    <n v="245390"/>
    <n v="79413"/>
    <n v="329"/>
    <n v="256"/>
    <n v="196"/>
    <n v="13"/>
    <x v="2"/>
    <n v="1724"/>
    <n v="278"/>
    <n v="2002"/>
    <n v="1.0949612403100775"/>
    <n v="58"/>
    <x v="38"/>
  </r>
  <r>
    <x v="38"/>
    <x v="1"/>
    <n v="4570"/>
    <n v="71"/>
    <n v="659"/>
    <n v="3813"/>
    <n v="74"/>
    <n v="5"/>
    <n v="82576"/>
    <n v="96"/>
    <n v="30702"/>
    <n v="49"/>
    <n v="598"/>
    <n v="3800"/>
    <n v="62"/>
    <n v="5"/>
    <n v="81907"/>
    <n v="30633"/>
    <n v="96"/>
    <n v="74"/>
    <n v="61"/>
    <n v="12"/>
    <x v="2"/>
    <n v="669"/>
    <n v="69"/>
    <n v="738"/>
    <n v="1.1020066889632107"/>
    <n v="13"/>
    <x v="38"/>
  </r>
  <r>
    <x v="38"/>
    <x v="2"/>
    <n v="7881"/>
    <n v="90"/>
    <n v="890"/>
    <n v="6838"/>
    <n v="28"/>
    <n v="4"/>
    <n v="136017"/>
    <n v="148"/>
    <n v="76690"/>
    <n v="38"/>
    <n v="810"/>
    <n v="6815"/>
    <n v="25"/>
    <n v="2"/>
    <n v="134704"/>
    <n v="76350"/>
    <n v="148"/>
    <n v="104"/>
    <n v="80"/>
    <n v="3"/>
    <x v="1"/>
    <n v="1313"/>
    <n v="340"/>
    <n v="1653"/>
    <n v="1.0987654320987654"/>
    <n v="23"/>
    <x v="38"/>
  </r>
  <r>
    <x v="38"/>
    <x v="3"/>
    <n v="9692"/>
    <n v="118"/>
    <n v="1232"/>
    <n v="8144"/>
    <n v="44"/>
    <n v="4"/>
    <n v="146929"/>
    <n v="316"/>
    <n v="70172"/>
    <n v="98"/>
    <n v="1140"/>
    <n v="8101"/>
    <n v="44"/>
    <n v="4"/>
    <n v="145561"/>
    <n v="69872"/>
    <n v="316"/>
    <n v="135"/>
    <n v="92"/>
    <n v="0"/>
    <x v="2"/>
    <n v="1368"/>
    <n v="300"/>
    <n v="1668"/>
    <n v="1.0807017543859649"/>
    <n v="43"/>
    <x v="38"/>
  </r>
  <r>
    <x v="38"/>
    <x v="4"/>
    <n v="7642"/>
    <n v="61"/>
    <n v="832"/>
    <n v="6726"/>
    <n v="47"/>
    <n v="10"/>
    <n v="121546"/>
    <n v="88"/>
    <n v="47570"/>
    <n v="79"/>
    <n v="809"/>
    <n v="6687"/>
    <n v="45"/>
    <n v="10"/>
    <n v="120914"/>
    <n v="47435"/>
    <n v="88"/>
    <n v="62"/>
    <n v="23"/>
    <n v="2"/>
    <x v="2"/>
    <n v="632"/>
    <n v="135"/>
    <n v="767"/>
    <n v="1.0284301606922126"/>
    <n v="39"/>
    <x v="38"/>
  </r>
  <r>
    <x v="38"/>
    <x v="5"/>
    <n v="11872"/>
    <n v="149"/>
    <n v="1886"/>
    <n v="9775"/>
    <n v="93"/>
    <n v="6"/>
    <n v="209553"/>
    <n v="215"/>
    <n v="95267"/>
    <n v="171"/>
    <n v="1810"/>
    <n v="9664"/>
    <n v="105"/>
    <n v="7"/>
    <n v="207313"/>
    <n v="94818"/>
    <n v="206"/>
    <n v="195"/>
    <n v="76"/>
    <n v="-12"/>
    <x v="4"/>
    <n v="2240"/>
    <n v="449"/>
    <n v="2689"/>
    <n v="1.0419889502762432"/>
    <n v="111"/>
    <x v="38"/>
  </r>
  <r>
    <x v="38"/>
    <x v="6"/>
    <n v="14036"/>
    <n v="210"/>
    <n v="1720"/>
    <n v="12036"/>
    <n v="44"/>
    <n v="22"/>
    <n v="257339"/>
    <n v="280"/>
    <n v="59668"/>
    <n v="140"/>
    <n v="1579"/>
    <n v="11957"/>
    <n v="45"/>
    <n v="20"/>
    <n v="255364"/>
    <n v="59450"/>
    <n v="279"/>
    <n v="221"/>
    <n v="141"/>
    <n v="-1"/>
    <x v="1"/>
    <n v="1975"/>
    <n v="218"/>
    <n v="2193"/>
    <n v="1.0892970234325523"/>
    <n v="79"/>
    <x v="38"/>
  </r>
  <r>
    <x v="38"/>
    <x v="7"/>
    <n v="71309"/>
    <n v="928"/>
    <n v="9479"/>
    <n v="60363"/>
    <n v="438"/>
    <n v="73"/>
    <n v="1201074"/>
    <n v="1474"/>
    <n v="459760"/>
    <n v="719"/>
    <n v="8810"/>
    <n v="59997"/>
    <n v="421"/>
    <n v="70"/>
    <n v="1191153"/>
    <n v="457971"/>
    <n v="1462"/>
    <n v="1047"/>
    <n v="669"/>
    <n v="17"/>
    <x v="3"/>
    <n v="9921"/>
    <n v="1789"/>
    <n v="11710"/>
    <n v="1.0759364358683314"/>
    <n v="366"/>
    <x v="38"/>
  </r>
  <r>
    <x v="39"/>
    <x v="0"/>
    <n v="15914"/>
    <n v="256"/>
    <n v="2469"/>
    <n v="13119"/>
    <n v="123"/>
    <n v="27"/>
    <n v="249368"/>
    <n v="333"/>
    <n v="80099"/>
    <n v="229"/>
    <n v="2260"/>
    <n v="13031"/>
    <n v="108"/>
    <n v="22"/>
    <n v="247114"/>
    <n v="79691"/>
    <n v="331"/>
    <n v="298"/>
    <n v="209"/>
    <n v="15"/>
    <x v="11"/>
    <n v="2254"/>
    <n v="408"/>
    <n v="2662"/>
    <n v="1.0924778761061946"/>
    <n v="88"/>
    <x v="39"/>
  </r>
  <r>
    <x v="39"/>
    <x v="1"/>
    <n v="4638"/>
    <n v="61"/>
    <n v="710"/>
    <n v="3830"/>
    <n v="73"/>
    <n v="6"/>
    <n v="83246"/>
    <n v="96"/>
    <n v="30746"/>
    <n v="71"/>
    <n v="659"/>
    <n v="3813"/>
    <n v="74"/>
    <n v="5"/>
    <n v="82576"/>
    <n v="30702"/>
    <n v="96"/>
    <n v="68"/>
    <n v="51"/>
    <n v="-1"/>
    <x v="0"/>
    <n v="670"/>
    <n v="44"/>
    <n v="714"/>
    <n v="1.0773899848254931"/>
    <n v="17"/>
    <x v="39"/>
  </r>
  <r>
    <x v="39"/>
    <x v="2"/>
    <n v="7980"/>
    <n v="97"/>
    <n v="945"/>
    <n v="6881"/>
    <n v="31"/>
    <n v="3"/>
    <n v="137147"/>
    <n v="149"/>
    <n v="76890"/>
    <n v="90"/>
    <n v="890"/>
    <n v="6838"/>
    <n v="28"/>
    <n v="4"/>
    <n v="136017"/>
    <n v="76690"/>
    <n v="148"/>
    <n v="99"/>
    <n v="55"/>
    <n v="3"/>
    <x v="4"/>
    <n v="1130"/>
    <n v="200"/>
    <n v="1330"/>
    <n v="1.0617977528089888"/>
    <n v="43"/>
    <x v="39"/>
  </r>
  <r>
    <x v="39"/>
    <x v="3"/>
    <n v="9856"/>
    <n v="125"/>
    <n v="1348"/>
    <n v="8191"/>
    <n v="46"/>
    <n v="7"/>
    <n v="148464"/>
    <n v="317"/>
    <n v="70434"/>
    <n v="118"/>
    <n v="1232"/>
    <n v="8144"/>
    <n v="44"/>
    <n v="4"/>
    <n v="146929"/>
    <n v="70172"/>
    <n v="316"/>
    <n v="164"/>
    <n v="116"/>
    <n v="2"/>
    <x v="3"/>
    <n v="1535"/>
    <n v="262"/>
    <n v="1797"/>
    <n v="1.0941558441558441"/>
    <n v="47"/>
    <x v="39"/>
  </r>
  <r>
    <x v="39"/>
    <x v="4"/>
    <n v="7727"/>
    <n v="75"/>
    <n v="867"/>
    <n v="6775"/>
    <n v="51"/>
    <n v="9"/>
    <n v="122322"/>
    <n v="89"/>
    <n v="47705"/>
    <n v="61"/>
    <n v="832"/>
    <n v="6726"/>
    <n v="47"/>
    <n v="10"/>
    <n v="121546"/>
    <n v="47570"/>
    <n v="88"/>
    <n v="85"/>
    <n v="35"/>
    <n v="4"/>
    <x v="4"/>
    <n v="776"/>
    <n v="135"/>
    <n v="911"/>
    <n v="1.0420673076923077"/>
    <n v="49"/>
    <x v="39"/>
  </r>
  <r>
    <x v="39"/>
    <x v="5"/>
    <n v="12103"/>
    <n v="197"/>
    <n v="1983"/>
    <n v="9909"/>
    <n v="92"/>
    <n v="8"/>
    <n v="211665"/>
    <n v="215"/>
    <n v="95629"/>
    <n v="149"/>
    <n v="1886"/>
    <n v="9775"/>
    <n v="93"/>
    <n v="6"/>
    <n v="209553"/>
    <n v="95267"/>
    <n v="215"/>
    <n v="231"/>
    <n v="97"/>
    <n v="-1"/>
    <x v="1"/>
    <n v="2112"/>
    <n v="362"/>
    <n v="2474"/>
    <n v="1.0514316012725344"/>
    <n v="134"/>
    <x v="39"/>
  </r>
  <r>
    <x v="39"/>
    <x v="6"/>
    <n v="14280"/>
    <n v="214"/>
    <n v="1893"/>
    <n v="12106"/>
    <n v="47"/>
    <n v="22"/>
    <n v="259614"/>
    <n v="281"/>
    <n v="59944"/>
    <n v="210"/>
    <n v="1720"/>
    <n v="12036"/>
    <n v="44"/>
    <n v="22"/>
    <n v="257339"/>
    <n v="59668"/>
    <n v="280"/>
    <n v="244"/>
    <n v="173"/>
    <n v="3"/>
    <x v="2"/>
    <n v="2275"/>
    <n v="276"/>
    <n v="2551"/>
    <n v="1.1005813953488373"/>
    <n v="70"/>
    <x v="39"/>
  </r>
  <r>
    <x v="39"/>
    <x v="7"/>
    <n v="72498"/>
    <n v="1025"/>
    <n v="10215"/>
    <n v="60811"/>
    <n v="463"/>
    <n v="82"/>
    <n v="1211826"/>
    <n v="1480"/>
    <n v="461447"/>
    <n v="928"/>
    <n v="9479"/>
    <n v="60363"/>
    <n v="438"/>
    <n v="73"/>
    <n v="1201074"/>
    <n v="459760"/>
    <n v="1474"/>
    <n v="1189"/>
    <n v="736"/>
    <n v="25"/>
    <x v="14"/>
    <n v="10752"/>
    <n v="1687"/>
    <n v="12439"/>
    <n v="1.0776453212364174"/>
    <n v="448"/>
    <x v="39"/>
  </r>
  <r>
    <x v="40"/>
    <x v="0"/>
    <n v="16209"/>
    <n v="251"/>
    <n v="2635"/>
    <n v="13248"/>
    <n v="138"/>
    <n v="26"/>
    <n v="251728"/>
    <n v="333"/>
    <n v="80515"/>
    <n v="256"/>
    <n v="2469"/>
    <n v="13119"/>
    <n v="123"/>
    <n v="27"/>
    <n v="249368"/>
    <n v="80099"/>
    <n v="333"/>
    <n v="295"/>
    <n v="166"/>
    <n v="15"/>
    <x v="4"/>
    <n v="2360"/>
    <n v="416"/>
    <n v="2776"/>
    <n v="1.0672336978533818"/>
    <n v="129"/>
    <x v="40"/>
  </r>
  <r>
    <x v="40"/>
    <x v="1"/>
    <n v="4751"/>
    <n v="108"/>
    <n v="796"/>
    <n v="3855"/>
    <n v="77"/>
    <n v="9"/>
    <n v="83828"/>
    <n v="98"/>
    <n v="30818"/>
    <n v="61"/>
    <n v="710"/>
    <n v="3830"/>
    <n v="73"/>
    <n v="6"/>
    <n v="83246"/>
    <n v="30746"/>
    <n v="96"/>
    <n v="113"/>
    <n v="86"/>
    <n v="4"/>
    <x v="3"/>
    <n v="582"/>
    <n v="72"/>
    <n v="654"/>
    <n v="1.1211267605633803"/>
    <n v="25"/>
    <x v="40"/>
  </r>
  <r>
    <x v="40"/>
    <x v="2"/>
    <n v="8065"/>
    <n v="75"/>
    <n v="992"/>
    <n v="6918"/>
    <n v="32"/>
    <n v="3"/>
    <n v="138110"/>
    <n v="150"/>
    <n v="77068"/>
    <n v="97"/>
    <n v="945"/>
    <n v="6881"/>
    <n v="31"/>
    <n v="3"/>
    <n v="137147"/>
    <n v="76890"/>
    <n v="149"/>
    <n v="85"/>
    <n v="47"/>
    <n v="1"/>
    <x v="2"/>
    <n v="963"/>
    <n v="178"/>
    <n v="1141"/>
    <n v="1.0497354497354496"/>
    <n v="37"/>
    <x v="40"/>
  </r>
  <r>
    <x v="40"/>
    <x v="3"/>
    <n v="10050"/>
    <n v="160"/>
    <n v="1459"/>
    <n v="8273"/>
    <n v="54"/>
    <n v="9"/>
    <n v="150168"/>
    <n v="318"/>
    <n v="70807"/>
    <n v="125"/>
    <n v="1348"/>
    <n v="8191"/>
    <n v="46"/>
    <n v="7"/>
    <n v="148464"/>
    <n v="70434"/>
    <n v="317"/>
    <n v="194"/>
    <n v="111"/>
    <n v="8"/>
    <x v="1"/>
    <n v="1704"/>
    <n v="373"/>
    <n v="2077"/>
    <n v="1.0823442136498516"/>
    <n v="82"/>
    <x v="40"/>
  </r>
  <r>
    <x v="40"/>
    <x v="4"/>
    <n v="7808"/>
    <n v="75"/>
    <n v="907"/>
    <n v="6816"/>
    <n v="54"/>
    <n v="11"/>
    <n v="123032"/>
    <n v="89"/>
    <n v="47914"/>
    <n v="75"/>
    <n v="867"/>
    <n v="6775"/>
    <n v="51"/>
    <n v="9"/>
    <n v="122322"/>
    <n v="47705"/>
    <n v="89"/>
    <n v="81"/>
    <n v="40"/>
    <n v="3"/>
    <x v="1"/>
    <n v="710"/>
    <n v="209"/>
    <n v="919"/>
    <n v="1.0461361014994233"/>
    <n v="41"/>
    <x v="40"/>
  </r>
  <r>
    <x v="40"/>
    <x v="5"/>
    <n v="12313"/>
    <n v="163"/>
    <n v="2081"/>
    <n v="10020"/>
    <n v="94"/>
    <n v="10"/>
    <n v="213458"/>
    <n v="216"/>
    <n v="96010"/>
    <n v="197"/>
    <n v="1983"/>
    <n v="9909"/>
    <n v="92"/>
    <n v="8"/>
    <n v="211665"/>
    <n v="95629"/>
    <n v="215"/>
    <n v="210"/>
    <n v="98"/>
    <n v="2"/>
    <x v="1"/>
    <n v="1793"/>
    <n v="381"/>
    <n v="2174"/>
    <n v="1.0494200706001009"/>
    <n v="111"/>
    <x v="40"/>
  </r>
  <r>
    <x v="40"/>
    <x v="6"/>
    <n v="14471"/>
    <n v="181"/>
    <n v="1994"/>
    <n v="12196"/>
    <n v="56"/>
    <n v="22"/>
    <n v="261696"/>
    <n v="281"/>
    <n v="60315"/>
    <n v="214"/>
    <n v="1893"/>
    <n v="12106"/>
    <n v="47"/>
    <n v="22"/>
    <n v="259614"/>
    <n v="59944"/>
    <n v="281"/>
    <n v="191"/>
    <n v="101"/>
    <n v="9"/>
    <x v="2"/>
    <n v="2082"/>
    <n v="371"/>
    <n v="2453"/>
    <n v="1.0533544638140517"/>
    <n v="90"/>
    <x v="40"/>
  </r>
  <r>
    <x v="40"/>
    <x v="7"/>
    <n v="73667"/>
    <n v="1013"/>
    <n v="10864"/>
    <n v="61326"/>
    <n v="505"/>
    <n v="90"/>
    <n v="1222020"/>
    <n v="1485"/>
    <n v="463447"/>
    <n v="1025"/>
    <n v="10215"/>
    <n v="60811"/>
    <n v="463"/>
    <n v="82"/>
    <n v="1211826"/>
    <n v="461447"/>
    <n v="1480"/>
    <n v="1169"/>
    <n v="649"/>
    <n v="42"/>
    <x v="15"/>
    <n v="10194"/>
    <n v="2000"/>
    <n v="12194"/>
    <n v="1.0635340186000979"/>
    <n v="515"/>
    <x v="40"/>
  </r>
  <r>
    <x v="41"/>
    <x v="0"/>
    <n v="16539"/>
    <n v="261"/>
    <n v="2843"/>
    <n v="13366"/>
    <n v="130"/>
    <n v="26"/>
    <n v="253873"/>
    <n v="337"/>
    <n v="80867"/>
    <n v="251"/>
    <n v="2635"/>
    <n v="13248"/>
    <n v="138"/>
    <n v="26"/>
    <n v="251728"/>
    <n v="80515"/>
    <n v="333"/>
    <n v="330"/>
    <n v="208"/>
    <n v="-8"/>
    <x v="2"/>
    <n v="2145"/>
    <n v="352"/>
    <n v="2497"/>
    <n v="1.0789373814041745"/>
    <n v="118"/>
    <x v="41"/>
  </r>
  <r>
    <x v="41"/>
    <x v="1"/>
    <n v="4897"/>
    <n v="140"/>
    <n v="909"/>
    <n v="3887"/>
    <n v="80"/>
    <n v="9"/>
    <n v="84460"/>
    <n v="99"/>
    <n v="30951"/>
    <n v="108"/>
    <n v="796"/>
    <n v="3855"/>
    <n v="77"/>
    <n v="9"/>
    <n v="83828"/>
    <n v="30818"/>
    <n v="98"/>
    <n v="146"/>
    <n v="113"/>
    <n v="3"/>
    <x v="2"/>
    <n v="632"/>
    <n v="133"/>
    <n v="765"/>
    <n v="1.1419597989949748"/>
    <n v="32"/>
    <x v="41"/>
  </r>
  <r>
    <x v="41"/>
    <x v="2"/>
    <n v="8156"/>
    <n v="84"/>
    <n v="1031"/>
    <n v="6968"/>
    <n v="35"/>
    <n v="4"/>
    <n v="139111"/>
    <n v="151"/>
    <n v="77429"/>
    <n v="75"/>
    <n v="992"/>
    <n v="6918"/>
    <n v="32"/>
    <n v="3"/>
    <n v="138110"/>
    <n v="77068"/>
    <n v="150"/>
    <n v="91"/>
    <n v="39"/>
    <n v="3"/>
    <x v="0"/>
    <n v="1001"/>
    <n v="361"/>
    <n v="1362"/>
    <n v="1.0393145161290323"/>
    <n v="50"/>
    <x v="41"/>
  </r>
  <r>
    <x v="41"/>
    <x v="3"/>
    <n v="10237"/>
    <n v="151"/>
    <n v="1605"/>
    <n v="8313"/>
    <n v="60"/>
    <n v="9"/>
    <n v="151870"/>
    <n v="319"/>
    <n v="71394"/>
    <n v="160"/>
    <n v="1459"/>
    <n v="8273"/>
    <n v="54"/>
    <n v="9"/>
    <n v="150168"/>
    <n v="70807"/>
    <n v="318"/>
    <n v="187"/>
    <n v="146"/>
    <n v="6"/>
    <x v="2"/>
    <n v="1702"/>
    <n v="587"/>
    <n v="2289"/>
    <n v="1.1000685400959562"/>
    <n v="40"/>
    <x v="41"/>
  </r>
  <r>
    <x v="41"/>
    <x v="4"/>
    <n v="7908"/>
    <n v="82"/>
    <n v="954"/>
    <n v="6869"/>
    <n v="54"/>
    <n v="12"/>
    <n v="123664"/>
    <n v="89"/>
    <n v="48086"/>
    <n v="75"/>
    <n v="907"/>
    <n v="6816"/>
    <n v="54"/>
    <n v="11"/>
    <n v="123032"/>
    <n v="47914"/>
    <n v="89"/>
    <n v="100"/>
    <n v="47"/>
    <n v="0"/>
    <x v="0"/>
    <n v="632"/>
    <n v="172"/>
    <n v="804"/>
    <n v="1.0518191841234841"/>
    <n v="53"/>
    <x v="41"/>
  </r>
  <r>
    <x v="41"/>
    <x v="5"/>
    <n v="12524"/>
    <n v="162"/>
    <n v="2157"/>
    <n v="10152"/>
    <n v="97"/>
    <n v="12"/>
    <n v="215235"/>
    <n v="220"/>
    <n v="96475"/>
    <n v="163"/>
    <n v="2081"/>
    <n v="10020"/>
    <n v="94"/>
    <n v="10"/>
    <n v="213458"/>
    <n v="96010"/>
    <n v="216"/>
    <n v="211"/>
    <n v="76"/>
    <n v="3"/>
    <x v="1"/>
    <n v="1777"/>
    <n v="465"/>
    <n v="2242"/>
    <n v="1.0365209034118212"/>
    <n v="132"/>
    <x v="41"/>
  </r>
  <r>
    <x v="41"/>
    <x v="6"/>
    <n v="14749"/>
    <n v="255"/>
    <n v="2167"/>
    <n v="12298"/>
    <n v="50"/>
    <n v="19"/>
    <n v="263939"/>
    <n v="284"/>
    <n v="60626"/>
    <n v="181"/>
    <n v="1994"/>
    <n v="12196"/>
    <n v="56"/>
    <n v="22"/>
    <n v="261696"/>
    <n v="60315"/>
    <n v="281"/>
    <n v="278"/>
    <n v="173"/>
    <n v="-6"/>
    <x v="10"/>
    <n v="2243"/>
    <n v="311"/>
    <n v="2554"/>
    <n v="1.0867602808425276"/>
    <n v="102"/>
    <x v="41"/>
  </r>
  <r>
    <x v="41"/>
    <x v="7"/>
    <n v="75010"/>
    <n v="1135"/>
    <n v="11666"/>
    <n v="61853"/>
    <n v="506"/>
    <n v="91"/>
    <n v="1232152"/>
    <n v="1499"/>
    <n v="465828"/>
    <n v="1013"/>
    <n v="10864"/>
    <n v="61326"/>
    <n v="505"/>
    <n v="90"/>
    <n v="1222020"/>
    <n v="463447"/>
    <n v="1485"/>
    <n v="1343"/>
    <n v="802"/>
    <n v="1"/>
    <x v="0"/>
    <n v="10132"/>
    <n v="2381"/>
    <n v="12513"/>
    <n v="1.073821796759941"/>
    <n v="527"/>
    <x v="41"/>
  </r>
  <r>
    <x v="42"/>
    <x v="0"/>
    <n v="16899"/>
    <n v="337"/>
    <n v="3129"/>
    <n v="13440"/>
    <n v="145"/>
    <n v="28"/>
    <n v="255964"/>
    <n v="337"/>
    <n v="81079"/>
    <n v="261"/>
    <n v="2843"/>
    <n v="13366"/>
    <n v="130"/>
    <n v="26"/>
    <n v="253873"/>
    <n v="80867"/>
    <n v="337"/>
    <n v="360"/>
    <n v="286"/>
    <n v="15"/>
    <x v="1"/>
    <n v="2091"/>
    <n v="212"/>
    <n v="2303"/>
    <n v="1.1005979599015125"/>
    <n v="74"/>
    <x v="42"/>
  </r>
  <r>
    <x v="42"/>
    <x v="1"/>
    <n v="4981"/>
    <n v="70"/>
    <n v="981"/>
    <n v="3899"/>
    <n v="83"/>
    <n v="13"/>
    <n v="84829"/>
    <n v="99"/>
    <n v="31005"/>
    <n v="140"/>
    <n v="909"/>
    <n v="3887"/>
    <n v="80"/>
    <n v="9"/>
    <n v="84460"/>
    <n v="30951"/>
    <n v="99"/>
    <n v="84"/>
    <n v="72"/>
    <n v="3"/>
    <x v="9"/>
    <n v="369"/>
    <n v="54"/>
    <n v="423"/>
    <n v="1.0792079207920793"/>
    <n v="12"/>
    <x v="42"/>
  </r>
  <r>
    <x v="42"/>
    <x v="2"/>
    <n v="8264"/>
    <n v="88"/>
    <n v="1098"/>
    <n v="7009"/>
    <n v="37"/>
    <n v="6"/>
    <n v="140146"/>
    <n v="151"/>
    <n v="77612"/>
    <n v="84"/>
    <n v="1031"/>
    <n v="6968"/>
    <n v="35"/>
    <n v="4"/>
    <n v="139111"/>
    <n v="77429"/>
    <n v="151"/>
    <n v="108"/>
    <n v="67"/>
    <n v="2"/>
    <x v="1"/>
    <n v="1035"/>
    <n v="183"/>
    <n v="1218"/>
    <n v="1.0649854510184287"/>
    <n v="41"/>
    <x v="42"/>
  </r>
  <r>
    <x v="42"/>
    <x v="3"/>
    <n v="10404"/>
    <n v="148"/>
    <n v="1739"/>
    <n v="8345"/>
    <n v="75"/>
    <n v="7"/>
    <n v="153161"/>
    <n v="320"/>
    <n v="71701"/>
    <n v="151"/>
    <n v="1605"/>
    <n v="8313"/>
    <n v="60"/>
    <n v="9"/>
    <n v="151870"/>
    <n v="71394"/>
    <n v="319"/>
    <n v="167"/>
    <n v="134"/>
    <n v="15"/>
    <x v="5"/>
    <n v="1291"/>
    <n v="307"/>
    <n v="1598"/>
    <n v="1.0834890965732087"/>
    <n v="32"/>
    <x v="42"/>
  </r>
  <r>
    <x v="42"/>
    <x v="4"/>
    <n v="8000"/>
    <n v="84"/>
    <n v="983"/>
    <n v="6931"/>
    <n v="56"/>
    <n v="12"/>
    <n v="124323"/>
    <n v="90"/>
    <n v="48180"/>
    <n v="82"/>
    <n v="954"/>
    <n v="6869"/>
    <n v="54"/>
    <n v="12"/>
    <n v="123664"/>
    <n v="48086"/>
    <n v="89"/>
    <n v="92"/>
    <n v="29"/>
    <n v="2"/>
    <x v="2"/>
    <n v="659"/>
    <n v="94"/>
    <n v="753"/>
    <n v="1.0303983228511531"/>
    <n v="62"/>
    <x v="42"/>
  </r>
  <r>
    <x v="42"/>
    <x v="5"/>
    <n v="12701"/>
    <n v="145"/>
    <n v="2245"/>
    <n v="10239"/>
    <n v="95"/>
    <n v="14"/>
    <n v="216816"/>
    <n v="222"/>
    <n v="96706"/>
    <n v="162"/>
    <n v="2157"/>
    <n v="10152"/>
    <n v="97"/>
    <n v="12"/>
    <n v="215235"/>
    <n v="96475"/>
    <n v="220"/>
    <n v="177"/>
    <n v="88"/>
    <n v="-2"/>
    <x v="1"/>
    <n v="1581"/>
    <n v="231"/>
    <n v="1812"/>
    <n v="1.0407974038015764"/>
    <n v="87"/>
    <x v="42"/>
  </r>
  <r>
    <x v="42"/>
    <x v="6"/>
    <n v="15005"/>
    <n v="252"/>
    <n v="2333"/>
    <n v="12388"/>
    <n v="66"/>
    <n v="18"/>
    <n v="266422"/>
    <n v="284"/>
    <n v="60761"/>
    <n v="255"/>
    <n v="2167"/>
    <n v="12298"/>
    <n v="50"/>
    <n v="19"/>
    <n v="263939"/>
    <n v="60626"/>
    <n v="284"/>
    <n v="256"/>
    <n v="166"/>
    <n v="16"/>
    <x v="4"/>
    <n v="2483"/>
    <n v="135"/>
    <n v="2618"/>
    <n v="1.0766035994462391"/>
    <n v="90"/>
    <x v="42"/>
  </r>
  <r>
    <x v="42"/>
    <x v="7"/>
    <n v="76254"/>
    <n v="1124"/>
    <n v="12508"/>
    <n v="62251"/>
    <n v="557"/>
    <n v="98"/>
    <n v="1241661"/>
    <n v="1503"/>
    <n v="467044"/>
    <n v="1135"/>
    <n v="11666"/>
    <n v="61853"/>
    <n v="506"/>
    <n v="91"/>
    <n v="1232152"/>
    <n v="465828"/>
    <n v="1499"/>
    <n v="1244"/>
    <n v="842"/>
    <n v="51"/>
    <x v="16"/>
    <n v="9509"/>
    <n v="1216"/>
    <n v="10725"/>
    <n v="1.0721755528887364"/>
    <n v="398"/>
    <x v="42"/>
  </r>
  <r>
    <x v="43"/>
    <x v="0"/>
    <n v="17181"/>
    <n v="242"/>
    <n v="3346"/>
    <n v="13502"/>
    <n v="163"/>
    <n v="31"/>
    <n v="257591"/>
    <n v="340"/>
    <n v="81240"/>
    <n v="337"/>
    <n v="3129"/>
    <n v="13440"/>
    <n v="145"/>
    <n v="28"/>
    <n v="255964"/>
    <n v="81079"/>
    <n v="337"/>
    <n v="282"/>
    <n v="217"/>
    <n v="18"/>
    <x v="3"/>
    <n v="1627"/>
    <n v="161"/>
    <n v="1788"/>
    <n v="1.0693512304250559"/>
    <n v="62"/>
    <x v="43"/>
  </r>
  <r>
    <x v="43"/>
    <x v="1"/>
    <n v="5080"/>
    <n v="94"/>
    <n v="1049"/>
    <n v="3928"/>
    <n v="89"/>
    <n v="11"/>
    <n v="85439"/>
    <n v="101"/>
    <n v="31106"/>
    <n v="70"/>
    <n v="981"/>
    <n v="3899"/>
    <n v="83"/>
    <n v="13"/>
    <n v="84829"/>
    <n v="31005"/>
    <n v="99"/>
    <n v="99"/>
    <n v="68"/>
    <n v="6"/>
    <x v="5"/>
    <n v="610"/>
    <n v="101"/>
    <n v="711"/>
    <n v="1.0693170234454639"/>
    <n v="29"/>
    <x v="43"/>
  </r>
  <r>
    <x v="43"/>
    <x v="2"/>
    <n v="8357"/>
    <n v="82"/>
    <n v="1146"/>
    <n v="7054"/>
    <n v="43"/>
    <n v="7"/>
    <n v="141309"/>
    <n v="151"/>
    <n v="77750"/>
    <n v="88"/>
    <n v="1098"/>
    <n v="7009"/>
    <n v="37"/>
    <n v="6"/>
    <n v="140146"/>
    <n v="77612"/>
    <n v="151"/>
    <n v="93"/>
    <n v="48"/>
    <n v="6"/>
    <x v="0"/>
    <n v="1163"/>
    <n v="138"/>
    <n v="1301"/>
    <n v="1.0437158469945356"/>
    <n v="45"/>
    <x v="43"/>
  </r>
  <r>
    <x v="43"/>
    <x v="3"/>
    <n v="10535"/>
    <n v="110"/>
    <n v="1830"/>
    <n v="8385"/>
    <n v="92"/>
    <n v="6"/>
    <n v="154790"/>
    <n v="320"/>
    <n v="72237"/>
    <n v="148"/>
    <n v="1739"/>
    <n v="8345"/>
    <n v="75"/>
    <n v="7"/>
    <n v="153161"/>
    <n v="71701"/>
    <n v="320"/>
    <n v="131"/>
    <n v="91"/>
    <n v="17"/>
    <x v="4"/>
    <n v="1629"/>
    <n v="536"/>
    <n v="2165"/>
    <n v="1.0523289246693501"/>
    <n v="40"/>
    <x v="43"/>
  </r>
  <r>
    <x v="43"/>
    <x v="4"/>
    <n v="8126"/>
    <n v="112"/>
    <n v="1088"/>
    <n v="6951"/>
    <n v="64"/>
    <n v="13"/>
    <n v="125179"/>
    <n v="91"/>
    <n v="48294"/>
    <n v="84"/>
    <n v="983"/>
    <n v="6931"/>
    <n v="56"/>
    <n v="12"/>
    <n v="124323"/>
    <n v="48180"/>
    <n v="90"/>
    <n v="126"/>
    <n v="105"/>
    <n v="8"/>
    <x v="0"/>
    <n v="856"/>
    <n v="114"/>
    <n v="970"/>
    <n v="1.1068158697863684"/>
    <n v="20"/>
    <x v="43"/>
  </r>
  <r>
    <x v="43"/>
    <x v="5"/>
    <n v="12841"/>
    <n v="117"/>
    <n v="2341"/>
    <n v="10281"/>
    <n v="99"/>
    <n v="16"/>
    <n v="218343"/>
    <n v="224"/>
    <n v="96877"/>
    <n v="145"/>
    <n v="2245"/>
    <n v="10239"/>
    <n v="95"/>
    <n v="14"/>
    <n v="216816"/>
    <n v="96706"/>
    <n v="222"/>
    <n v="140"/>
    <n v="96"/>
    <n v="4"/>
    <x v="1"/>
    <n v="1527"/>
    <n v="171"/>
    <n v="1698"/>
    <n v="1.042761692650334"/>
    <n v="42"/>
    <x v="43"/>
  </r>
  <r>
    <x v="43"/>
    <x v="6"/>
    <n v="15159"/>
    <n v="133"/>
    <n v="2452"/>
    <n v="12422"/>
    <n v="85"/>
    <n v="20"/>
    <n v="267889"/>
    <n v="285"/>
    <n v="60887"/>
    <n v="252"/>
    <n v="2333"/>
    <n v="12388"/>
    <n v="66"/>
    <n v="18"/>
    <n v="266422"/>
    <n v="60761"/>
    <n v="284"/>
    <n v="154"/>
    <n v="119"/>
    <n v="19"/>
    <x v="1"/>
    <n v="1467"/>
    <n v="126"/>
    <n v="1593"/>
    <n v="1.0510072867552507"/>
    <n v="34"/>
    <x v="43"/>
  </r>
  <r>
    <x v="43"/>
    <x v="7"/>
    <n v="77279"/>
    <n v="890"/>
    <n v="13252"/>
    <n v="62523"/>
    <n v="635"/>
    <n v="104"/>
    <n v="1250540"/>
    <n v="1512"/>
    <n v="468391"/>
    <n v="1124"/>
    <n v="12508"/>
    <n v="62251"/>
    <n v="557"/>
    <n v="98"/>
    <n v="1241661"/>
    <n v="467044"/>
    <n v="1503"/>
    <n v="1025"/>
    <n v="744"/>
    <n v="78"/>
    <x v="12"/>
    <n v="8879"/>
    <n v="1347"/>
    <n v="10226"/>
    <n v="1.0594819315637991"/>
    <n v="272"/>
    <x v="43"/>
  </r>
  <r>
    <x v="44"/>
    <x v="0"/>
    <n v="17458"/>
    <n v="205"/>
    <n v="3533"/>
    <n v="13584"/>
    <n v="167"/>
    <n v="36"/>
    <n v="258846"/>
    <n v="347"/>
    <n v="81702"/>
    <n v="242"/>
    <n v="3346"/>
    <n v="13502"/>
    <n v="163"/>
    <n v="31"/>
    <n v="257591"/>
    <n v="81240"/>
    <n v="340"/>
    <n v="277"/>
    <n v="187"/>
    <n v="4"/>
    <x v="11"/>
    <n v="1255"/>
    <n v="462"/>
    <n v="1717"/>
    <n v="1.0558876270173341"/>
    <n v="82"/>
    <x v="44"/>
  </r>
  <r>
    <x v="44"/>
    <x v="1"/>
    <n v="5184"/>
    <n v="99"/>
    <n v="1124"/>
    <n v="3953"/>
    <n v="96"/>
    <n v="11"/>
    <n v="86034"/>
    <n v="105"/>
    <n v="31270"/>
    <n v="94"/>
    <n v="1049"/>
    <n v="3928"/>
    <n v="89"/>
    <n v="11"/>
    <n v="85439"/>
    <n v="31106"/>
    <n v="101"/>
    <n v="104"/>
    <n v="75"/>
    <n v="7"/>
    <x v="2"/>
    <n v="595"/>
    <n v="164"/>
    <n v="759"/>
    <n v="1.0714966634890373"/>
    <n v="25"/>
    <x v="44"/>
  </r>
  <r>
    <x v="44"/>
    <x v="2"/>
    <n v="8459"/>
    <n v="86"/>
    <n v="1210"/>
    <n v="7090"/>
    <n v="39"/>
    <n v="7"/>
    <n v="141992"/>
    <n v="152"/>
    <n v="78077"/>
    <n v="82"/>
    <n v="1146"/>
    <n v="7054"/>
    <n v="43"/>
    <n v="7"/>
    <n v="141309"/>
    <n v="77750"/>
    <n v="151"/>
    <n v="102"/>
    <n v="64"/>
    <n v="-4"/>
    <x v="2"/>
    <n v="683"/>
    <n v="327"/>
    <n v="1010"/>
    <n v="1.0558464223385688"/>
    <n v="36"/>
    <x v="44"/>
  </r>
  <r>
    <x v="44"/>
    <x v="3"/>
    <n v="10742"/>
    <n v="163"/>
    <n v="1960"/>
    <n v="8461"/>
    <n v="105"/>
    <n v="8"/>
    <n v="156760"/>
    <n v="321"/>
    <n v="72739"/>
    <n v="110"/>
    <n v="1830"/>
    <n v="8385"/>
    <n v="92"/>
    <n v="6"/>
    <n v="154790"/>
    <n v="72237"/>
    <n v="320"/>
    <n v="207"/>
    <n v="130"/>
    <n v="13"/>
    <x v="1"/>
    <n v="1970"/>
    <n v="502"/>
    <n v="2472"/>
    <n v="1.0710382513661203"/>
    <n v="76"/>
    <x v="44"/>
  </r>
  <r>
    <x v="44"/>
    <x v="4"/>
    <n v="8226"/>
    <n v="82"/>
    <n v="1145"/>
    <n v="6993"/>
    <n v="67"/>
    <n v="11"/>
    <n v="126045"/>
    <n v="92"/>
    <n v="48446"/>
    <n v="112"/>
    <n v="1088"/>
    <n v="6951"/>
    <n v="64"/>
    <n v="13"/>
    <n v="125179"/>
    <n v="48294"/>
    <n v="91"/>
    <n v="100"/>
    <n v="57"/>
    <n v="3"/>
    <x v="5"/>
    <n v="866"/>
    <n v="152"/>
    <n v="1018"/>
    <n v="1.052389705882353"/>
    <n v="42"/>
    <x v="44"/>
  </r>
  <r>
    <x v="44"/>
    <x v="5"/>
    <n v="13047"/>
    <n v="166"/>
    <n v="2507"/>
    <n v="10317"/>
    <n v="100"/>
    <n v="20"/>
    <n v="220220"/>
    <n v="230"/>
    <n v="97275"/>
    <n v="117"/>
    <n v="2341"/>
    <n v="10281"/>
    <n v="99"/>
    <n v="16"/>
    <n v="218343"/>
    <n v="96877"/>
    <n v="224"/>
    <n v="206"/>
    <n v="166"/>
    <n v="1"/>
    <x v="9"/>
    <n v="1877"/>
    <n v="398"/>
    <n v="2275"/>
    <n v="1.070909867577958"/>
    <n v="36"/>
    <x v="44"/>
  </r>
  <r>
    <x v="44"/>
    <x v="6"/>
    <n v="15346"/>
    <n v="169"/>
    <n v="2596"/>
    <n v="12461"/>
    <n v="90"/>
    <n v="21"/>
    <n v="270462"/>
    <n v="289"/>
    <n v="61179"/>
    <n v="133"/>
    <n v="2452"/>
    <n v="12422"/>
    <n v="85"/>
    <n v="20"/>
    <n v="267889"/>
    <n v="60887"/>
    <n v="285"/>
    <n v="187"/>
    <n v="144"/>
    <n v="5"/>
    <x v="0"/>
    <n v="2573"/>
    <n v="292"/>
    <n v="2865"/>
    <n v="1.0587275693311582"/>
    <n v="39"/>
    <x v="44"/>
  </r>
  <r>
    <x v="44"/>
    <x v="7"/>
    <n v="78462"/>
    <n v="970"/>
    <n v="14075"/>
    <n v="62859"/>
    <n v="664"/>
    <n v="114"/>
    <n v="1260359"/>
    <n v="1536"/>
    <n v="470688"/>
    <n v="890"/>
    <n v="13252"/>
    <n v="62523"/>
    <n v="635"/>
    <n v="104"/>
    <n v="1250540"/>
    <n v="468391"/>
    <n v="1512"/>
    <n v="1183"/>
    <n v="823"/>
    <n v="29"/>
    <x v="13"/>
    <n v="9819"/>
    <n v="2297"/>
    <n v="12116"/>
    <n v="1.0621038333836401"/>
    <n v="336"/>
    <x v="44"/>
  </r>
  <r>
    <x v="45"/>
    <x v="0"/>
    <n v="17893"/>
    <n v="348"/>
    <n v="3839"/>
    <n v="13711"/>
    <n v="179"/>
    <n v="39"/>
    <n v="261208"/>
    <n v="349"/>
    <n v="82356"/>
    <n v="205"/>
    <n v="3533"/>
    <n v="13584"/>
    <n v="167"/>
    <n v="36"/>
    <n v="258846"/>
    <n v="81702"/>
    <n v="347"/>
    <n v="435"/>
    <n v="306"/>
    <n v="12"/>
    <x v="3"/>
    <n v="2362"/>
    <n v="654"/>
    <n v="3016"/>
    <n v="1.0866119445230682"/>
    <n v="127"/>
    <x v="45"/>
  </r>
  <r>
    <x v="45"/>
    <x v="1"/>
    <n v="5282"/>
    <n v="88"/>
    <n v="1192"/>
    <n v="3982"/>
    <n v="97"/>
    <n v="13"/>
    <n v="86893"/>
    <n v="106"/>
    <n v="31412"/>
    <n v="99"/>
    <n v="1124"/>
    <n v="3953"/>
    <n v="96"/>
    <n v="11"/>
    <n v="86034"/>
    <n v="31270"/>
    <n v="105"/>
    <n v="98"/>
    <n v="68"/>
    <n v="1"/>
    <x v="1"/>
    <n v="859"/>
    <n v="142"/>
    <n v="1001"/>
    <n v="1.0604982206405693"/>
    <n v="29"/>
    <x v="45"/>
  </r>
  <r>
    <x v="45"/>
    <x v="2"/>
    <n v="8576"/>
    <n v="104"/>
    <n v="1273"/>
    <n v="7138"/>
    <n v="37"/>
    <n v="8"/>
    <n v="143195"/>
    <n v="157"/>
    <n v="78582"/>
    <n v="86"/>
    <n v="1210"/>
    <n v="7090"/>
    <n v="39"/>
    <n v="7"/>
    <n v="141992"/>
    <n v="78077"/>
    <n v="152"/>
    <n v="117"/>
    <n v="63"/>
    <n v="-2"/>
    <x v="0"/>
    <n v="1203"/>
    <n v="505"/>
    <n v="1708"/>
    <n v="1.0520661157024793"/>
    <n v="48"/>
    <x v="45"/>
  </r>
  <r>
    <x v="45"/>
    <x v="3"/>
    <n v="10947"/>
    <n v="159"/>
    <n v="2107"/>
    <n v="8519"/>
    <n v="103"/>
    <n v="10"/>
    <n v="158507"/>
    <n v="321"/>
    <n v="73220"/>
    <n v="163"/>
    <n v="1960"/>
    <n v="8461"/>
    <n v="105"/>
    <n v="8"/>
    <n v="156760"/>
    <n v="72739"/>
    <n v="321"/>
    <n v="205"/>
    <n v="147"/>
    <n v="-2"/>
    <x v="1"/>
    <n v="1747"/>
    <n v="481"/>
    <n v="2228"/>
    <n v="1.075"/>
    <n v="58"/>
    <x v="45"/>
  </r>
  <r>
    <x v="45"/>
    <x v="4"/>
    <n v="8314"/>
    <n v="76"/>
    <n v="1195"/>
    <n v="7031"/>
    <n v="62"/>
    <n v="14"/>
    <n v="127167"/>
    <n v="92"/>
    <n v="48715"/>
    <n v="82"/>
    <n v="1145"/>
    <n v="6993"/>
    <n v="67"/>
    <n v="11"/>
    <n v="126045"/>
    <n v="48446"/>
    <n v="92"/>
    <n v="88"/>
    <n v="50"/>
    <n v="-5"/>
    <x v="3"/>
    <n v="1122"/>
    <n v="269"/>
    <n v="1391"/>
    <n v="1.0436681222707425"/>
    <n v="38"/>
    <x v="45"/>
  </r>
  <r>
    <x v="45"/>
    <x v="5"/>
    <n v="13237"/>
    <n v="126"/>
    <n v="2593"/>
    <n v="10418"/>
    <n v="106"/>
    <n v="26"/>
    <n v="222178"/>
    <n v="234"/>
    <n v="97852"/>
    <n v="166"/>
    <n v="2507"/>
    <n v="10317"/>
    <n v="100"/>
    <n v="20"/>
    <n v="220220"/>
    <n v="97275"/>
    <n v="230"/>
    <n v="190"/>
    <n v="86"/>
    <n v="6"/>
    <x v="12"/>
    <n v="1958"/>
    <n v="577"/>
    <n v="2535"/>
    <n v="1.0343039489429597"/>
    <n v="101"/>
    <x v="45"/>
  </r>
  <r>
    <x v="45"/>
    <x v="6"/>
    <n v="15585"/>
    <n v="203"/>
    <n v="2776"/>
    <n v="12518"/>
    <n v="112"/>
    <n v="22"/>
    <n v="273041"/>
    <n v="291"/>
    <n v="61439"/>
    <n v="169"/>
    <n v="2596"/>
    <n v="12461"/>
    <n v="90"/>
    <n v="21"/>
    <n v="270462"/>
    <n v="61179"/>
    <n v="289"/>
    <n v="239"/>
    <n v="180"/>
    <n v="22"/>
    <x v="0"/>
    <n v="2579"/>
    <n v="260"/>
    <n v="2839"/>
    <n v="1.0693374422187982"/>
    <n v="57"/>
    <x v="45"/>
  </r>
  <r>
    <x v="45"/>
    <x v="7"/>
    <n v="79834"/>
    <n v="1104"/>
    <n v="14975"/>
    <n v="63317"/>
    <n v="696"/>
    <n v="132"/>
    <n v="1272189"/>
    <n v="1550"/>
    <n v="473576"/>
    <n v="970"/>
    <n v="14075"/>
    <n v="62859"/>
    <n v="664"/>
    <n v="114"/>
    <n v="1260359"/>
    <n v="470688"/>
    <n v="1536"/>
    <n v="1372"/>
    <n v="900"/>
    <n v="32"/>
    <x v="17"/>
    <n v="11830"/>
    <n v="2888"/>
    <n v="14718"/>
    <n v="1.0639431616341031"/>
    <n v="458"/>
    <x v="45"/>
  </r>
  <r>
    <x v="46"/>
    <x v="0"/>
    <n v="18335"/>
    <n v="281"/>
    <n v="4124"/>
    <n v="13867"/>
    <n v="188"/>
    <n v="38"/>
    <n v="263615"/>
    <n v="350"/>
    <n v="83883"/>
    <n v="348"/>
    <n v="3839"/>
    <n v="13711"/>
    <n v="179"/>
    <n v="39"/>
    <n v="261208"/>
    <n v="82356"/>
    <n v="349"/>
    <n v="442"/>
    <n v="285"/>
    <n v="9"/>
    <x v="4"/>
    <n v="2407"/>
    <n v="1527"/>
    <n v="3934"/>
    <n v="1.0742380828340714"/>
    <n v="156"/>
    <x v="46"/>
  </r>
  <r>
    <x v="46"/>
    <x v="1"/>
    <n v="5423"/>
    <n v="128"/>
    <n v="1284"/>
    <n v="4031"/>
    <n v="104"/>
    <n v="14"/>
    <n v="87871"/>
    <n v="106"/>
    <n v="31531"/>
    <n v="88"/>
    <n v="1192"/>
    <n v="3982"/>
    <n v="97"/>
    <n v="13"/>
    <n v="86893"/>
    <n v="31412"/>
    <n v="106"/>
    <n v="141"/>
    <n v="92"/>
    <n v="7"/>
    <x v="0"/>
    <n v="978"/>
    <n v="119"/>
    <n v="1097"/>
    <n v="1.0771812080536913"/>
    <n v="49"/>
    <x v="46"/>
  </r>
  <r>
    <x v="46"/>
    <x v="2"/>
    <n v="8708"/>
    <n v="109"/>
    <n v="1361"/>
    <n v="7181"/>
    <n v="39"/>
    <n v="9"/>
    <n v="144363"/>
    <n v="158"/>
    <n v="78820"/>
    <n v="104"/>
    <n v="1273"/>
    <n v="7138"/>
    <n v="37"/>
    <n v="8"/>
    <n v="143195"/>
    <n v="78582"/>
    <n v="157"/>
    <n v="132"/>
    <n v="88"/>
    <n v="2"/>
    <x v="0"/>
    <n v="1168"/>
    <n v="238"/>
    <n v="1406"/>
    <n v="1.0691280439905735"/>
    <n v="43"/>
    <x v="46"/>
  </r>
  <r>
    <x v="46"/>
    <x v="3"/>
    <n v="11189"/>
    <n v="182"/>
    <n v="2251"/>
    <n v="8613"/>
    <n v="114"/>
    <n v="10"/>
    <n v="160146"/>
    <n v="325"/>
    <n v="73641"/>
    <n v="159"/>
    <n v="2107"/>
    <n v="8519"/>
    <n v="103"/>
    <n v="10"/>
    <n v="158507"/>
    <n v="73220"/>
    <n v="321"/>
    <n v="242"/>
    <n v="144"/>
    <n v="11"/>
    <x v="2"/>
    <n v="1639"/>
    <n v="421"/>
    <n v="2060"/>
    <n v="1.068343616516374"/>
    <n v="94"/>
    <x v="46"/>
  </r>
  <r>
    <x v="46"/>
    <x v="4"/>
    <n v="8528"/>
    <n v="192"/>
    <n v="1374"/>
    <n v="7064"/>
    <n v="74"/>
    <n v="14"/>
    <n v="128359"/>
    <n v="94"/>
    <n v="49049"/>
    <n v="76"/>
    <n v="1195"/>
    <n v="7031"/>
    <n v="62"/>
    <n v="14"/>
    <n v="127167"/>
    <n v="48715"/>
    <n v="92"/>
    <n v="214"/>
    <n v="179"/>
    <n v="12"/>
    <x v="2"/>
    <n v="1192"/>
    <n v="334"/>
    <n v="1526"/>
    <n v="1.1497907949790795"/>
    <n v="33"/>
    <x v="46"/>
  </r>
  <r>
    <x v="46"/>
    <x v="5"/>
    <n v="13470"/>
    <n v="173"/>
    <n v="2694"/>
    <n v="10547"/>
    <n v="108"/>
    <n v="28"/>
    <n v="224172"/>
    <n v="237"/>
    <n v="98367"/>
    <n v="126"/>
    <n v="2593"/>
    <n v="10418"/>
    <n v="106"/>
    <n v="26"/>
    <n v="222178"/>
    <n v="97852"/>
    <n v="234"/>
    <n v="233"/>
    <n v="101"/>
    <n v="2"/>
    <x v="1"/>
    <n v="1994"/>
    <n v="515"/>
    <n v="2509"/>
    <n v="1.03895102198226"/>
    <n v="129"/>
    <x v="46"/>
  </r>
  <r>
    <x v="46"/>
    <x v="6"/>
    <n v="15908"/>
    <n v="289"/>
    <n v="2942"/>
    <n v="12670"/>
    <n v="117"/>
    <n v="22"/>
    <n v="276342"/>
    <n v="296"/>
    <n v="61803"/>
    <n v="203"/>
    <n v="2776"/>
    <n v="12518"/>
    <n v="112"/>
    <n v="22"/>
    <n v="273041"/>
    <n v="61439"/>
    <n v="291"/>
    <n v="323"/>
    <n v="166"/>
    <n v="5"/>
    <x v="2"/>
    <n v="3301"/>
    <n v="364"/>
    <n v="3665"/>
    <n v="1.0597982708933718"/>
    <n v="152"/>
    <x v="46"/>
  </r>
  <r>
    <x v="46"/>
    <x v="7"/>
    <n v="81561"/>
    <n v="1354"/>
    <n v="16030"/>
    <n v="63973"/>
    <n v="744"/>
    <n v="135"/>
    <n v="1284868"/>
    <n v="1566"/>
    <n v="477094"/>
    <n v="1104"/>
    <n v="14975"/>
    <n v="63317"/>
    <n v="696"/>
    <n v="132"/>
    <n v="1272189"/>
    <n v="473576"/>
    <n v="1550"/>
    <n v="1727"/>
    <n v="1055"/>
    <n v="48"/>
    <x v="3"/>
    <n v="12679"/>
    <n v="3518"/>
    <n v="16197"/>
    <n v="1.0704507512520869"/>
    <n v="656"/>
    <x v="46"/>
  </r>
  <r>
    <x v="47"/>
    <x v="0"/>
    <n v="18781"/>
    <n v="346"/>
    <n v="4414"/>
    <n v="14019"/>
    <n v="210"/>
    <n v="38"/>
    <n v="266269"/>
    <n v="353"/>
    <n v="84532"/>
    <n v="281"/>
    <n v="4124"/>
    <n v="13867"/>
    <n v="188"/>
    <n v="38"/>
    <n v="263615"/>
    <n v="83883"/>
    <n v="350"/>
    <n v="446"/>
    <n v="290"/>
    <n v="22"/>
    <x v="2"/>
    <n v="2654"/>
    <n v="649"/>
    <n v="3303"/>
    <n v="1.0703200775945685"/>
    <n v="152"/>
    <x v="47"/>
  </r>
  <r>
    <x v="47"/>
    <x v="1"/>
    <n v="5552"/>
    <n v="120"/>
    <n v="1368"/>
    <n v="4073"/>
    <n v="117"/>
    <n v="16"/>
    <n v="88679"/>
    <n v="109"/>
    <n v="31633"/>
    <n v="128"/>
    <n v="1284"/>
    <n v="4031"/>
    <n v="104"/>
    <n v="14"/>
    <n v="87871"/>
    <n v="31531"/>
    <n v="106"/>
    <n v="129"/>
    <n v="84"/>
    <n v="13"/>
    <x v="1"/>
    <n v="808"/>
    <n v="102"/>
    <n v="910"/>
    <n v="1.0654205607476634"/>
    <n v="42"/>
    <x v="47"/>
  </r>
  <r>
    <x v="47"/>
    <x v="2"/>
    <n v="8871"/>
    <n v="151"/>
    <n v="1449"/>
    <n v="7256"/>
    <n v="36"/>
    <n v="10"/>
    <n v="145979"/>
    <n v="158"/>
    <n v="79113"/>
    <n v="109"/>
    <n v="1361"/>
    <n v="7181"/>
    <n v="39"/>
    <n v="9"/>
    <n v="144363"/>
    <n v="78820"/>
    <n v="158"/>
    <n v="163"/>
    <n v="88"/>
    <n v="-3"/>
    <x v="0"/>
    <n v="1616"/>
    <n v="293"/>
    <n v="1909"/>
    <n v="1.0646583394562821"/>
    <n v="75"/>
    <x v="47"/>
  </r>
  <r>
    <x v="47"/>
    <x v="3"/>
    <n v="11442"/>
    <n v="193"/>
    <n v="2413"/>
    <n v="8702"/>
    <n v="119"/>
    <n v="10"/>
    <n v="161116"/>
    <n v="327"/>
    <n v="74248"/>
    <n v="182"/>
    <n v="2251"/>
    <n v="8613"/>
    <n v="114"/>
    <n v="10"/>
    <n v="160146"/>
    <n v="73641"/>
    <n v="325"/>
    <n v="253"/>
    <n v="162"/>
    <n v="5"/>
    <x v="2"/>
    <n v="970"/>
    <n v="607"/>
    <n v="1577"/>
    <n v="1.071968014215904"/>
    <n v="89"/>
    <x v="47"/>
  </r>
  <r>
    <x v="47"/>
    <x v="4"/>
    <n v="8690"/>
    <n v="138"/>
    <n v="1485"/>
    <n v="7112"/>
    <n v="83"/>
    <n v="14"/>
    <n v="129727"/>
    <n v="96"/>
    <n v="49434"/>
    <n v="192"/>
    <n v="1374"/>
    <n v="7064"/>
    <n v="74"/>
    <n v="14"/>
    <n v="128359"/>
    <n v="49049"/>
    <n v="94"/>
    <n v="162"/>
    <n v="111"/>
    <n v="9"/>
    <x v="2"/>
    <n v="1368"/>
    <n v="385"/>
    <n v="1753"/>
    <n v="1.0807860262008733"/>
    <n v="48"/>
    <x v="47"/>
  </r>
  <r>
    <x v="47"/>
    <x v="5"/>
    <n v="13765"/>
    <n v="225"/>
    <n v="2843"/>
    <n v="10691"/>
    <n v="114"/>
    <n v="28"/>
    <n v="226321"/>
    <n v="240"/>
    <n v="98916"/>
    <n v="173"/>
    <n v="2694"/>
    <n v="10547"/>
    <n v="108"/>
    <n v="28"/>
    <n v="224172"/>
    <n v="98367"/>
    <n v="237"/>
    <n v="295"/>
    <n v="149"/>
    <n v="6"/>
    <x v="2"/>
    <n v="2149"/>
    <n v="549"/>
    <n v="2698"/>
    <n v="1.0553080920564217"/>
    <n v="144"/>
    <x v="47"/>
  </r>
  <r>
    <x v="47"/>
    <x v="6"/>
    <n v="16262"/>
    <n v="332"/>
    <n v="3153"/>
    <n v="12809"/>
    <n v="116"/>
    <n v="21"/>
    <n v="278956"/>
    <n v="301"/>
    <n v="62382"/>
    <n v="289"/>
    <n v="2942"/>
    <n v="12670"/>
    <n v="117"/>
    <n v="22"/>
    <n v="276342"/>
    <n v="61803"/>
    <n v="296"/>
    <n v="354"/>
    <n v="211"/>
    <n v="-1"/>
    <x v="4"/>
    <n v="2614"/>
    <n v="579"/>
    <n v="3193"/>
    <n v="1.0717199184228416"/>
    <n v="139"/>
    <x v="47"/>
  </r>
  <r>
    <x v="47"/>
    <x v="7"/>
    <n v="83363"/>
    <n v="1505"/>
    <n v="17125"/>
    <n v="64662"/>
    <n v="795"/>
    <n v="137"/>
    <n v="1297047"/>
    <n v="1584"/>
    <n v="480258"/>
    <n v="1354"/>
    <n v="16030"/>
    <n v="63973"/>
    <n v="744"/>
    <n v="135"/>
    <n v="1284868"/>
    <n v="477094"/>
    <n v="1566"/>
    <n v="1802"/>
    <n v="1095"/>
    <n v="51"/>
    <x v="1"/>
    <n v="12179"/>
    <n v="3164"/>
    <n v="15343"/>
    <n v="1.068309419837804"/>
    <n v="689"/>
    <x v="47"/>
  </r>
  <r>
    <x v="48"/>
    <x v="0"/>
    <n v="19330"/>
    <n v="433"/>
    <n v="4826"/>
    <n v="14151"/>
    <n v="226"/>
    <n v="38"/>
    <n v="269435"/>
    <n v="358"/>
    <n v="85491"/>
    <n v="346"/>
    <n v="4414"/>
    <n v="14019"/>
    <n v="210"/>
    <n v="38"/>
    <n v="266269"/>
    <n v="84532"/>
    <n v="353"/>
    <n v="549"/>
    <n v="412"/>
    <n v="16"/>
    <x v="2"/>
    <n v="3166"/>
    <n v="959"/>
    <n v="4125"/>
    <n v="1.0933393747168101"/>
    <n v="132"/>
    <x v="48"/>
  </r>
  <r>
    <x v="48"/>
    <x v="1"/>
    <n v="5701"/>
    <n v="138"/>
    <n v="1472"/>
    <n v="4116"/>
    <n v="113"/>
    <n v="19"/>
    <n v="89631"/>
    <n v="111"/>
    <n v="31783"/>
    <n v="120"/>
    <n v="1368"/>
    <n v="4073"/>
    <n v="117"/>
    <n v="16"/>
    <n v="88679"/>
    <n v="31633"/>
    <n v="109"/>
    <n v="149"/>
    <n v="104"/>
    <n v="-4"/>
    <x v="3"/>
    <n v="952"/>
    <n v="150"/>
    <n v="1102"/>
    <n v="1.0760233918128654"/>
    <n v="43"/>
    <x v="48"/>
  </r>
  <r>
    <x v="48"/>
    <x v="2"/>
    <n v="9059"/>
    <n v="170"/>
    <n v="1545"/>
    <n v="7348"/>
    <n v="41"/>
    <n v="11"/>
    <n v="147474"/>
    <n v="158"/>
    <n v="79484"/>
    <n v="151"/>
    <n v="1449"/>
    <n v="7256"/>
    <n v="36"/>
    <n v="10"/>
    <n v="145979"/>
    <n v="79113"/>
    <n v="158"/>
    <n v="188"/>
    <n v="96"/>
    <n v="5"/>
    <x v="0"/>
    <n v="1495"/>
    <n v="371"/>
    <n v="1866"/>
    <n v="1.0662525879917184"/>
    <n v="92"/>
    <x v="48"/>
  </r>
  <r>
    <x v="48"/>
    <x v="3"/>
    <n v="11706"/>
    <n v="179"/>
    <n v="2568"/>
    <n v="8810"/>
    <n v="129"/>
    <n v="12"/>
    <n v="162711"/>
    <n v="328"/>
    <n v="75051"/>
    <n v="193"/>
    <n v="2413"/>
    <n v="8702"/>
    <n v="119"/>
    <n v="10"/>
    <n v="161116"/>
    <n v="74248"/>
    <n v="327"/>
    <n v="264"/>
    <n v="155"/>
    <n v="10"/>
    <x v="1"/>
    <n v="1595"/>
    <n v="803"/>
    <n v="2398"/>
    <n v="1.064235391628678"/>
    <n v="108"/>
    <x v="48"/>
  </r>
  <r>
    <x v="48"/>
    <x v="4"/>
    <n v="8844"/>
    <n v="124"/>
    <n v="1579"/>
    <n v="7171"/>
    <n v="84"/>
    <n v="13"/>
    <n v="131128"/>
    <n v="97"/>
    <n v="49887"/>
    <n v="138"/>
    <n v="1485"/>
    <n v="7112"/>
    <n v="83"/>
    <n v="14"/>
    <n v="129727"/>
    <n v="49434"/>
    <n v="96"/>
    <n v="154"/>
    <n v="94"/>
    <n v="1"/>
    <x v="4"/>
    <n v="1401"/>
    <n v="453"/>
    <n v="1854"/>
    <n v="1.0632996632996632"/>
    <n v="59"/>
    <x v="48"/>
  </r>
  <r>
    <x v="48"/>
    <x v="5"/>
    <n v="14018"/>
    <n v="172"/>
    <n v="2947"/>
    <n v="10838"/>
    <n v="106"/>
    <n v="27"/>
    <n v="228050"/>
    <n v="243"/>
    <n v="99485"/>
    <n v="225"/>
    <n v="2843"/>
    <n v="10691"/>
    <n v="114"/>
    <n v="28"/>
    <n v="226321"/>
    <n v="98916"/>
    <n v="240"/>
    <n v="253"/>
    <n v="104"/>
    <n v="-8"/>
    <x v="4"/>
    <n v="1729"/>
    <n v="569"/>
    <n v="2298"/>
    <n v="1.0365810763278227"/>
    <n v="147"/>
    <x v="48"/>
  </r>
  <r>
    <x v="48"/>
    <x v="6"/>
    <n v="16593"/>
    <n v="299"/>
    <n v="3349"/>
    <n v="12941"/>
    <n v="126"/>
    <n v="22"/>
    <n v="280950"/>
    <n v="304"/>
    <n v="62733"/>
    <n v="332"/>
    <n v="3153"/>
    <n v="12809"/>
    <n v="116"/>
    <n v="21"/>
    <n v="278956"/>
    <n v="62382"/>
    <n v="301"/>
    <n v="331"/>
    <n v="196"/>
    <n v="10"/>
    <x v="0"/>
    <n v="1994"/>
    <n v="351"/>
    <n v="2345"/>
    <n v="1.062163019346654"/>
    <n v="132"/>
    <x v="48"/>
  </r>
  <r>
    <x v="48"/>
    <x v="7"/>
    <n v="85251"/>
    <n v="1515"/>
    <n v="18286"/>
    <n v="65375"/>
    <n v="825"/>
    <n v="142"/>
    <n v="1309379"/>
    <n v="1599"/>
    <n v="483914"/>
    <n v="1505"/>
    <n v="17125"/>
    <n v="64662"/>
    <n v="795"/>
    <n v="137"/>
    <n v="1297047"/>
    <n v="480258"/>
    <n v="1584"/>
    <n v="1888"/>
    <n v="1161"/>
    <n v="30"/>
    <x v="11"/>
    <n v="12332"/>
    <n v="3656"/>
    <n v="15988"/>
    <n v="1.0677956204379562"/>
    <n v="713"/>
    <x v="48"/>
  </r>
  <r>
    <x v="49"/>
    <x v="0"/>
    <n v="19779"/>
    <n v="390"/>
    <n v="5057"/>
    <n v="14368"/>
    <n v="248"/>
    <n v="39"/>
    <n v="272183"/>
    <n v="359"/>
    <n v="86440"/>
    <n v="433"/>
    <n v="4826"/>
    <n v="14151"/>
    <n v="226"/>
    <n v="38"/>
    <n v="269435"/>
    <n v="85491"/>
    <n v="358"/>
    <n v="449"/>
    <n v="231"/>
    <n v="22"/>
    <x v="0"/>
    <n v="2748"/>
    <n v="949"/>
    <n v="3697"/>
    <n v="1.047865727310402"/>
    <n v="217"/>
    <x v="49"/>
  </r>
  <r>
    <x v="49"/>
    <x v="1"/>
    <n v="5808"/>
    <n v="98"/>
    <n v="1544"/>
    <n v="4149"/>
    <n v="124"/>
    <n v="21"/>
    <n v="90517"/>
    <n v="113"/>
    <n v="31852"/>
    <n v="138"/>
    <n v="1472"/>
    <n v="4116"/>
    <n v="113"/>
    <n v="19"/>
    <n v="89631"/>
    <n v="31783"/>
    <n v="111"/>
    <n v="107"/>
    <n v="72"/>
    <n v="11"/>
    <x v="1"/>
    <n v="886"/>
    <n v="69"/>
    <n v="955"/>
    <n v="1.048913043478261"/>
    <n v="33"/>
    <x v="49"/>
  </r>
  <r>
    <x v="49"/>
    <x v="2"/>
    <n v="9232"/>
    <n v="157"/>
    <n v="1666"/>
    <n v="7398"/>
    <n v="48"/>
    <n v="11"/>
    <n v="148962"/>
    <n v="160"/>
    <n v="79625"/>
    <n v="170"/>
    <n v="1545"/>
    <n v="7348"/>
    <n v="41"/>
    <n v="11"/>
    <n v="147474"/>
    <n v="79484"/>
    <n v="158"/>
    <n v="173"/>
    <n v="121"/>
    <n v="7"/>
    <x v="2"/>
    <n v="1488"/>
    <n v="141"/>
    <n v="1629"/>
    <n v="1.0783171521035599"/>
    <n v="50"/>
    <x v="49"/>
  </r>
  <r>
    <x v="49"/>
    <x v="3"/>
    <n v="11937"/>
    <n v="183"/>
    <n v="2691"/>
    <n v="8918"/>
    <n v="143"/>
    <n v="12"/>
    <n v="164423"/>
    <n v="328"/>
    <n v="75520"/>
    <n v="179"/>
    <n v="2568"/>
    <n v="8810"/>
    <n v="129"/>
    <n v="12"/>
    <n v="162711"/>
    <n v="75051"/>
    <n v="328"/>
    <n v="231"/>
    <n v="123"/>
    <n v="14"/>
    <x v="2"/>
    <n v="1712"/>
    <n v="469"/>
    <n v="2181"/>
    <n v="1.0478971962616823"/>
    <n v="108"/>
    <x v="49"/>
  </r>
  <r>
    <x v="49"/>
    <x v="4"/>
    <n v="8978"/>
    <n v="111"/>
    <n v="1650"/>
    <n v="7233"/>
    <n v="102"/>
    <n v="15"/>
    <n v="132183"/>
    <n v="98"/>
    <n v="50225"/>
    <n v="124"/>
    <n v="1579"/>
    <n v="7171"/>
    <n v="84"/>
    <n v="13"/>
    <n v="131128"/>
    <n v="49887"/>
    <n v="97"/>
    <n v="134"/>
    <n v="71"/>
    <n v="18"/>
    <x v="1"/>
    <n v="1055"/>
    <n v="338"/>
    <n v="1393"/>
    <n v="1.0449651678277392"/>
    <n v="62"/>
    <x v="49"/>
  </r>
  <r>
    <x v="49"/>
    <x v="5"/>
    <n v="14177"/>
    <n v="118"/>
    <n v="2924"/>
    <n v="11020"/>
    <n v="112"/>
    <n v="29"/>
    <n v="229725"/>
    <n v="243"/>
    <n v="99886"/>
    <n v="172"/>
    <n v="2947"/>
    <n v="10838"/>
    <n v="106"/>
    <n v="27"/>
    <n v="228050"/>
    <n v="99485"/>
    <n v="243"/>
    <n v="159"/>
    <n v="-23"/>
    <n v="6"/>
    <x v="1"/>
    <n v="1675"/>
    <n v="401"/>
    <n v="2076"/>
    <n v="0.99219545300305401"/>
    <n v="182"/>
    <x v="49"/>
  </r>
  <r>
    <x v="49"/>
    <x v="6"/>
    <n v="16868"/>
    <n v="268"/>
    <n v="3460"/>
    <n v="13102"/>
    <n v="139"/>
    <n v="23"/>
    <n v="283886"/>
    <n v="307"/>
    <n v="62910"/>
    <n v="299"/>
    <n v="3349"/>
    <n v="12941"/>
    <n v="126"/>
    <n v="22"/>
    <n v="280950"/>
    <n v="62733"/>
    <n v="304"/>
    <n v="275"/>
    <n v="111"/>
    <n v="13"/>
    <x v="0"/>
    <n v="2936"/>
    <n v="177"/>
    <n v="3113"/>
    <n v="1.0331442221558673"/>
    <n v="161"/>
    <x v="49"/>
  </r>
  <r>
    <x v="49"/>
    <x v="7"/>
    <n v="86779"/>
    <n v="1325"/>
    <n v="18992"/>
    <n v="66188"/>
    <n v="916"/>
    <n v="150"/>
    <n v="1321879"/>
    <n v="1608"/>
    <n v="486458"/>
    <n v="1515"/>
    <n v="18286"/>
    <n v="65375"/>
    <n v="825"/>
    <n v="142"/>
    <n v="1309379"/>
    <n v="483914"/>
    <n v="1599"/>
    <n v="1528"/>
    <n v="706"/>
    <n v="91"/>
    <x v="15"/>
    <n v="12500"/>
    <n v="2544"/>
    <n v="15044"/>
    <n v="1.0386087717379415"/>
    <n v="813"/>
    <x v="49"/>
  </r>
  <r>
    <x v="50"/>
    <x v="0"/>
    <n v="20079"/>
    <n v="251"/>
    <n v="5225"/>
    <n v="14492"/>
    <n v="272"/>
    <n v="43"/>
    <n v="274248"/>
    <n v="367"/>
    <n v="86912"/>
    <n v="390"/>
    <n v="5057"/>
    <n v="14368"/>
    <n v="248"/>
    <n v="39"/>
    <n v="272183"/>
    <n v="86440"/>
    <n v="359"/>
    <n v="300"/>
    <n v="168"/>
    <n v="24"/>
    <x v="9"/>
    <n v="2065"/>
    <n v="472"/>
    <n v="2537"/>
    <n v="1.0332212774372158"/>
    <n v="124"/>
    <x v="50"/>
  </r>
  <r>
    <x v="50"/>
    <x v="1"/>
    <n v="5914"/>
    <n v="98"/>
    <n v="1573"/>
    <n v="4226"/>
    <n v="131"/>
    <n v="23"/>
    <n v="91143"/>
    <n v="113"/>
    <n v="31920"/>
    <n v="98"/>
    <n v="1544"/>
    <n v="4149"/>
    <n v="124"/>
    <n v="21"/>
    <n v="90517"/>
    <n v="31852"/>
    <n v="113"/>
    <n v="106"/>
    <n v="29"/>
    <n v="7"/>
    <x v="1"/>
    <n v="626"/>
    <n v="68"/>
    <n v="694"/>
    <n v="1.0187823834196892"/>
    <n v="77"/>
    <x v="50"/>
  </r>
  <r>
    <x v="50"/>
    <x v="2"/>
    <n v="9353"/>
    <n v="111"/>
    <n v="1731"/>
    <n v="7454"/>
    <n v="51"/>
    <n v="15"/>
    <n v="150014"/>
    <n v="160"/>
    <n v="79847"/>
    <n v="157"/>
    <n v="1666"/>
    <n v="7398"/>
    <n v="48"/>
    <n v="11"/>
    <n v="148962"/>
    <n v="79625"/>
    <n v="160"/>
    <n v="121"/>
    <n v="65"/>
    <n v="3"/>
    <x v="9"/>
    <n v="1052"/>
    <n v="222"/>
    <n v="1274"/>
    <n v="1.0390156062424969"/>
    <n v="56"/>
    <x v="50"/>
  </r>
  <r>
    <x v="50"/>
    <x v="3"/>
    <n v="12087"/>
    <n v="116"/>
    <n v="2761"/>
    <n v="8996"/>
    <n v="156"/>
    <n v="12"/>
    <n v="166567"/>
    <n v="330"/>
    <n v="75859"/>
    <n v="183"/>
    <n v="2691"/>
    <n v="8918"/>
    <n v="143"/>
    <n v="12"/>
    <n v="164423"/>
    <n v="75520"/>
    <n v="328"/>
    <n v="150"/>
    <n v="70"/>
    <n v="13"/>
    <x v="2"/>
    <n v="2144"/>
    <n v="339"/>
    <n v="2483"/>
    <n v="1.026012634708287"/>
    <n v="78"/>
    <x v="50"/>
  </r>
  <r>
    <x v="50"/>
    <x v="4"/>
    <n v="9179"/>
    <n v="186"/>
    <n v="1818"/>
    <n v="7263"/>
    <n v="107"/>
    <n v="15"/>
    <n v="133480"/>
    <n v="101"/>
    <n v="50481"/>
    <n v="111"/>
    <n v="1650"/>
    <n v="7233"/>
    <n v="102"/>
    <n v="15"/>
    <n v="132183"/>
    <n v="50225"/>
    <n v="98"/>
    <n v="201"/>
    <n v="168"/>
    <n v="5"/>
    <x v="2"/>
    <n v="1297"/>
    <n v="256"/>
    <n v="1553"/>
    <n v="1.1018181818181818"/>
    <n v="30"/>
    <x v="50"/>
  </r>
  <r>
    <x v="50"/>
    <x v="5"/>
    <n v="14471"/>
    <n v="251"/>
    <n v="3118"/>
    <n v="11119"/>
    <n v="122"/>
    <n v="32"/>
    <n v="232286"/>
    <n v="243"/>
    <n v="100122"/>
    <n v="118"/>
    <n v="2924"/>
    <n v="11020"/>
    <n v="112"/>
    <n v="29"/>
    <n v="229725"/>
    <n v="99886"/>
    <n v="243"/>
    <n v="294"/>
    <n v="194"/>
    <n v="10"/>
    <x v="3"/>
    <n v="2561"/>
    <n v="236"/>
    <n v="2797"/>
    <n v="1.0663474692202461"/>
    <n v="99"/>
    <x v="50"/>
  </r>
  <r>
    <x v="50"/>
    <x v="6"/>
    <n v="17098"/>
    <n v="221"/>
    <n v="3542"/>
    <n v="13250"/>
    <n v="154"/>
    <n v="21"/>
    <n v="286677"/>
    <n v="308"/>
    <n v="63044"/>
    <n v="268"/>
    <n v="3460"/>
    <n v="13102"/>
    <n v="139"/>
    <n v="23"/>
    <n v="283886"/>
    <n v="62910"/>
    <n v="307"/>
    <n v="230"/>
    <n v="82"/>
    <n v="15"/>
    <x v="5"/>
    <n v="2791"/>
    <n v="134"/>
    <n v="2925"/>
    <n v="1.0236994219653179"/>
    <n v="148"/>
    <x v="50"/>
  </r>
  <r>
    <x v="50"/>
    <x v="7"/>
    <n v="88181"/>
    <n v="1234"/>
    <n v="19768"/>
    <n v="66800"/>
    <n v="993"/>
    <n v="161"/>
    <n v="1334415"/>
    <n v="1622"/>
    <n v="488185"/>
    <n v="1325"/>
    <n v="18992"/>
    <n v="66188"/>
    <n v="916"/>
    <n v="150"/>
    <n v="1321879"/>
    <n v="486458"/>
    <n v="1608"/>
    <n v="1402"/>
    <n v="776"/>
    <n v="77"/>
    <x v="18"/>
    <n v="12536"/>
    <n v="1727"/>
    <n v="14263"/>
    <n v="1.0408593091828138"/>
    <n v="612"/>
    <x v="50"/>
  </r>
  <r>
    <x v="51"/>
    <x v="0"/>
    <n v="20426"/>
    <n v="252"/>
    <n v="5389"/>
    <n v="14668"/>
    <n v="282"/>
    <n v="47"/>
    <n v="275827"/>
    <n v="376"/>
    <n v="87598"/>
    <n v="251"/>
    <n v="5225"/>
    <n v="14492"/>
    <n v="272"/>
    <n v="43"/>
    <n v="274248"/>
    <n v="86912"/>
    <n v="367"/>
    <n v="347"/>
    <n v="164"/>
    <n v="10"/>
    <x v="9"/>
    <n v="1579"/>
    <n v="686"/>
    <n v="2265"/>
    <n v="1.0313875598086124"/>
    <n v="176"/>
    <x v="51"/>
  </r>
  <r>
    <x v="51"/>
    <x v="1"/>
    <n v="6019"/>
    <n v="95"/>
    <n v="1616"/>
    <n v="4283"/>
    <n v="132"/>
    <n v="24"/>
    <n v="91947"/>
    <n v="118"/>
    <n v="32101"/>
    <n v="98"/>
    <n v="1573"/>
    <n v="4226"/>
    <n v="131"/>
    <n v="23"/>
    <n v="91143"/>
    <n v="31920"/>
    <n v="113"/>
    <n v="105"/>
    <n v="43"/>
    <n v="1"/>
    <x v="0"/>
    <n v="804"/>
    <n v="181"/>
    <n v="985"/>
    <n v="1.0273363000635727"/>
    <n v="57"/>
    <x v="51"/>
  </r>
  <r>
    <x v="51"/>
    <x v="2"/>
    <n v="9469"/>
    <n v="91"/>
    <n v="1798"/>
    <n v="7501"/>
    <n v="57"/>
    <n v="15"/>
    <n v="151191"/>
    <n v="162"/>
    <n v="80319"/>
    <n v="111"/>
    <n v="1731"/>
    <n v="7454"/>
    <n v="51"/>
    <n v="15"/>
    <n v="150014"/>
    <n v="79847"/>
    <n v="160"/>
    <n v="116"/>
    <n v="67"/>
    <n v="6"/>
    <x v="2"/>
    <n v="1177"/>
    <n v="472"/>
    <n v="1649"/>
    <n v="1.0387059503177354"/>
    <n v="47"/>
    <x v="51"/>
  </r>
  <r>
    <x v="51"/>
    <x v="3"/>
    <n v="12298"/>
    <n v="118"/>
    <n v="2866"/>
    <n v="9099"/>
    <n v="164"/>
    <n v="12"/>
    <n v="168760"/>
    <n v="333"/>
    <n v="77304"/>
    <n v="116"/>
    <n v="2761"/>
    <n v="8996"/>
    <n v="156"/>
    <n v="12"/>
    <n v="166567"/>
    <n v="75859"/>
    <n v="330"/>
    <n v="211"/>
    <n v="105"/>
    <n v="8"/>
    <x v="2"/>
    <n v="2193"/>
    <n v="1445"/>
    <n v="3638"/>
    <n v="1.038029699384281"/>
    <n v="103"/>
    <x v="51"/>
  </r>
  <r>
    <x v="51"/>
    <x v="4"/>
    <n v="9395"/>
    <n v="187"/>
    <n v="1940"/>
    <n v="7357"/>
    <n v="113"/>
    <n v="15"/>
    <n v="134737"/>
    <n v="101"/>
    <n v="50988"/>
    <n v="186"/>
    <n v="1818"/>
    <n v="7263"/>
    <n v="107"/>
    <n v="15"/>
    <n v="133480"/>
    <n v="50481"/>
    <n v="101"/>
    <n v="216"/>
    <n v="122"/>
    <n v="6"/>
    <x v="2"/>
    <n v="1257"/>
    <n v="507"/>
    <n v="1764"/>
    <n v="1.0671067106710672"/>
    <n v="94"/>
    <x v="51"/>
  </r>
  <r>
    <x v="51"/>
    <x v="5"/>
    <n v="14710"/>
    <n v="174"/>
    <n v="3242"/>
    <n v="11229"/>
    <n v="124"/>
    <n v="34"/>
    <n v="234472"/>
    <n v="248"/>
    <n v="100673"/>
    <n v="251"/>
    <n v="3118"/>
    <n v="11119"/>
    <n v="122"/>
    <n v="32"/>
    <n v="232286"/>
    <n v="100122"/>
    <n v="243"/>
    <n v="239"/>
    <n v="124"/>
    <n v="2"/>
    <x v="1"/>
    <n v="2186"/>
    <n v="551"/>
    <n v="2737"/>
    <n v="1.0397690827453496"/>
    <n v="110"/>
    <x v="51"/>
  </r>
  <r>
    <x v="51"/>
    <x v="6"/>
    <n v="17275"/>
    <n v="151"/>
    <n v="3630"/>
    <n v="13336"/>
    <n v="159"/>
    <n v="23"/>
    <n v="288406"/>
    <n v="311"/>
    <n v="63407"/>
    <n v="221"/>
    <n v="3542"/>
    <n v="13250"/>
    <n v="154"/>
    <n v="21"/>
    <n v="286677"/>
    <n v="63044"/>
    <n v="308"/>
    <n v="177"/>
    <n v="88"/>
    <n v="5"/>
    <x v="1"/>
    <n v="1729"/>
    <n v="363"/>
    <n v="2092"/>
    <n v="1.0248447204968945"/>
    <n v="86"/>
    <x v="51"/>
  </r>
  <r>
    <x v="51"/>
    <x v="7"/>
    <n v="89592"/>
    <n v="1068"/>
    <n v="20481"/>
    <n v="67473"/>
    <n v="1031"/>
    <n v="170"/>
    <n v="1345340"/>
    <n v="1649"/>
    <n v="492390"/>
    <n v="1234"/>
    <n v="19768"/>
    <n v="66800"/>
    <n v="993"/>
    <n v="161"/>
    <n v="1334415"/>
    <n v="488185"/>
    <n v="1622"/>
    <n v="1411"/>
    <n v="713"/>
    <n v="38"/>
    <x v="14"/>
    <n v="10925"/>
    <n v="4205"/>
    <n v="15130"/>
    <n v="1.0360683933630108"/>
    <n v="673"/>
    <x v="51"/>
  </r>
  <r>
    <x v="52"/>
    <x v="0"/>
    <n v="20872"/>
    <n v="366"/>
    <n v="5679"/>
    <n v="14821"/>
    <n v="305"/>
    <n v="48"/>
    <n v="278486"/>
    <n v="379"/>
    <n v="88439"/>
    <n v="252"/>
    <n v="5389"/>
    <n v="14668"/>
    <n v="282"/>
    <n v="47"/>
    <n v="275827"/>
    <n v="87598"/>
    <n v="376"/>
    <n v="446"/>
    <n v="290"/>
    <n v="23"/>
    <x v="0"/>
    <n v="2659"/>
    <n v="841"/>
    <n v="3500"/>
    <n v="1.0538133234366303"/>
    <n v="153"/>
    <x v="52"/>
  </r>
  <r>
    <x v="52"/>
    <x v="1"/>
    <n v="6115"/>
    <n v="85"/>
    <n v="1669"/>
    <n v="4324"/>
    <n v="136"/>
    <n v="26"/>
    <n v="92922"/>
    <n v="120"/>
    <n v="32216"/>
    <n v="95"/>
    <n v="1616"/>
    <n v="4283"/>
    <n v="132"/>
    <n v="24"/>
    <n v="91947"/>
    <n v="32101"/>
    <n v="118"/>
    <n v="96"/>
    <n v="53"/>
    <n v="4"/>
    <x v="1"/>
    <n v="975"/>
    <n v="115"/>
    <n v="1090"/>
    <n v="1.0327970297029703"/>
    <n v="41"/>
    <x v="52"/>
  </r>
  <r>
    <x v="52"/>
    <x v="2"/>
    <n v="9680"/>
    <n v="184"/>
    <n v="1954"/>
    <n v="7556"/>
    <n v="58"/>
    <n v="15"/>
    <n v="152684"/>
    <n v="162"/>
    <n v="80867"/>
    <n v="91"/>
    <n v="1798"/>
    <n v="7501"/>
    <n v="57"/>
    <n v="15"/>
    <n v="151191"/>
    <n v="80319"/>
    <n v="162"/>
    <n v="211"/>
    <n v="156"/>
    <n v="1"/>
    <x v="2"/>
    <n v="1493"/>
    <n v="548"/>
    <n v="2041"/>
    <n v="1.0867630700778643"/>
    <n v="55"/>
    <x v="52"/>
  </r>
  <r>
    <x v="52"/>
    <x v="3"/>
    <n v="12516"/>
    <n v="160"/>
    <n v="2980"/>
    <n v="9200"/>
    <n v="172"/>
    <n v="14"/>
    <n v="170167"/>
    <n v="335"/>
    <n v="80324"/>
    <n v="118"/>
    <n v="2866"/>
    <n v="9099"/>
    <n v="164"/>
    <n v="12"/>
    <n v="168760"/>
    <n v="77304"/>
    <n v="333"/>
    <n v="218"/>
    <n v="114"/>
    <n v="8"/>
    <x v="1"/>
    <n v="1407"/>
    <n v="3020"/>
    <n v="4427"/>
    <n v="1.0397766922540126"/>
    <n v="101"/>
    <x v="52"/>
  </r>
  <r>
    <x v="52"/>
    <x v="4"/>
    <n v="9560"/>
    <n v="133"/>
    <n v="2022"/>
    <n v="7440"/>
    <n v="118"/>
    <n v="16"/>
    <n v="135936"/>
    <n v="101"/>
    <n v="51388"/>
    <n v="187"/>
    <n v="1940"/>
    <n v="7357"/>
    <n v="113"/>
    <n v="15"/>
    <n v="134737"/>
    <n v="50988"/>
    <n v="101"/>
    <n v="165"/>
    <n v="82"/>
    <n v="5"/>
    <x v="0"/>
    <n v="1199"/>
    <n v="400"/>
    <n v="1599"/>
    <n v="1.0422680412371135"/>
    <n v="83"/>
    <x v="52"/>
  </r>
  <r>
    <x v="52"/>
    <x v="5"/>
    <n v="14935"/>
    <n v="159"/>
    <n v="3309"/>
    <n v="11385"/>
    <n v="126"/>
    <n v="36"/>
    <n v="236459"/>
    <n v="250"/>
    <n v="101308"/>
    <n v="174"/>
    <n v="3242"/>
    <n v="11229"/>
    <n v="124"/>
    <n v="34"/>
    <n v="234472"/>
    <n v="100673"/>
    <n v="248"/>
    <n v="225"/>
    <n v="67"/>
    <n v="2"/>
    <x v="1"/>
    <n v="1987"/>
    <n v="635"/>
    <n v="2622"/>
    <n v="1.0206662553979025"/>
    <n v="156"/>
    <x v="52"/>
  </r>
  <r>
    <x v="52"/>
    <x v="6"/>
    <n v="17500"/>
    <n v="210"/>
    <n v="3680"/>
    <n v="13511"/>
    <n v="178"/>
    <n v="23"/>
    <n v="290988"/>
    <n v="312"/>
    <n v="63849"/>
    <n v="151"/>
    <n v="3630"/>
    <n v="13336"/>
    <n v="159"/>
    <n v="23"/>
    <n v="288406"/>
    <n v="63407"/>
    <n v="311"/>
    <n v="225"/>
    <n v="50"/>
    <n v="19"/>
    <x v="2"/>
    <n v="2582"/>
    <n v="442"/>
    <n v="3024"/>
    <n v="1.0137741046831956"/>
    <n v="175"/>
    <x v="52"/>
  </r>
  <r>
    <x v="52"/>
    <x v="7"/>
    <n v="91178"/>
    <n v="1297"/>
    <n v="21293"/>
    <n v="68237"/>
    <n v="1093"/>
    <n v="178"/>
    <n v="1357642"/>
    <n v="1659"/>
    <n v="498391"/>
    <n v="1068"/>
    <n v="20481"/>
    <n v="67473"/>
    <n v="1031"/>
    <n v="170"/>
    <n v="1345340"/>
    <n v="492390"/>
    <n v="1649"/>
    <n v="1586"/>
    <n v="812"/>
    <n v="62"/>
    <x v="15"/>
    <n v="12302"/>
    <n v="6001"/>
    <n v="18303"/>
    <n v="1.0396465016356624"/>
    <n v="764"/>
    <x v="52"/>
  </r>
  <r>
    <x v="53"/>
    <x v="0"/>
    <n v="21281"/>
    <n v="277"/>
    <n v="5855"/>
    <n v="15043"/>
    <n v="310"/>
    <n v="59"/>
    <n v="281768"/>
    <n v="391"/>
    <n v="89637"/>
    <n v="366"/>
    <n v="5679"/>
    <n v="14821"/>
    <n v="305"/>
    <n v="48"/>
    <n v="278486"/>
    <n v="88439"/>
    <n v="379"/>
    <n v="409"/>
    <n v="176"/>
    <n v="5"/>
    <x v="18"/>
    <n v="3282"/>
    <n v="1198"/>
    <n v="4480"/>
    <n v="1.0309913717203734"/>
    <n v="222"/>
    <x v="53"/>
  </r>
  <r>
    <x v="53"/>
    <x v="1"/>
    <n v="6230"/>
    <n v="101"/>
    <n v="1706"/>
    <n v="4402"/>
    <n v="135"/>
    <n v="30"/>
    <n v="93776"/>
    <n v="120"/>
    <n v="32380"/>
    <n v="85"/>
    <n v="1669"/>
    <n v="4324"/>
    <n v="136"/>
    <n v="26"/>
    <n v="92922"/>
    <n v="32216"/>
    <n v="120"/>
    <n v="115"/>
    <n v="37"/>
    <n v="-1"/>
    <x v="9"/>
    <n v="854"/>
    <n v="164"/>
    <n v="1018"/>
    <n v="1.0221689634511684"/>
    <n v="78"/>
    <x v="53"/>
  </r>
  <r>
    <x v="53"/>
    <x v="2"/>
    <n v="9814"/>
    <n v="130"/>
    <n v="1978"/>
    <n v="7665"/>
    <n v="57"/>
    <n v="15"/>
    <n v="154202"/>
    <n v="163"/>
    <n v="81248"/>
    <n v="184"/>
    <n v="1954"/>
    <n v="7556"/>
    <n v="58"/>
    <n v="15"/>
    <n v="152684"/>
    <n v="80867"/>
    <n v="162"/>
    <n v="134"/>
    <n v="24"/>
    <n v="-1"/>
    <x v="2"/>
    <n v="1518"/>
    <n v="381"/>
    <n v="1899"/>
    <n v="1.0122824974411464"/>
    <n v="109"/>
    <x v="53"/>
  </r>
  <r>
    <x v="53"/>
    <x v="3"/>
    <n v="12687"/>
    <n v="137"/>
    <n v="2968"/>
    <n v="9378"/>
    <n v="177"/>
    <n v="14"/>
    <n v="171347"/>
    <n v="340"/>
    <n v="81041"/>
    <n v="160"/>
    <n v="2980"/>
    <n v="9200"/>
    <n v="172"/>
    <n v="14"/>
    <n v="170167"/>
    <n v="80324"/>
    <n v="335"/>
    <n v="171"/>
    <n v="-12"/>
    <n v="5"/>
    <x v="2"/>
    <n v="1180"/>
    <n v="717"/>
    <n v="1897"/>
    <n v="0.99597315436241607"/>
    <n v="178"/>
    <x v="53"/>
  </r>
  <r>
    <x v="53"/>
    <x v="4"/>
    <n v="9747"/>
    <n v="151"/>
    <n v="2154"/>
    <n v="7491"/>
    <n v="116"/>
    <n v="17"/>
    <n v="137290"/>
    <n v="105"/>
    <n v="51916"/>
    <n v="133"/>
    <n v="2022"/>
    <n v="7440"/>
    <n v="118"/>
    <n v="16"/>
    <n v="135936"/>
    <n v="51388"/>
    <n v="101"/>
    <n v="187"/>
    <n v="132"/>
    <n v="-2"/>
    <x v="0"/>
    <n v="1354"/>
    <n v="528"/>
    <n v="1882"/>
    <n v="1.0652818991097923"/>
    <n v="51"/>
    <x v="53"/>
  </r>
  <r>
    <x v="53"/>
    <x v="5"/>
    <n v="15132"/>
    <n v="124"/>
    <n v="3271"/>
    <n v="11616"/>
    <n v="119"/>
    <n v="35"/>
    <n v="238642"/>
    <n v="253"/>
    <n v="102112"/>
    <n v="159"/>
    <n v="3309"/>
    <n v="11385"/>
    <n v="126"/>
    <n v="36"/>
    <n v="236459"/>
    <n v="101308"/>
    <n v="250"/>
    <n v="197"/>
    <n v="-38"/>
    <n v="-7"/>
    <x v="4"/>
    <n v="2183"/>
    <n v="804"/>
    <n v="2987"/>
    <n v="0.98851616802659414"/>
    <n v="231"/>
    <x v="53"/>
  </r>
  <r>
    <x v="53"/>
    <x v="6"/>
    <n v="17755"/>
    <n v="201"/>
    <n v="3681"/>
    <n v="13761"/>
    <n v="172"/>
    <n v="23"/>
    <n v="293411"/>
    <n v="316"/>
    <n v="64129"/>
    <n v="210"/>
    <n v="3680"/>
    <n v="13511"/>
    <n v="178"/>
    <n v="23"/>
    <n v="290988"/>
    <n v="63849"/>
    <n v="312"/>
    <n v="255"/>
    <n v="1"/>
    <n v="-6"/>
    <x v="2"/>
    <n v="2423"/>
    <n v="280"/>
    <n v="2703"/>
    <n v="1.0002717391304348"/>
    <n v="250"/>
    <x v="53"/>
  </r>
  <r>
    <x v="53"/>
    <x v="7"/>
    <n v="92646"/>
    <n v="1121"/>
    <n v="21613"/>
    <n v="69356"/>
    <n v="1086"/>
    <n v="193"/>
    <n v="1370436"/>
    <n v="1688"/>
    <n v="502463"/>
    <n v="1297"/>
    <n v="21293"/>
    <n v="68237"/>
    <n v="1093"/>
    <n v="178"/>
    <n v="1357642"/>
    <n v="498391"/>
    <n v="1659"/>
    <n v="1468"/>
    <n v="320"/>
    <n v="-7"/>
    <x v="19"/>
    <n v="12794"/>
    <n v="4072"/>
    <n v="16866"/>
    <n v="1.015028413093505"/>
    <n v="1119"/>
    <x v="53"/>
  </r>
  <r>
    <x v="54"/>
    <x v="0"/>
    <n v="21646"/>
    <n v="250"/>
    <n v="5912"/>
    <n v="15343"/>
    <n v="321"/>
    <n v="69"/>
    <n v="284869"/>
    <n v="400"/>
    <n v="91501"/>
    <n v="277"/>
    <n v="5855"/>
    <n v="15043"/>
    <n v="310"/>
    <n v="59"/>
    <n v="281768"/>
    <n v="89637"/>
    <n v="391"/>
    <n v="365"/>
    <n v="57"/>
    <n v="11"/>
    <x v="13"/>
    <n v="3101"/>
    <n v="1864"/>
    <n v="4965"/>
    <n v="1.0097352690008539"/>
    <n v="300"/>
    <x v="54"/>
  </r>
  <r>
    <x v="54"/>
    <x v="1"/>
    <n v="6375"/>
    <n v="124"/>
    <n v="1796"/>
    <n v="4454"/>
    <n v="150"/>
    <n v="25"/>
    <n v="94932"/>
    <n v="123"/>
    <n v="32565"/>
    <n v="101"/>
    <n v="1706"/>
    <n v="4402"/>
    <n v="135"/>
    <n v="30"/>
    <n v="93776"/>
    <n v="32380"/>
    <n v="120"/>
    <n v="145"/>
    <n v="90"/>
    <n v="15"/>
    <x v="7"/>
    <n v="1156"/>
    <n v="185"/>
    <n v="1341"/>
    <n v="1.0527549824150058"/>
    <n v="52"/>
    <x v="54"/>
  </r>
  <r>
    <x v="54"/>
    <x v="2"/>
    <n v="9937"/>
    <n v="114"/>
    <n v="2009"/>
    <n v="7752"/>
    <n v="56"/>
    <n v="16"/>
    <n v="155706"/>
    <n v="168"/>
    <n v="81543"/>
    <n v="130"/>
    <n v="1978"/>
    <n v="7665"/>
    <n v="57"/>
    <n v="15"/>
    <n v="154202"/>
    <n v="81248"/>
    <n v="163"/>
    <n v="123"/>
    <n v="31"/>
    <n v="-1"/>
    <x v="0"/>
    <n v="1504"/>
    <n v="295"/>
    <n v="1799"/>
    <n v="1.0156723963599597"/>
    <n v="87"/>
    <x v="54"/>
  </r>
  <r>
    <x v="54"/>
    <x v="3"/>
    <n v="12877"/>
    <n v="160"/>
    <n v="2989"/>
    <n v="9540"/>
    <n v="178"/>
    <n v="12"/>
    <n v="173062"/>
    <n v="347"/>
    <n v="82186"/>
    <n v="137"/>
    <n v="2968"/>
    <n v="9378"/>
    <n v="177"/>
    <n v="14"/>
    <n v="171347"/>
    <n v="81041"/>
    <n v="340"/>
    <n v="190"/>
    <n v="21"/>
    <n v="1"/>
    <x v="5"/>
    <n v="1715"/>
    <n v="1145"/>
    <n v="2860"/>
    <n v="1.0070754716981132"/>
    <n v="162"/>
    <x v="54"/>
  </r>
  <r>
    <x v="54"/>
    <x v="4"/>
    <n v="9917"/>
    <n v="156"/>
    <n v="2246"/>
    <n v="7569"/>
    <n v="119"/>
    <n v="25"/>
    <n v="138517"/>
    <n v="105"/>
    <n v="52471"/>
    <n v="151"/>
    <n v="2154"/>
    <n v="7491"/>
    <n v="116"/>
    <n v="17"/>
    <n v="137290"/>
    <n v="51916"/>
    <n v="105"/>
    <n v="170"/>
    <n v="92"/>
    <n v="3"/>
    <x v="15"/>
    <n v="1227"/>
    <n v="555"/>
    <n v="1782"/>
    <n v="1.042711234911792"/>
    <n v="78"/>
    <x v="54"/>
  </r>
  <r>
    <x v="54"/>
    <x v="5"/>
    <n v="15433"/>
    <n v="253"/>
    <n v="3373"/>
    <n v="11811"/>
    <n v="133"/>
    <n v="40"/>
    <n v="240664"/>
    <n v="257"/>
    <n v="103391"/>
    <n v="124"/>
    <n v="3271"/>
    <n v="11616"/>
    <n v="119"/>
    <n v="35"/>
    <n v="238642"/>
    <n v="102112"/>
    <n v="253"/>
    <n v="301"/>
    <n v="102"/>
    <n v="14"/>
    <x v="11"/>
    <n v="2022"/>
    <n v="1279"/>
    <n v="3301"/>
    <n v="1.0311831244267808"/>
    <n v="195"/>
    <x v="54"/>
  </r>
  <r>
    <x v="54"/>
    <x v="6"/>
    <n v="18104"/>
    <n v="333"/>
    <n v="3799"/>
    <n v="13990"/>
    <n v="164"/>
    <n v="23"/>
    <n v="296339"/>
    <n v="318"/>
    <n v="64512"/>
    <n v="201"/>
    <n v="3681"/>
    <n v="13761"/>
    <n v="172"/>
    <n v="23"/>
    <n v="293411"/>
    <n v="64129"/>
    <n v="316"/>
    <n v="349"/>
    <n v="118"/>
    <n v="-8"/>
    <x v="2"/>
    <n v="2928"/>
    <n v="383"/>
    <n v="3311"/>
    <n v="1.0320565063841347"/>
    <n v="229"/>
    <x v="54"/>
  </r>
  <r>
    <x v="54"/>
    <x v="7"/>
    <n v="94289"/>
    <n v="1390"/>
    <n v="22124"/>
    <n v="70459"/>
    <n v="1121"/>
    <n v="210"/>
    <n v="1384089"/>
    <n v="1718"/>
    <n v="508169"/>
    <n v="1121"/>
    <n v="21613"/>
    <n v="69356"/>
    <n v="1086"/>
    <n v="193"/>
    <n v="1370436"/>
    <n v="502463"/>
    <n v="1688"/>
    <n v="1643"/>
    <n v="511"/>
    <n v="35"/>
    <x v="20"/>
    <n v="13653"/>
    <n v="5706"/>
    <n v="19359"/>
    <n v="1.0236431777171147"/>
    <n v="1103"/>
    <x v="54"/>
  </r>
  <r>
    <x v="55"/>
    <x v="0"/>
    <n v="21966"/>
    <n v="251"/>
    <n v="5984"/>
    <n v="15580"/>
    <n v="313"/>
    <n v="79"/>
    <n v="288049"/>
    <n v="412"/>
    <n v="93212"/>
    <n v="250"/>
    <n v="5912"/>
    <n v="15343"/>
    <n v="321"/>
    <n v="69"/>
    <n v="284869"/>
    <n v="91501"/>
    <n v="400"/>
    <n v="320"/>
    <n v="72"/>
    <n v="-8"/>
    <x v="13"/>
    <n v="3180"/>
    <n v="1711"/>
    <n v="4891"/>
    <n v="1.0121786197564275"/>
    <n v="237"/>
    <x v="55"/>
  </r>
  <r>
    <x v="55"/>
    <x v="1"/>
    <n v="6507"/>
    <n v="126"/>
    <n v="1787"/>
    <n v="4592"/>
    <n v="150"/>
    <n v="24"/>
    <n v="95845"/>
    <n v="125"/>
    <n v="32729"/>
    <n v="124"/>
    <n v="1796"/>
    <n v="4454"/>
    <n v="150"/>
    <n v="25"/>
    <n v="94932"/>
    <n v="32565"/>
    <n v="123"/>
    <n v="132"/>
    <n v="-9"/>
    <n v="0"/>
    <x v="4"/>
    <n v="913"/>
    <n v="164"/>
    <n v="1077"/>
    <n v="0.99498886414253895"/>
    <n v="138"/>
    <x v="55"/>
  </r>
  <r>
    <x v="55"/>
    <x v="2"/>
    <n v="10116"/>
    <n v="169"/>
    <n v="2121"/>
    <n v="7818"/>
    <n v="57"/>
    <n v="21"/>
    <n v="157105"/>
    <n v="170"/>
    <n v="82160"/>
    <n v="114"/>
    <n v="2009"/>
    <n v="7752"/>
    <n v="56"/>
    <n v="16"/>
    <n v="155706"/>
    <n v="81543"/>
    <n v="168"/>
    <n v="179"/>
    <n v="112"/>
    <n v="1"/>
    <x v="11"/>
    <n v="1399"/>
    <n v="617"/>
    <n v="2016"/>
    <n v="1.0557491289198606"/>
    <n v="66"/>
    <x v="55"/>
  </r>
  <r>
    <x v="55"/>
    <x v="3"/>
    <n v="13013"/>
    <n v="96"/>
    <n v="2963"/>
    <n v="9699"/>
    <n v="168"/>
    <n v="14"/>
    <n v="174659"/>
    <n v="350"/>
    <n v="83435"/>
    <n v="160"/>
    <n v="2989"/>
    <n v="9540"/>
    <n v="178"/>
    <n v="12"/>
    <n v="173062"/>
    <n v="82186"/>
    <n v="347"/>
    <n v="136"/>
    <n v="-26"/>
    <n v="-10"/>
    <x v="1"/>
    <n v="1597"/>
    <n v="1249"/>
    <n v="2846"/>
    <n v="0.99130143860823017"/>
    <n v="159"/>
    <x v="55"/>
  </r>
  <r>
    <x v="55"/>
    <x v="4"/>
    <n v="10125"/>
    <n v="172"/>
    <n v="2365"/>
    <n v="7654"/>
    <n v="112"/>
    <n v="29"/>
    <n v="140170"/>
    <n v="109"/>
    <n v="53271"/>
    <n v="156"/>
    <n v="2246"/>
    <n v="7569"/>
    <n v="119"/>
    <n v="25"/>
    <n v="138517"/>
    <n v="52471"/>
    <n v="105"/>
    <n v="208"/>
    <n v="119"/>
    <n v="-7"/>
    <x v="9"/>
    <n v="1653"/>
    <n v="800"/>
    <n v="2453"/>
    <n v="1.0529830810329475"/>
    <n v="85"/>
    <x v="55"/>
  </r>
  <r>
    <x v="55"/>
    <x v="5"/>
    <n v="15699"/>
    <n v="209"/>
    <n v="3445"/>
    <n v="12002"/>
    <n v="131"/>
    <n v="40"/>
    <n v="243354"/>
    <n v="260"/>
    <n v="104827"/>
    <n v="253"/>
    <n v="3373"/>
    <n v="11811"/>
    <n v="133"/>
    <n v="40"/>
    <n v="240664"/>
    <n v="103391"/>
    <n v="257"/>
    <n v="266"/>
    <n v="72"/>
    <n v="-2"/>
    <x v="2"/>
    <n v="2690"/>
    <n v="1436"/>
    <n v="4126"/>
    <n v="1.021345982804625"/>
    <n v="191"/>
    <x v="55"/>
  </r>
  <r>
    <x v="55"/>
    <x v="6"/>
    <n v="18355"/>
    <n v="236"/>
    <n v="3846"/>
    <n v="14186"/>
    <n v="153"/>
    <n v="21"/>
    <n v="298797"/>
    <n v="326"/>
    <n v="64928"/>
    <n v="333"/>
    <n v="3799"/>
    <n v="13990"/>
    <n v="164"/>
    <n v="23"/>
    <n v="296339"/>
    <n v="64512"/>
    <n v="318"/>
    <n v="251"/>
    <n v="47"/>
    <n v="-11"/>
    <x v="5"/>
    <n v="2458"/>
    <n v="416"/>
    <n v="2874"/>
    <n v="1.0123716767570414"/>
    <n v="196"/>
    <x v="55"/>
  </r>
  <r>
    <x v="55"/>
    <x v="7"/>
    <n v="95781"/>
    <n v="1259"/>
    <n v="22511"/>
    <n v="71531"/>
    <n v="1084"/>
    <n v="228"/>
    <n v="1397979"/>
    <n v="1752"/>
    <n v="514562"/>
    <n v="1390"/>
    <n v="22124"/>
    <n v="70459"/>
    <n v="1121"/>
    <n v="210"/>
    <n v="1384089"/>
    <n v="508169"/>
    <n v="1718"/>
    <n v="1492"/>
    <n v="387"/>
    <n v="-37"/>
    <x v="17"/>
    <n v="13890"/>
    <n v="6393"/>
    <n v="20283"/>
    <n v="1.0174923160368829"/>
    <n v="1072"/>
    <x v="55"/>
  </r>
  <r>
    <x v="56"/>
    <x v="0"/>
    <n v="22305"/>
    <n v="293"/>
    <n v="6020"/>
    <n v="15876"/>
    <n v="326"/>
    <n v="82"/>
    <n v="290745"/>
    <n v="419"/>
    <n v="96962"/>
    <n v="251"/>
    <n v="5984"/>
    <n v="15580"/>
    <n v="313"/>
    <n v="79"/>
    <n v="288049"/>
    <n v="93212"/>
    <n v="412"/>
    <n v="339"/>
    <n v="36"/>
    <n v="13"/>
    <x v="3"/>
    <n v="2696"/>
    <n v="3750"/>
    <n v="6446"/>
    <n v="1.0060160427807487"/>
    <n v="296"/>
    <x v="56"/>
  </r>
  <r>
    <x v="56"/>
    <x v="1"/>
    <n v="6598"/>
    <n v="88"/>
    <n v="1779"/>
    <n v="4691"/>
    <n v="160"/>
    <n v="25"/>
    <n v="96615"/>
    <n v="125"/>
    <n v="32772"/>
    <n v="126"/>
    <n v="1787"/>
    <n v="4592"/>
    <n v="150"/>
    <n v="24"/>
    <n v="95845"/>
    <n v="32729"/>
    <n v="125"/>
    <n v="91"/>
    <n v="-8"/>
    <n v="10"/>
    <x v="0"/>
    <n v="770"/>
    <n v="43"/>
    <n v="813"/>
    <n v="0.99552322327923892"/>
    <n v="99"/>
    <x v="56"/>
  </r>
  <r>
    <x v="56"/>
    <x v="2"/>
    <n v="10240"/>
    <n v="116"/>
    <n v="2129"/>
    <n v="7933"/>
    <n v="54"/>
    <n v="19"/>
    <n v="158618"/>
    <n v="171"/>
    <n v="82578"/>
    <n v="169"/>
    <n v="2121"/>
    <n v="7818"/>
    <n v="57"/>
    <n v="21"/>
    <n v="157105"/>
    <n v="82160"/>
    <n v="170"/>
    <n v="124"/>
    <n v="8"/>
    <n v="-3"/>
    <x v="5"/>
    <n v="1513"/>
    <n v="418"/>
    <n v="1931"/>
    <n v="1.0037718057520038"/>
    <n v="115"/>
    <x v="56"/>
  </r>
  <r>
    <x v="56"/>
    <x v="3"/>
    <n v="13169"/>
    <n v="142"/>
    <n v="2949"/>
    <n v="9869"/>
    <n v="171"/>
    <n v="13"/>
    <n v="176168"/>
    <n v="351"/>
    <n v="83816"/>
    <n v="96"/>
    <n v="2963"/>
    <n v="9699"/>
    <n v="168"/>
    <n v="14"/>
    <n v="174659"/>
    <n v="83435"/>
    <n v="350"/>
    <n v="156"/>
    <n v="-14"/>
    <n v="3"/>
    <x v="4"/>
    <n v="1509"/>
    <n v="381"/>
    <n v="1890"/>
    <n v="0.99527505906176172"/>
    <n v="170"/>
    <x v="56"/>
  </r>
  <r>
    <x v="56"/>
    <x v="4"/>
    <n v="10293"/>
    <n v="148"/>
    <n v="2455"/>
    <n v="7732"/>
    <n v="124"/>
    <n v="30"/>
    <n v="141439"/>
    <n v="109"/>
    <n v="54250"/>
    <n v="172"/>
    <n v="2365"/>
    <n v="7654"/>
    <n v="112"/>
    <n v="29"/>
    <n v="140170"/>
    <n v="53271"/>
    <n v="109"/>
    <n v="168"/>
    <n v="90"/>
    <n v="12"/>
    <x v="0"/>
    <n v="1269"/>
    <n v="979"/>
    <n v="2248"/>
    <n v="1.0380549682875264"/>
    <n v="78"/>
    <x v="56"/>
  </r>
  <r>
    <x v="56"/>
    <x v="5"/>
    <n v="15875"/>
    <n v="137"/>
    <n v="3425"/>
    <n v="12198"/>
    <n v="141"/>
    <n v="42"/>
    <n v="245624"/>
    <n v="260"/>
    <n v="106409"/>
    <n v="209"/>
    <n v="3445"/>
    <n v="12002"/>
    <n v="131"/>
    <n v="40"/>
    <n v="243354"/>
    <n v="104827"/>
    <n v="260"/>
    <n v="176"/>
    <n v="-20"/>
    <n v="10"/>
    <x v="1"/>
    <n v="2270"/>
    <n v="1582"/>
    <n v="3852"/>
    <n v="0.99419448476052252"/>
    <n v="196"/>
    <x v="56"/>
  </r>
  <r>
    <x v="56"/>
    <x v="6"/>
    <n v="18632"/>
    <n v="261"/>
    <n v="3851"/>
    <n v="14457"/>
    <n v="154"/>
    <n v="21"/>
    <n v="301350"/>
    <n v="326"/>
    <n v="65642"/>
    <n v="236"/>
    <n v="3846"/>
    <n v="14186"/>
    <n v="153"/>
    <n v="21"/>
    <n v="298797"/>
    <n v="64928"/>
    <n v="326"/>
    <n v="277"/>
    <n v="5"/>
    <n v="1"/>
    <x v="2"/>
    <n v="2553"/>
    <n v="714"/>
    <n v="3267"/>
    <n v="1.0013000520020801"/>
    <n v="271"/>
    <x v="56"/>
  </r>
  <r>
    <x v="56"/>
    <x v="7"/>
    <n v="97112"/>
    <n v="1185"/>
    <n v="22608"/>
    <n v="72756"/>
    <n v="1130"/>
    <n v="232"/>
    <n v="1410559"/>
    <n v="1761"/>
    <n v="522429"/>
    <n v="1259"/>
    <n v="22511"/>
    <n v="71531"/>
    <n v="1084"/>
    <n v="228"/>
    <n v="1397979"/>
    <n v="514562"/>
    <n v="1752"/>
    <n v="1331"/>
    <n v="97"/>
    <n v="46"/>
    <x v="9"/>
    <n v="12580"/>
    <n v="7867"/>
    <n v="20447"/>
    <n v="1.0043090044866954"/>
    <n v="1225"/>
    <x v="56"/>
  </r>
  <r>
    <x v="57"/>
    <x v="0"/>
    <n v="22519"/>
    <n v="182"/>
    <n v="5934"/>
    <n v="16175"/>
    <n v="341"/>
    <n v="86"/>
    <n v="293160"/>
    <n v="420"/>
    <n v="100476"/>
    <n v="293"/>
    <n v="6020"/>
    <n v="15876"/>
    <n v="326"/>
    <n v="82"/>
    <n v="290745"/>
    <n v="96962"/>
    <n v="419"/>
    <n v="214"/>
    <n v="-86"/>
    <n v="15"/>
    <x v="9"/>
    <n v="2415"/>
    <n v="3514"/>
    <n v="5929"/>
    <n v="0.98571428571428577"/>
    <n v="299"/>
    <x v="57"/>
  </r>
  <r>
    <x v="57"/>
    <x v="1"/>
    <n v="6698"/>
    <n v="94"/>
    <n v="1788"/>
    <n v="4778"/>
    <n v="164"/>
    <n v="24"/>
    <n v="97293"/>
    <n v="129"/>
    <n v="32833"/>
    <n v="88"/>
    <n v="1779"/>
    <n v="4691"/>
    <n v="160"/>
    <n v="25"/>
    <n v="96615"/>
    <n v="32772"/>
    <n v="125"/>
    <n v="100"/>
    <n v="9"/>
    <n v="4"/>
    <x v="4"/>
    <n v="678"/>
    <n v="61"/>
    <n v="739"/>
    <n v="1.0050590219224282"/>
    <n v="87"/>
    <x v="57"/>
  </r>
  <r>
    <x v="57"/>
    <x v="2"/>
    <n v="10337"/>
    <n v="92"/>
    <n v="2130"/>
    <n v="8028"/>
    <n v="67"/>
    <n v="20"/>
    <n v="159793"/>
    <n v="172"/>
    <n v="82694"/>
    <n v="116"/>
    <n v="2129"/>
    <n v="7933"/>
    <n v="54"/>
    <n v="19"/>
    <n v="158618"/>
    <n v="82578"/>
    <n v="171"/>
    <n v="97"/>
    <n v="1"/>
    <n v="13"/>
    <x v="0"/>
    <n v="1175"/>
    <n v="116"/>
    <n v="1291"/>
    <n v="1.0004697040864257"/>
    <n v="95"/>
    <x v="57"/>
  </r>
  <r>
    <x v="57"/>
    <x v="3"/>
    <n v="13301"/>
    <n v="125"/>
    <n v="2883"/>
    <n v="10065"/>
    <n v="185"/>
    <n v="13"/>
    <n v="177486"/>
    <n v="353"/>
    <n v="84223"/>
    <n v="142"/>
    <n v="2949"/>
    <n v="9869"/>
    <n v="171"/>
    <n v="13"/>
    <n v="176168"/>
    <n v="83816"/>
    <n v="351"/>
    <n v="132"/>
    <n v="-66"/>
    <n v="14"/>
    <x v="2"/>
    <n v="1318"/>
    <n v="407"/>
    <n v="1725"/>
    <n v="0.97761953204476093"/>
    <n v="196"/>
    <x v="57"/>
  </r>
  <r>
    <x v="57"/>
    <x v="4"/>
    <n v="10412"/>
    <n v="106"/>
    <n v="2469"/>
    <n v="7834"/>
    <n v="131"/>
    <n v="31"/>
    <n v="142327"/>
    <n v="112"/>
    <n v="54491"/>
    <n v="148"/>
    <n v="2455"/>
    <n v="7732"/>
    <n v="124"/>
    <n v="30"/>
    <n v="141439"/>
    <n v="54250"/>
    <n v="109"/>
    <n v="119"/>
    <n v="14"/>
    <n v="7"/>
    <x v="0"/>
    <n v="888"/>
    <n v="241"/>
    <n v="1129"/>
    <n v="1.0057026476578412"/>
    <n v="102"/>
    <x v="57"/>
  </r>
  <r>
    <x v="57"/>
    <x v="5"/>
    <n v="16023"/>
    <n v="130"/>
    <n v="3418"/>
    <n v="12351"/>
    <n v="156"/>
    <n v="44"/>
    <n v="249355"/>
    <n v="262"/>
    <n v="106702"/>
    <n v="137"/>
    <n v="3425"/>
    <n v="12198"/>
    <n v="141"/>
    <n v="42"/>
    <n v="245624"/>
    <n v="106409"/>
    <n v="260"/>
    <n v="148"/>
    <n v="-7"/>
    <n v="15"/>
    <x v="1"/>
    <n v="3731"/>
    <n v="293"/>
    <n v="4024"/>
    <n v="0.99795620437956201"/>
    <n v="153"/>
    <x v="57"/>
  </r>
  <r>
    <x v="57"/>
    <x v="6"/>
    <n v="18785"/>
    <n v="151"/>
    <n v="3798"/>
    <n v="14662"/>
    <n v="166"/>
    <n v="24"/>
    <n v="303993"/>
    <n v="327"/>
    <n v="69617"/>
    <n v="261"/>
    <n v="3851"/>
    <n v="14457"/>
    <n v="154"/>
    <n v="21"/>
    <n v="301350"/>
    <n v="65642"/>
    <n v="326"/>
    <n v="153"/>
    <n v="-53"/>
    <n v="12"/>
    <x v="3"/>
    <n v="2643"/>
    <n v="3975"/>
    <n v="6618"/>
    <n v="0.9862373409504025"/>
    <n v="205"/>
    <x v="57"/>
  </r>
  <r>
    <x v="57"/>
    <x v="7"/>
    <n v="98075"/>
    <n v="880"/>
    <n v="22420"/>
    <n v="73893"/>
    <n v="1210"/>
    <n v="242"/>
    <n v="1423407"/>
    <n v="1775"/>
    <n v="531036"/>
    <n v="1185"/>
    <n v="22608"/>
    <n v="72756"/>
    <n v="1130"/>
    <n v="232"/>
    <n v="1410559"/>
    <n v="522429"/>
    <n v="1761"/>
    <n v="963"/>
    <n v="-188"/>
    <n v="80"/>
    <x v="13"/>
    <n v="12848"/>
    <n v="8607"/>
    <n v="21455"/>
    <n v="0.99168435951875444"/>
    <n v="1137"/>
    <x v="57"/>
  </r>
  <r>
    <x v="58"/>
    <x v="0"/>
    <n v="22751"/>
    <n v="172"/>
    <n v="5883"/>
    <n v="16443"/>
    <n v="323"/>
    <n v="93"/>
    <n v="294574"/>
    <n v="435"/>
    <n v="103932"/>
    <n v="182"/>
    <n v="5934"/>
    <n v="16175"/>
    <n v="341"/>
    <n v="86"/>
    <n v="293160"/>
    <n v="100476"/>
    <n v="420"/>
    <n v="232"/>
    <n v="-51"/>
    <n v="-18"/>
    <x v="16"/>
    <n v="1414"/>
    <n v="3456"/>
    <n v="4870"/>
    <n v="0.99140546006066732"/>
    <n v="268"/>
    <x v="58"/>
  </r>
  <r>
    <x v="58"/>
    <x v="1"/>
    <n v="6812"/>
    <n v="95"/>
    <n v="1824"/>
    <n v="4851"/>
    <n v="166"/>
    <n v="23"/>
    <n v="98028"/>
    <n v="134"/>
    <n v="33039"/>
    <n v="94"/>
    <n v="1788"/>
    <n v="4778"/>
    <n v="164"/>
    <n v="24"/>
    <n v="97293"/>
    <n v="32833"/>
    <n v="129"/>
    <n v="114"/>
    <n v="36"/>
    <n v="2"/>
    <x v="4"/>
    <n v="735"/>
    <n v="206"/>
    <n v="941"/>
    <n v="1.0201342281879195"/>
    <n v="73"/>
    <x v="58"/>
  </r>
  <r>
    <x v="58"/>
    <x v="2"/>
    <n v="10415"/>
    <n v="64"/>
    <n v="2135"/>
    <n v="8101"/>
    <n v="70"/>
    <n v="22"/>
    <n v="160818"/>
    <n v="172"/>
    <n v="83303"/>
    <n v="92"/>
    <n v="2130"/>
    <n v="8028"/>
    <n v="67"/>
    <n v="20"/>
    <n v="159793"/>
    <n v="82694"/>
    <n v="172"/>
    <n v="78"/>
    <n v="5"/>
    <n v="3"/>
    <x v="1"/>
    <n v="1025"/>
    <n v="609"/>
    <n v="1634"/>
    <n v="1.0023474178403755"/>
    <n v="73"/>
    <x v="58"/>
  </r>
  <r>
    <x v="58"/>
    <x v="3"/>
    <n v="13420"/>
    <n v="93"/>
    <n v="2874"/>
    <n v="10189"/>
    <n v="184"/>
    <n v="13"/>
    <n v="179140"/>
    <n v="357"/>
    <n v="84832"/>
    <n v="125"/>
    <n v="2883"/>
    <n v="10065"/>
    <n v="185"/>
    <n v="13"/>
    <n v="177486"/>
    <n v="84223"/>
    <n v="353"/>
    <n v="119"/>
    <n v="-9"/>
    <n v="-1"/>
    <x v="2"/>
    <n v="1654"/>
    <n v="609"/>
    <n v="2263"/>
    <n v="0.99687825182101975"/>
    <n v="124"/>
    <x v="58"/>
  </r>
  <r>
    <x v="58"/>
    <x v="4"/>
    <n v="10566"/>
    <n v="130"/>
    <n v="2503"/>
    <n v="7951"/>
    <n v="130"/>
    <n v="30"/>
    <n v="143207"/>
    <n v="115"/>
    <n v="54919"/>
    <n v="106"/>
    <n v="2469"/>
    <n v="7834"/>
    <n v="131"/>
    <n v="31"/>
    <n v="142327"/>
    <n v="54491"/>
    <n v="112"/>
    <n v="154"/>
    <n v="34"/>
    <n v="-1"/>
    <x v="4"/>
    <n v="880"/>
    <n v="428"/>
    <n v="1308"/>
    <n v="1.0137707573916566"/>
    <n v="117"/>
    <x v="58"/>
  </r>
  <r>
    <x v="58"/>
    <x v="5"/>
    <n v="16192"/>
    <n v="125"/>
    <n v="3442"/>
    <n v="12489"/>
    <n v="141"/>
    <n v="47"/>
    <n v="253142"/>
    <n v="269"/>
    <n v="107349"/>
    <n v="130"/>
    <n v="3418"/>
    <n v="12351"/>
    <n v="156"/>
    <n v="44"/>
    <n v="249355"/>
    <n v="106702"/>
    <n v="262"/>
    <n v="169"/>
    <n v="24"/>
    <n v="-15"/>
    <x v="3"/>
    <n v="3787"/>
    <n v="647"/>
    <n v="4434"/>
    <n v="1.0070216500877707"/>
    <n v="138"/>
    <x v="58"/>
  </r>
  <r>
    <x v="58"/>
    <x v="6"/>
    <n v="18920"/>
    <n v="112"/>
    <n v="3861"/>
    <n v="14728"/>
    <n v="172"/>
    <n v="25"/>
    <n v="305578"/>
    <n v="333"/>
    <n v="74091"/>
    <n v="151"/>
    <n v="3798"/>
    <n v="14662"/>
    <n v="166"/>
    <n v="24"/>
    <n v="303993"/>
    <n v="69617"/>
    <n v="327"/>
    <n v="135"/>
    <n v="63"/>
    <n v="6"/>
    <x v="0"/>
    <n v="1585"/>
    <n v="4474"/>
    <n v="6059"/>
    <n v="1.0165876777251184"/>
    <n v="66"/>
    <x v="58"/>
  </r>
  <r>
    <x v="58"/>
    <x v="7"/>
    <n v="99076"/>
    <n v="791"/>
    <n v="22522"/>
    <n v="74752"/>
    <n v="1186"/>
    <n v="253"/>
    <n v="1434487"/>
    <n v="1815"/>
    <n v="541465"/>
    <n v="880"/>
    <n v="22420"/>
    <n v="73893"/>
    <n v="1210"/>
    <n v="242"/>
    <n v="1423407"/>
    <n v="531036"/>
    <n v="1775"/>
    <n v="1001"/>
    <n v="102"/>
    <n v="-24"/>
    <x v="18"/>
    <n v="11080"/>
    <n v="10429"/>
    <n v="21509"/>
    <n v="1.004549509366637"/>
    <n v="859"/>
    <x v="58"/>
  </r>
  <r>
    <x v="59"/>
    <x v="0"/>
    <n v="23044"/>
    <n v="203"/>
    <n v="5889"/>
    <n v="16721"/>
    <n v="306"/>
    <n v="85"/>
    <n v="296696"/>
    <n v="444"/>
    <n v="108037"/>
    <n v="172"/>
    <n v="5883"/>
    <n v="16443"/>
    <n v="323"/>
    <n v="93"/>
    <n v="294574"/>
    <n v="103932"/>
    <n v="435"/>
    <n v="293"/>
    <n v="6"/>
    <n v="-17"/>
    <x v="21"/>
    <n v="2122"/>
    <n v="4105"/>
    <n v="6227"/>
    <n v="1.0010198878123406"/>
    <n v="278"/>
    <x v="59"/>
  </r>
  <r>
    <x v="59"/>
    <x v="1"/>
    <n v="6921"/>
    <n v="97"/>
    <n v="1832"/>
    <n v="4948"/>
    <n v="166"/>
    <n v="27"/>
    <n v="98915"/>
    <n v="136"/>
    <n v="33439"/>
    <n v="95"/>
    <n v="1824"/>
    <n v="4851"/>
    <n v="166"/>
    <n v="23"/>
    <n v="98028"/>
    <n v="33039"/>
    <n v="134"/>
    <n v="109"/>
    <n v="8"/>
    <n v="0"/>
    <x v="9"/>
    <n v="887"/>
    <n v="400"/>
    <n v="1287"/>
    <n v="1.0043859649122806"/>
    <n v="97"/>
    <x v="59"/>
  </r>
  <r>
    <x v="59"/>
    <x v="2"/>
    <n v="10492"/>
    <n v="80"/>
    <n v="2093"/>
    <n v="8219"/>
    <n v="70"/>
    <n v="25"/>
    <n v="162145"/>
    <n v="174"/>
    <n v="83903"/>
    <n v="64"/>
    <n v="2135"/>
    <n v="8101"/>
    <n v="70"/>
    <n v="22"/>
    <n v="160818"/>
    <n v="83303"/>
    <n v="172"/>
    <n v="77"/>
    <n v="-42"/>
    <n v="0"/>
    <x v="3"/>
    <n v="1327"/>
    <n v="600"/>
    <n v="1927"/>
    <n v="0.98032786885245904"/>
    <n v="118"/>
    <x v="59"/>
  </r>
  <r>
    <x v="59"/>
    <x v="3"/>
    <n v="13534"/>
    <n v="96"/>
    <n v="2815"/>
    <n v="10358"/>
    <n v="176"/>
    <n v="14"/>
    <n v="180652"/>
    <n v="363"/>
    <n v="85394"/>
    <n v="93"/>
    <n v="2874"/>
    <n v="10189"/>
    <n v="184"/>
    <n v="13"/>
    <n v="179140"/>
    <n v="84832"/>
    <n v="357"/>
    <n v="114"/>
    <n v="-59"/>
    <n v="-8"/>
    <x v="0"/>
    <n v="1512"/>
    <n v="562"/>
    <n v="2074"/>
    <n v="0.97947112038970074"/>
    <n v="169"/>
    <x v="59"/>
  </r>
  <r>
    <x v="59"/>
    <x v="4"/>
    <n v="10745"/>
    <n v="125"/>
    <n v="2578"/>
    <n v="8053"/>
    <n v="117"/>
    <n v="29"/>
    <n v="144328"/>
    <n v="117"/>
    <n v="55479"/>
    <n v="130"/>
    <n v="2503"/>
    <n v="7951"/>
    <n v="130"/>
    <n v="30"/>
    <n v="143207"/>
    <n v="54919"/>
    <n v="115"/>
    <n v="179"/>
    <n v="75"/>
    <n v="-13"/>
    <x v="4"/>
    <n v="1121"/>
    <n v="560"/>
    <n v="1681"/>
    <n v="1.0299640431482222"/>
    <n v="102"/>
    <x v="59"/>
  </r>
  <r>
    <x v="59"/>
    <x v="5"/>
    <n v="16321"/>
    <n v="102"/>
    <n v="3366"/>
    <n v="12690"/>
    <n v="125"/>
    <n v="43"/>
    <n v="257114"/>
    <n v="273"/>
    <n v="108550"/>
    <n v="125"/>
    <n v="3442"/>
    <n v="12489"/>
    <n v="141"/>
    <n v="47"/>
    <n v="253142"/>
    <n v="107349"/>
    <n v="269"/>
    <n v="129"/>
    <n v="-76"/>
    <n v="-16"/>
    <x v="6"/>
    <n v="3972"/>
    <n v="1201"/>
    <n v="5173"/>
    <n v="0.97791981406159212"/>
    <n v="201"/>
    <x v="59"/>
  </r>
  <r>
    <x v="59"/>
    <x v="6"/>
    <n v="19159"/>
    <n v="232"/>
    <n v="3867"/>
    <n v="14958"/>
    <n v="165"/>
    <n v="24"/>
    <n v="308102"/>
    <n v="336"/>
    <n v="78664"/>
    <n v="112"/>
    <n v="3861"/>
    <n v="14728"/>
    <n v="172"/>
    <n v="25"/>
    <n v="305578"/>
    <n v="74091"/>
    <n v="333"/>
    <n v="239"/>
    <n v="6"/>
    <n v="-7"/>
    <x v="4"/>
    <n v="2524"/>
    <n v="4573"/>
    <n v="7097"/>
    <n v="1.0015540015540016"/>
    <n v="230"/>
    <x v="59"/>
  </r>
  <r>
    <x v="59"/>
    <x v="7"/>
    <n v="100216"/>
    <n v="935"/>
    <n v="22440"/>
    <n v="75947"/>
    <n v="1125"/>
    <n v="247"/>
    <n v="1447952"/>
    <n v="1843"/>
    <n v="553466"/>
    <n v="791"/>
    <n v="22522"/>
    <n v="74752"/>
    <n v="1186"/>
    <n v="253"/>
    <n v="1434487"/>
    <n v="541465"/>
    <n v="1815"/>
    <n v="1140"/>
    <n v="-82"/>
    <n v="-61"/>
    <x v="22"/>
    <n v="13465"/>
    <n v="12001"/>
    <n v="25466"/>
    <n v="0.99635911553148038"/>
    <n v="1195"/>
    <x v="59"/>
  </r>
  <r>
    <x v="60"/>
    <x v="0"/>
    <n v="23341"/>
    <n v="278"/>
    <n v="5845"/>
    <n v="17052"/>
    <n v="282"/>
    <n v="87"/>
    <n v="299577"/>
    <n v="455"/>
    <n v="112289"/>
    <n v="203"/>
    <n v="5889"/>
    <n v="16721"/>
    <n v="306"/>
    <n v="85"/>
    <n v="296696"/>
    <n v="108037"/>
    <n v="444"/>
    <n v="297"/>
    <n v="-44"/>
    <n v="-24"/>
    <x v="1"/>
    <n v="2881"/>
    <n v="4252"/>
    <n v="7133"/>
    <n v="0.99252844285956865"/>
    <n v="331"/>
    <x v="60"/>
  </r>
  <r>
    <x v="60"/>
    <x v="1"/>
    <n v="7018"/>
    <n v="86"/>
    <n v="1858"/>
    <n v="5013"/>
    <n v="173"/>
    <n v="25"/>
    <n v="99882"/>
    <n v="142"/>
    <n v="33835"/>
    <n v="97"/>
    <n v="1832"/>
    <n v="4948"/>
    <n v="166"/>
    <n v="27"/>
    <n v="98915"/>
    <n v="33439"/>
    <n v="136"/>
    <n v="97"/>
    <n v="26"/>
    <n v="7"/>
    <x v="5"/>
    <n v="967"/>
    <n v="396"/>
    <n v="1363"/>
    <n v="1.0141921397379912"/>
    <n v="65"/>
    <x v="60"/>
  </r>
  <r>
    <x v="60"/>
    <x v="2"/>
    <n v="10599"/>
    <n v="102"/>
    <n v="2105"/>
    <n v="8311"/>
    <n v="65"/>
    <n v="26"/>
    <n v="163474"/>
    <n v="177"/>
    <n v="84526"/>
    <n v="80"/>
    <n v="2093"/>
    <n v="8219"/>
    <n v="70"/>
    <n v="25"/>
    <n v="162145"/>
    <n v="83903"/>
    <n v="174"/>
    <n v="107"/>
    <n v="12"/>
    <n v="-5"/>
    <x v="0"/>
    <n v="1329"/>
    <n v="623"/>
    <n v="1952"/>
    <n v="1.0057333970377449"/>
    <n v="92"/>
    <x v="60"/>
  </r>
  <r>
    <x v="60"/>
    <x v="3"/>
    <n v="13655"/>
    <n v="102"/>
    <n v="2730"/>
    <n v="10558"/>
    <n v="156"/>
    <n v="15"/>
    <n v="181740"/>
    <n v="369"/>
    <n v="86155"/>
    <n v="96"/>
    <n v="2815"/>
    <n v="10358"/>
    <n v="176"/>
    <n v="14"/>
    <n v="180652"/>
    <n v="85394"/>
    <n v="363"/>
    <n v="121"/>
    <n v="-85"/>
    <n v="-20"/>
    <x v="0"/>
    <n v="1088"/>
    <n v="761"/>
    <n v="1849"/>
    <n v="0.96980461811722918"/>
    <n v="200"/>
    <x v="60"/>
  </r>
  <r>
    <x v="60"/>
    <x v="4"/>
    <n v="10860"/>
    <n v="91"/>
    <n v="2613"/>
    <n v="8131"/>
    <n v="113"/>
    <n v="27"/>
    <n v="145580"/>
    <n v="119"/>
    <n v="56919"/>
    <n v="125"/>
    <n v="2578"/>
    <n v="8053"/>
    <n v="117"/>
    <n v="29"/>
    <n v="144328"/>
    <n v="55479"/>
    <n v="117"/>
    <n v="115"/>
    <n v="35"/>
    <n v="-4"/>
    <x v="5"/>
    <n v="1252"/>
    <n v="1440"/>
    <n v="2692"/>
    <n v="1.0135764158262219"/>
    <n v="78"/>
    <x v="60"/>
  </r>
  <r>
    <x v="60"/>
    <x v="5"/>
    <n v="16563"/>
    <n v="224"/>
    <n v="3418"/>
    <n v="12875"/>
    <n v="128"/>
    <n v="42"/>
    <n v="259775"/>
    <n v="278"/>
    <n v="110155"/>
    <n v="102"/>
    <n v="3366"/>
    <n v="12690"/>
    <n v="125"/>
    <n v="43"/>
    <n v="257114"/>
    <n v="108550"/>
    <n v="273"/>
    <n v="242"/>
    <n v="52"/>
    <n v="3"/>
    <x v="4"/>
    <n v="2661"/>
    <n v="1605"/>
    <n v="4266"/>
    <n v="1.0154486036838979"/>
    <n v="185"/>
    <x v="60"/>
  </r>
  <r>
    <x v="60"/>
    <x v="6"/>
    <n v="19363"/>
    <n v="208"/>
    <n v="3830"/>
    <n v="15195"/>
    <n v="153"/>
    <n v="25"/>
    <n v="310923"/>
    <n v="340"/>
    <n v="82973"/>
    <n v="232"/>
    <n v="3867"/>
    <n v="14958"/>
    <n v="165"/>
    <n v="24"/>
    <n v="308102"/>
    <n v="78664"/>
    <n v="336"/>
    <n v="204"/>
    <n v="-37"/>
    <n v="-12"/>
    <x v="0"/>
    <n v="2821"/>
    <n v="4309"/>
    <n v="7130"/>
    <n v="0.99043185932247224"/>
    <n v="237"/>
    <x v="60"/>
  </r>
  <r>
    <x v="60"/>
    <x v="7"/>
    <n v="101399"/>
    <n v="1091"/>
    <n v="22399"/>
    <n v="77135"/>
    <n v="1070"/>
    <n v="247"/>
    <n v="1460951"/>
    <n v="1880"/>
    <n v="566852"/>
    <n v="935"/>
    <n v="22440"/>
    <n v="75947"/>
    <n v="1125"/>
    <n v="247"/>
    <n v="1447952"/>
    <n v="553466"/>
    <n v="1843"/>
    <n v="1183"/>
    <n v="-41"/>
    <n v="-55"/>
    <x v="2"/>
    <n v="12999"/>
    <n v="13386"/>
    <n v="26385"/>
    <n v="0.9981729055258467"/>
    <n v="1188"/>
    <x v="60"/>
  </r>
  <r>
    <x v="61"/>
    <x v="0"/>
    <n v="23600"/>
    <n v="207"/>
    <n v="5713"/>
    <n v="17438"/>
    <n v="276"/>
    <n v="85"/>
    <n v="302122"/>
    <n v="459"/>
    <n v="116496"/>
    <n v="278"/>
    <n v="5845"/>
    <n v="17052"/>
    <n v="282"/>
    <n v="87"/>
    <n v="299577"/>
    <n v="112289"/>
    <n v="455"/>
    <n v="259"/>
    <n v="-132"/>
    <n v="-6"/>
    <x v="5"/>
    <n v="2545"/>
    <n v="4207"/>
    <n v="6752"/>
    <n v="0.97741659538066727"/>
    <n v="386"/>
    <x v="61"/>
  </r>
  <r>
    <x v="61"/>
    <x v="1"/>
    <n v="7120"/>
    <n v="76"/>
    <n v="1810"/>
    <n v="5156"/>
    <n v="165"/>
    <n v="25"/>
    <n v="100847"/>
    <n v="149"/>
    <n v="34591"/>
    <n v="86"/>
    <n v="1858"/>
    <n v="5013"/>
    <n v="173"/>
    <n v="25"/>
    <n v="99882"/>
    <n v="33835"/>
    <n v="142"/>
    <n v="102"/>
    <n v="-48"/>
    <n v="-8"/>
    <x v="2"/>
    <n v="965"/>
    <n v="756"/>
    <n v="1721"/>
    <n v="0.9741657696447793"/>
    <n v="143"/>
    <x v="61"/>
  </r>
  <r>
    <x v="61"/>
    <x v="2"/>
    <n v="10681"/>
    <n v="73"/>
    <n v="2023"/>
    <n v="8474"/>
    <n v="64"/>
    <n v="27"/>
    <n v="164911"/>
    <n v="178"/>
    <n v="85122"/>
    <n v="102"/>
    <n v="2105"/>
    <n v="8311"/>
    <n v="65"/>
    <n v="26"/>
    <n v="163474"/>
    <n v="84526"/>
    <n v="177"/>
    <n v="82"/>
    <n v="-82"/>
    <n v="-1"/>
    <x v="0"/>
    <n v="1437"/>
    <n v="596"/>
    <n v="2033"/>
    <n v="0.96104513064133013"/>
    <n v="163"/>
    <x v="61"/>
  </r>
  <r>
    <x v="61"/>
    <x v="3"/>
    <n v="13767"/>
    <n v="96"/>
    <n v="2578"/>
    <n v="10819"/>
    <n v="154"/>
    <n v="18"/>
    <n v="182913"/>
    <n v="372"/>
    <n v="86979"/>
    <n v="102"/>
    <n v="2730"/>
    <n v="10558"/>
    <n v="156"/>
    <n v="15"/>
    <n v="181740"/>
    <n v="86155"/>
    <n v="369"/>
    <n v="112"/>
    <n v="-152"/>
    <n v="-2"/>
    <x v="3"/>
    <n v="1173"/>
    <n v="824"/>
    <n v="1997"/>
    <n v="0.9443223443223443"/>
    <n v="261"/>
    <x v="61"/>
  </r>
  <r>
    <x v="61"/>
    <x v="4"/>
    <n v="11023"/>
    <n v="152"/>
    <n v="2576"/>
    <n v="8326"/>
    <n v="112"/>
    <n v="27"/>
    <n v="147019"/>
    <n v="124"/>
    <n v="58910"/>
    <n v="91"/>
    <n v="2613"/>
    <n v="8131"/>
    <n v="113"/>
    <n v="27"/>
    <n v="145580"/>
    <n v="56919"/>
    <n v="119"/>
    <n v="163"/>
    <n v="-37"/>
    <n v="-1"/>
    <x v="2"/>
    <n v="1439"/>
    <n v="1991"/>
    <n v="3430"/>
    <n v="0.98584003061615"/>
    <n v="195"/>
    <x v="61"/>
  </r>
  <r>
    <x v="61"/>
    <x v="5"/>
    <n v="16735"/>
    <n v="143"/>
    <n v="3339"/>
    <n v="13124"/>
    <n v="131"/>
    <n v="43"/>
    <n v="262117"/>
    <n v="281"/>
    <n v="112361"/>
    <n v="224"/>
    <n v="3418"/>
    <n v="12875"/>
    <n v="128"/>
    <n v="42"/>
    <n v="259775"/>
    <n v="110155"/>
    <n v="278"/>
    <n v="172"/>
    <n v="-79"/>
    <n v="3"/>
    <x v="0"/>
    <n v="2342"/>
    <n v="2206"/>
    <n v="4548"/>
    <n v="0.9768870684610883"/>
    <n v="249"/>
    <x v="61"/>
  </r>
  <r>
    <x v="61"/>
    <x v="6"/>
    <n v="19498"/>
    <n v="127"/>
    <n v="3647"/>
    <n v="15506"/>
    <n v="136"/>
    <n v="26"/>
    <n v="312694"/>
    <n v="347"/>
    <n v="87659"/>
    <n v="208"/>
    <n v="3830"/>
    <n v="15195"/>
    <n v="153"/>
    <n v="25"/>
    <n v="310923"/>
    <n v="82973"/>
    <n v="340"/>
    <n v="135"/>
    <n v="-183"/>
    <n v="-17"/>
    <x v="0"/>
    <n v="1771"/>
    <n v="4686"/>
    <n v="6457"/>
    <n v="0.95221932114882502"/>
    <n v="311"/>
    <x v="61"/>
  </r>
  <r>
    <x v="61"/>
    <x v="7"/>
    <n v="102424"/>
    <n v="874"/>
    <n v="21686"/>
    <n v="78843"/>
    <n v="1038"/>
    <n v="251"/>
    <n v="1472623"/>
    <n v="1910"/>
    <n v="582118"/>
    <n v="1091"/>
    <n v="22399"/>
    <n v="77135"/>
    <n v="1070"/>
    <n v="247"/>
    <n v="1460951"/>
    <n v="566852"/>
    <n v="1880"/>
    <n v="1025"/>
    <n v="-713"/>
    <n v="-32"/>
    <x v="9"/>
    <n v="11672"/>
    <n v="15266"/>
    <n v="26938"/>
    <n v="0.9681682217956159"/>
    <n v="1708"/>
    <x v="61"/>
  </r>
  <r>
    <x v="62"/>
    <x v="0"/>
    <n v="23861"/>
    <n v="218"/>
    <n v="5542"/>
    <n v="17860"/>
    <n v="287"/>
    <n v="81"/>
    <n v="305833"/>
    <n v="469"/>
    <n v="122720"/>
    <n v="207"/>
    <n v="5713"/>
    <n v="17438"/>
    <n v="276"/>
    <n v="85"/>
    <n v="302122"/>
    <n v="116496"/>
    <n v="459"/>
    <n v="261"/>
    <n v="-171"/>
    <n v="11"/>
    <x v="6"/>
    <n v="3711"/>
    <n v="6224"/>
    <n v="9935"/>
    <n v="0.97006826535970592"/>
    <n v="422"/>
    <x v="62"/>
  </r>
  <r>
    <x v="62"/>
    <x v="1"/>
    <n v="7210"/>
    <n v="88"/>
    <n v="1765"/>
    <n v="5289"/>
    <n v="160"/>
    <n v="25"/>
    <n v="101825"/>
    <n v="151"/>
    <n v="35215"/>
    <n v="76"/>
    <n v="1810"/>
    <n v="5156"/>
    <n v="165"/>
    <n v="25"/>
    <n v="100847"/>
    <n v="34591"/>
    <n v="149"/>
    <n v="90"/>
    <n v="-45"/>
    <n v="-5"/>
    <x v="2"/>
    <n v="978"/>
    <n v="624"/>
    <n v="1602"/>
    <n v="0.97513812154696133"/>
    <n v="133"/>
    <x v="62"/>
  </r>
  <r>
    <x v="62"/>
    <x v="2"/>
    <n v="10772"/>
    <n v="81"/>
    <n v="1957"/>
    <n v="8631"/>
    <n v="67"/>
    <n v="30"/>
    <n v="166213"/>
    <n v="178"/>
    <n v="85803"/>
    <n v="73"/>
    <n v="2023"/>
    <n v="8474"/>
    <n v="64"/>
    <n v="27"/>
    <n v="164911"/>
    <n v="85122"/>
    <n v="178"/>
    <n v="91"/>
    <n v="-66"/>
    <n v="3"/>
    <x v="3"/>
    <n v="1302"/>
    <n v="681"/>
    <n v="1983"/>
    <n v="0.96737518536826494"/>
    <n v="157"/>
    <x v="62"/>
  </r>
  <r>
    <x v="62"/>
    <x v="3"/>
    <n v="13844"/>
    <n v="61"/>
    <n v="2409"/>
    <n v="11062"/>
    <n v="145"/>
    <n v="17"/>
    <n v="184131"/>
    <n v="375"/>
    <n v="89063"/>
    <n v="96"/>
    <n v="2578"/>
    <n v="10819"/>
    <n v="154"/>
    <n v="18"/>
    <n v="182913"/>
    <n v="86979"/>
    <n v="372"/>
    <n v="77"/>
    <n v="-169"/>
    <n v="-9"/>
    <x v="4"/>
    <n v="1218"/>
    <n v="2084"/>
    <n v="3302"/>
    <n v="0.93444530643910007"/>
    <n v="243"/>
    <x v="62"/>
  </r>
  <r>
    <x v="62"/>
    <x v="4"/>
    <n v="11137"/>
    <n v="103"/>
    <n v="2562"/>
    <n v="8450"/>
    <n v="106"/>
    <n v="24"/>
    <n v="148155"/>
    <n v="128"/>
    <n v="61171"/>
    <n v="152"/>
    <n v="2576"/>
    <n v="8326"/>
    <n v="112"/>
    <n v="27"/>
    <n v="147019"/>
    <n v="58910"/>
    <n v="124"/>
    <n v="114"/>
    <n v="-14"/>
    <n v="-6"/>
    <x v="10"/>
    <n v="1136"/>
    <n v="2261"/>
    <n v="3397"/>
    <n v="0.99456521739130432"/>
    <n v="124"/>
    <x v="62"/>
  </r>
  <r>
    <x v="62"/>
    <x v="5"/>
    <n v="16865"/>
    <n v="116"/>
    <n v="3183"/>
    <n v="13406"/>
    <n v="136"/>
    <n v="44"/>
    <n v="264420"/>
    <n v="285"/>
    <n v="114024"/>
    <n v="143"/>
    <n v="3339"/>
    <n v="13124"/>
    <n v="131"/>
    <n v="43"/>
    <n v="262117"/>
    <n v="112361"/>
    <n v="281"/>
    <n v="130"/>
    <n v="-156"/>
    <n v="5"/>
    <x v="0"/>
    <n v="2303"/>
    <n v="1663"/>
    <n v="3966"/>
    <n v="0.95327942497753815"/>
    <n v="282"/>
    <x v="62"/>
  </r>
  <r>
    <x v="62"/>
    <x v="6"/>
    <n v="19654"/>
    <n v="141"/>
    <n v="3469"/>
    <n v="15839"/>
    <n v="135"/>
    <n v="26"/>
    <n v="315026"/>
    <n v="348"/>
    <n v="88055"/>
    <n v="127"/>
    <n v="3647"/>
    <n v="15506"/>
    <n v="136"/>
    <n v="26"/>
    <n v="312694"/>
    <n v="87659"/>
    <n v="347"/>
    <n v="156"/>
    <n v="-178"/>
    <n v="-1"/>
    <x v="2"/>
    <n v="2332"/>
    <n v="396"/>
    <n v="2728"/>
    <n v="0.95119276117356732"/>
    <n v="333"/>
    <x v="62"/>
  </r>
  <r>
    <x v="62"/>
    <x v="7"/>
    <n v="103343"/>
    <n v="808"/>
    <n v="20887"/>
    <n v="80537"/>
    <n v="1036"/>
    <n v="247"/>
    <n v="1485603"/>
    <n v="1934"/>
    <n v="596051"/>
    <n v="874"/>
    <n v="21686"/>
    <n v="78843"/>
    <n v="1038"/>
    <n v="251"/>
    <n v="1472623"/>
    <n v="582118"/>
    <n v="1910"/>
    <n v="919"/>
    <n v="-799"/>
    <n v="-2"/>
    <x v="6"/>
    <n v="12980"/>
    <n v="13933"/>
    <n v="26913"/>
    <n v="0.96315595314949742"/>
    <n v="1694"/>
    <x v="62"/>
  </r>
  <r>
    <x v="63"/>
    <x v="0"/>
    <n v="24146"/>
    <n v="264"/>
    <n v="5319"/>
    <n v="18360"/>
    <n v="286"/>
    <n v="81"/>
    <n v="308186"/>
    <n v="477"/>
    <n v="127954"/>
    <n v="218"/>
    <n v="5542"/>
    <n v="17860"/>
    <n v="287"/>
    <n v="81"/>
    <n v="305833"/>
    <n v="122720"/>
    <n v="469"/>
    <n v="285"/>
    <n v="-223"/>
    <n v="-1"/>
    <x v="2"/>
    <n v="2353"/>
    <n v="5234"/>
    <n v="7587"/>
    <n v="0.95976181883796463"/>
    <n v="500"/>
    <x v="63"/>
  </r>
  <r>
    <x v="63"/>
    <x v="1"/>
    <n v="7262"/>
    <n v="55"/>
    <n v="1694"/>
    <n v="5410"/>
    <n v="150"/>
    <n v="24"/>
    <n v="102577"/>
    <n v="153"/>
    <n v="35702"/>
    <n v="88"/>
    <n v="1765"/>
    <n v="5289"/>
    <n v="160"/>
    <n v="25"/>
    <n v="101825"/>
    <n v="35215"/>
    <n v="151"/>
    <n v="52"/>
    <n v="-71"/>
    <n v="-10"/>
    <x v="4"/>
    <n v="752"/>
    <n v="487"/>
    <n v="1239"/>
    <n v="0.95977337110481586"/>
    <n v="121"/>
    <x v="63"/>
  </r>
  <r>
    <x v="63"/>
    <x v="2"/>
    <n v="10864"/>
    <n v="88"/>
    <n v="1863"/>
    <n v="8815"/>
    <n v="67"/>
    <n v="28"/>
    <n v="167559"/>
    <n v="180"/>
    <n v="86144"/>
    <n v="81"/>
    <n v="1957"/>
    <n v="8631"/>
    <n v="67"/>
    <n v="30"/>
    <n v="166213"/>
    <n v="85803"/>
    <n v="178"/>
    <n v="92"/>
    <n v="-94"/>
    <n v="0"/>
    <x v="5"/>
    <n v="1346"/>
    <n v="341"/>
    <n v="1687"/>
    <n v="0.9519672968829842"/>
    <n v="184"/>
    <x v="63"/>
  </r>
  <r>
    <x v="63"/>
    <x v="3"/>
    <n v="13925"/>
    <n v="84"/>
    <n v="2240"/>
    <n v="11309"/>
    <n v="153"/>
    <n v="18"/>
    <n v="185429"/>
    <n v="378"/>
    <n v="90682"/>
    <n v="61"/>
    <n v="2409"/>
    <n v="11062"/>
    <n v="145"/>
    <n v="17"/>
    <n v="184131"/>
    <n v="89063"/>
    <n v="375"/>
    <n v="81"/>
    <n v="-169"/>
    <n v="8"/>
    <x v="0"/>
    <n v="1298"/>
    <n v="1619"/>
    <n v="2917"/>
    <n v="0.92984640929846407"/>
    <n v="247"/>
    <x v="63"/>
  </r>
  <r>
    <x v="63"/>
    <x v="4"/>
    <n v="11249"/>
    <n v="134"/>
    <n v="2526"/>
    <n v="8598"/>
    <n v="105"/>
    <n v="23"/>
    <n v="149151"/>
    <n v="128"/>
    <n v="62678"/>
    <n v="103"/>
    <n v="2562"/>
    <n v="8450"/>
    <n v="106"/>
    <n v="24"/>
    <n v="148155"/>
    <n v="61171"/>
    <n v="128"/>
    <n v="112"/>
    <n v="-36"/>
    <n v="-1"/>
    <x v="4"/>
    <n v="996"/>
    <n v="1507"/>
    <n v="2503"/>
    <n v="0.98594847775175642"/>
    <n v="148"/>
    <x v="63"/>
  </r>
  <r>
    <x v="63"/>
    <x v="5"/>
    <n v="16973"/>
    <n v="100"/>
    <n v="3023"/>
    <n v="13673"/>
    <n v="129"/>
    <n v="44"/>
    <n v="266298"/>
    <n v="286"/>
    <n v="118743"/>
    <n v="116"/>
    <n v="3183"/>
    <n v="13406"/>
    <n v="136"/>
    <n v="44"/>
    <n v="264420"/>
    <n v="114024"/>
    <n v="285"/>
    <n v="108"/>
    <n v="-160"/>
    <n v="-7"/>
    <x v="2"/>
    <n v="1878"/>
    <n v="4719"/>
    <n v="6597"/>
    <n v="0.94973295633050581"/>
    <n v="267"/>
    <x v="63"/>
  </r>
  <r>
    <x v="63"/>
    <x v="6"/>
    <n v="19757"/>
    <n v="94"/>
    <n v="3301"/>
    <n v="16110"/>
    <n v="136"/>
    <n v="30"/>
    <n v="318296"/>
    <n v="348"/>
    <n v="88387"/>
    <n v="141"/>
    <n v="3469"/>
    <n v="15839"/>
    <n v="135"/>
    <n v="26"/>
    <n v="315026"/>
    <n v="88055"/>
    <n v="348"/>
    <n v="103"/>
    <n v="-168"/>
    <n v="1"/>
    <x v="9"/>
    <n v="3270"/>
    <n v="332"/>
    <n v="3602"/>
    <n v="0.95157105794176999"/>
    <n v="271"/>
    <x v="63"/>
  </r>
  <r>
    <x v="63"/>
    <x v="7"/>
    <n v="104176"/>
    <n v="819"/>
    <n v="19966"/>
    <n v="82275"/>
    <n v="1026"/>
    <n v="248"/>
    <n v="1497496"/>
    <n v="1950"/>
    <n v="610290"/>
    <n v="808"/>
    <n v="20887"/>
    <n v="80537"/>
    <n v="1036"/>
    <n v="247"/>
    <n v="1485603"/>
    <n v="596051"/>
    <n v="1934"/>
    <n v="833"/>
    <n v="-921"/>
    <n v="-10"/>
    <x v="0"/>
    <n v="11893"/>
    <n v="14239"/>
    <n v="26132"/>
    <n v="0.95590558720735386"/>
    <n v="1738"/>
    <x v="63"/>
  </r>
  <r>
    <x v="64"/>
    <x v="0"/>
    <n v="24323"/>
    <n v="166"/>
    <n v="5161"/>
    <n v="18691"/>
    <n v="287"/>
    <n v="85"/>
    <n v="311146"/>
    <n v="482"/>
    <n v="133087"/>
    <n v="264"/>
    <n v="5319"/>
    <n v="18360"/>
    <n v="286"/>
    <n v="81"/>
    <n v="308186"/>
    <n v="127954"/>
    <n v="477"/>
    <n v="177"/>
    <n v="-158"/>
    <n v="1"/>
    <x v="9"/>
    <n v="2960"/>
    <n v="5133"/>
    <n v="8093"/>
    <n v="0.97029516826471141"/>
    <n v="331"/>
    <x v="64"/>
  </r>
  <r>
    <x v="64"/>
    <x v="1"/>
    <n v="7312"/>
    <n v="49"/>
    <n v="1661"/>
    <n v="5492"/>
    <n v="158"/>
    <n v="23"/>
    <n v="103258"/>
    <n v="154"/>
    <n v="35750"/>
    <n v="55"/>
    <n v="1694"/>
    <n v="5410"/>
    <n v="150"/>
    <n v="24"/>
    <n v="102577"/>
    <n v="35702"/>
    <n v="153"/>
    <n v="50"/>
    <n v="-33"/>
    <n v="8"/>
    <x v="4"/>
    <n v="681"/>
    <n v="48"/>
    <n v="729"/>
    <n v="0.98051948051948057"/>
    <n v="82"/>
    <x v="64"/>
  </r>
  <r>
    <x v="64"/>
    <x v="2"/>
    <n v="10915"/>
    <n v="50"/>
    <n v="1767"/>
    <n v="8960"/>
    <n v="68"/>
    <n v="29"/>
    <n v="168846"/>
    <n v="182"/>
    <n v="86264"/>
    <n v="88"/>
    <n v="1863"/>
    <n v="8815"/>
    <n v="67"/>
    <n v="28"/>
    <n v="167559"/>
    <n v="86144"/>
    <n v="180"/>
    <n v="51"/>
    <n v="-96"/>
    <n v="1"/>
    <x v="0"/>
    <n v="1287"/>
    <n v="120"/>
    <n v="1407"/>
    <n v="0.94847020933977455"/>
    <n v="145"/>
    <x v="64"/>
  </r>
  <r>
    <x v="64"/>
    <x v="3"/>
    <n v="13969"/>
    <n v="43"/>
    <n v="2096"/>
    <n v="11495"/>
    <n v="161"/>
    <n v="20"/>
    <n v="187257"/>
    <n v="380"/>
    <n v="91322"/>
    <n v="84"/>
    <n v="2240"/>
    <n v="11309"/>
    <n v="153"/>
    <n v="18"/>
    <n v="185429"/>
    <n v="90682"/>
    <n v="378"/>
    <n v="44"/>
    <n v="-144"/>
    <n v="8"/>
    <x v="1"/>
    <n v="1828"/>
    <n v="640"/>
    <n v="2468"/>
    <n v="0.93571428571428572"/>
    <n v="186"/>
    <x v="64"/>
  </r>
  <r>
    <x v="64"/>
    <x v="4"/>
    <n v="11308"/>
    <n v="48"/>
    <n v="2483"/>
    <n v="8700"/>
    <n v="111"/>
    <n v="21"/>
    <n v="149934"/>
    <n v="128"/>
    <n v="63016"/>
    <n v="134"/>
    <n v="2526"/>
    <n v="8598"/>
    <n v="105"/>
    <n v="23"/>
    <n v="149151"/>
    <n v="62678"/>
    <n v="128"/>
    <n v="59"/>
    <n v="-43"/>
    <n v="6"/>
    <x v="5"/>
    <n v="783"/>
    <n v="338"/>
    <n v="1121"/>
    <n v="0.98297703879651621"/>
    <n v="102"/>
    <x v="64"/>
  </r>
  <r>
    <x v="64"/>
    <x v="5"/>
    <n v="17046"/>
    <n v="60"/>
    <n v="2932"/>
    <n v="13833"/>
    <n v="133"/>
    <n v="47"/>
    <n v="268497"/>
    <n v="290"/>
    <n v="123323"/>
    <n v="100"/>
    <n v="3023"/>
    <n v="13673"/>
    <n v="129"/>
    <n v="44"/>
    <n v="266298"/>
    <n v="118743"/>
    <n v="286"/>
    <n v="73"/>
    <n v="-91"/>
    <n v="4"/>
    <x v="3"/>
    <n v="2199"/>
    <n v="4580"/>
    <n v="6779"/>
    <n v="0.96989745286139595"/>
    <n v="160"/>
    <x v="64"/>
  </r>
  <r>
    <x v="64"/>
    <x v="6"/>
    <n v="19828"/>
    <n v="74"/>
    <n v="3146"/>
    <n v="16333"/>
    <n v="145"/>
    <n v="29"/>
    <n v="320330"/>
    <n v="351"/>
    <n v="88547"/>
    <n v="94"/>
    <n v="3301"/>
    <n v="16110"/>
    <n v="136"/>
    <n v="30"/>
    <n v="318296"/>
    <n v="88387"/>
    <n v="348"/>
    <n v="71"/>
    <n v="-155"/>
    <n v="9"/>
    <x v="4"/>
    <n v="2034"/>
    <n v="160"/>
    <n v="2194"/>
    <n v="0.95304453196001215"/>
    <n v="223"/>
    <x v="64"/>
  </r>
  <r>
    <x v="64"/>
    <x v="7"/>
    <n v="104701"/>
    <n v="490"/>
    <n v="19246"/>
    <n v="83504"/>
    <n v="1063"/>
    <n v="254"/>
    <n v="1509268"/>
    <n v="1967"/>
    <n v="621309"/>
    <n v="819"/>
    <n v="19966"/>
    <n v="82275"/>
    <n v="1026"/>
    <n v="248"/>
    <n v="1497496"/>
    <n v="610290"/>
    <n v="1950"/>
    <n v="525"/>
    <n v="-720"/>
    <n v="37"/>
    <x v="12"/>
    <n v="11772"/>
    <n v="11019"/>
    <n v="22791"/>
    <n v="0.96393869578283087"/>
    <n v="1229"/>
    <x v="6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0A88E5C-C594-4949-94F4-9D33EDE5854E}" name="PivotTable1" cacheId="75" applyNumberFormats="0" applyBorderFormats="0" applyFontFormats="0" applyPatternFormats="0" applyAlignmentFormats="0" applyWidthHeightFormats="1" dataCaption="Values" updatedVersion="6" minRefreshableVersion="5" useAutoFormatting="1" itemPrintTitles="1" createdVersion="6" indent="0" outline="1" outlineData="1" multipleFieldFilters="0" chartFormat="91">
  <location ref="B26:D79" firstHeaderRow="0" firstDataRow="1" firstDataCol="1" rowPageCount="1" colPageCount="1"/>
  <pivotFields count="28">
    <pivotField axis="axisPage" numFmtId="14" multipleItemSelectionAllowed="1" showAll="0">
      <items count="6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t="default"/>
      </items>
    </pivotField>
    <pivotField showAll="0">
      <items count="9">
        <item x="0"/>
        <item h="1" x="1"/>
        <item h="1" x="2"/>
        <item h="1" x="3"/>
        <item h="1" x="4"/>
        <item h="1" x="5"/>
        <item h="1" x="6"/>
        <item h="1" x="7"/>
        <item t="default"/>
      </items>
    </pivotField>
    <pivotField numFmtId="3" showAll="0"/>
    <pivotField numFmtId="3" showAll="0"/>
    <pivotField numFmtId="3" showAll="0"/>
    <pivotField showAll="0"/>
    <pivotField showAll="0"/>
    <pivotField numFmtId="3" showAll="0"/>
    <pivotField numFmtId="3" showAll="0"/>
    <pivotField numFmtId="3" showAll="0"/>
    <pivotField numFmtId="3" showAll="0"/>
    <pivotField showAll="0"/>
    <pivotField showAll="0"/>
    <pivotField showAll="0"/>
    <pivotField numFmtId="3" showAll="0"/>
    <pivotField numFmtId="3" showAll="0"/>
    <pivotField numFmtId="3" showAll="0"/>
    <pivotField showAll="0"/>
    <pivotField numFmtId="3" showAll="0"/>
    <pivotField axis="axisRow" showAll="0">
      <items count="6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t="default"/>
      </items>
    </pivotField>
    <pivotField showAll="0"/>
    <pivotField showAll="0"/>
    <pivotField showAll="0"/>
    <pivotField showAll="0"/>
    <pivotField showAll="0"/>
    <pivotField showAll="0"/>
    <pivotField dataField="1" showAll="0"/>
    <pivotField dataField="1" showAll="0"/>
  </pivotFields>
  <rowFields count="1">
    <field x="19"/>
  </rowFields>
  <rowItems count="53">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t="grand">
      <x/>
    </i>
  </rowItems>
  <colFields count="1">
    <field x="-2"/>
  </colFields>
  <colItems count="2">
    <i>
      <x/>
    </i>
    <i i="1">
      <x v="1"/>
    </i>
  </colItems>
  <pageFields count="1">
    <pageField fld="0" hier="-1"/>
  </pageFields>
  <dataFields count="2">
    <dataField name="IA 7 Normalizada" fld="26" baseField="19" baseItem="13"/>
    <dataField name="IA 14 Normalizada" fld="27" baseField="19" baseItem="13"/>
  </dataFields>
  <chartFormats count="22">
    <chartFormat chart="0" format="2" series="1">
      <pivotArea type="data" outline="0" fieldPosition="0">
        <references count="1">
          <reference field="4294967294" count="1" selected="0">
            <x v="0"/>
          </reference>
        </references>
      </pivotArea>
    </chartFormat>
    <chartFormat chart="0" format="3" series="1">
      <pivotArea type="data" outline="0" fieldPosition="0">
        <references count="1">
          <reference field="4294967294" count="1" selected="0">
            <x v="1"/>
          </reference>
        </references>
      </pivotArea>
    </chartFormat>
    <chartFormat chart="9" format="4" series="1">
      <pivotArea type="data" outline="0" fieldPosition="0">
        <references count="1">
          <reference field="4294967294" count="1" selected="0">
            <x v="0"/>
          </reference>
        </references>
      </pivotArea>
    </chartFormat>
    <chartFormat chart="9" format="5" series="1">
      <pivotArea type="data" outline="0" fieldPosition="0">
        <references count="1">
          <reference field="4294967294" count="1" selected="0">
            <x v="1"/>
          </reference>
        </references>
      </pivotArea>
    </chartFormat>
    <chartFormat chart="10" format="6" series="1">
      <pivotArea type="data" outline="0" fieldPosition="0">
        <references count="1">
          <reference field="4294967294" count="1" selected="0">
            <x v="0"/>
          </reference>
        </references>
      </pivotArea>
    </chartFormat>
    <chartFormat chart="10" format="7" series="1">
      <pivotArea type="data" outline="0" fieldPosition="0">
        <references count="1">
          <reference field="4294967294" count="1" selected="0">
            <x v="1"/>
          </reference>
        </references>
      </pivotArea>
    </chartFormat>
    <chartFormat chart="17" format="4" series="1">
      <pivotArea type="data" outline="0" fieldPosition="0">
        <references count="1">
          <reference field="4294967294" count="1" selected="0">
            <x v="0"/>
          </reference>
        </references>
      </pivotArea>
    </chartFormat>
    <chartFormat chart="17" format="5" series="1">
      <pivotArea type="data" outline="0" fieldPosition="0">
        <references count="1">
          <reference field="4294967294" count="1" selected="0">
            <x v="1"/>
          </reference>
        </references>
      </pivotArea>
    </chartFormat>
    <chartFormat chart="18" format="6" series="1">
      <pivotArea type="data" outline="0" fieldPosition="0">
        <references count="1">
          <reference field="4294967294" count="1" selected="0">
            <x v="0"/>
          </reference>
        </references>
      </pivotArea>
    </chartFormat>
    <chartFormat chart="18" format="7" series="1">
      <pivotArea type="data" outline="0" fieldPosition="0">
        <references count="1">
          <reference field="4294967294" count="1" selected="0">
            <x v="1"/>
          </reference>
        </references>
      </pivotArea>
    </chartFormat>
    <chartFormat chart="21" format="4" series="1">
      <pivotArea type="data" outline="0" fieldPosition="0">
        <references count="1">
          <reference field="4294967294" count="1" selected="0">
            <x v="0"/>
          </reference>
        </references>
      </pivotArea>
    </chartFormat>
    <chartFormat chart="21" format="5" series="1">
      <pivotArea type="data" outline="0" fieldPosition="0">
        <references count="1">
          <reference field="4294967294" count="1" selected="0">
            <x v="1"/>
          </reference>
        </references>
      </pivotArea>
    </chartFormat>
    <chartFormat chart="22" format="6" series="1">
      <pivotArea type="data" outline="0" fieldPosition="0">
        <references count="1">
          <reference field="4294967294" count="1" selected="0">
            <x v="0"/>
          </reference>
        </references>
      </pivotArea>
    </chartFormat>
    <chartFormat chart="22" format="7" series="1">
      <pivotArea type="data" outline="0" fieldPosition="0">
        <references count="1">
          <reference field="4294967294" count="1" selected="0">
            <x v="1"/>
          </reference>
        </references>
      </pivotArea>
    </chartFormat>
    <chartFormat chart="23" format="4" series="1">
      <pivotArea type="data" outline="0" fieldPosition="0">
        <references count="1">
          <reference field="4294967294" count="1" selected="0">
            <x v="0"/>
          </reference>
        </references>
      </pivotArea>
    </chartFormat>
    <chartFormat chart="23" format="5" series="1">
      <pivotArea type="data" outline="0" fieldPosition="0">
        <references count="1">
          <reference field="4294967294" count="1" selected="0">
            <x v="1"/>
          </reference>
        </references>
      </pivotArea>
    </chartFormat>
    <chartFormat chart="24" format="6" series="1">
      <pivotArea type="data" outline="0" fieldPosition="0">
        <references count="1">
          <reference field="4294967294" count="1" selected="0">
            <x v="0"/>
          </reference>
        </references>
      </pivotArea>
    </chartFormat>
    <chartFormat chart="24" format="7" series="1">
      <pivotArea type="data" outline="0" fieldPosition="0">
        <references count="1">
          <reference field="4294967294" count="1" selected="0">
            <x v="1"/>
          </reference>
        </references>
      </pivotArea>
    </chartFormat>
    <chartFormat chart="49" format="4" series="1">
      <pivotArea type="data" outline="0" fieldPosition="0">
        <references count="1">
          <reference field="4294967294" count="1" selected="0">
            <x v="0"/>
          </reference>
        </references>
      </pivotArea>
    </chartFormat>
    <chartFormat chart="49" format="5" series="1">
      <pivotArea type="data" outline="0" fieldPosition="0">
        <references count="1">
          <reference field="4294967294" count="1" selected="0">
            <x v="1"/>
          </reference>
        </references>
      </pivotArea>
    </chartFormat>
    <chartFormat chart="50" format="6" series="1">
      <pivotArea type="data" outline="0" fieldPosition="0">
        <references count="1">
          <reference field="4294967294" count="1" selected="0">
            <x v="0"/>
          </reference>
        </references>
      </pivotArea>
    </chartFormat>
    <chartFormat chart="50" format="7" series="1">
      <pivotArea type="data" outline="0" fieldPosition="0">
        <references count="1">
          <reference field="4294967294" count="1" selected="0">
            <x v="1"/>
          </reference>
        </references>
      </pivotArea>
    </chartFormat>
  </chartFormats>
  <pivotTableStyleInfo name="PivotStyleMedium9" showRowHeaders="1" showColHeaders="1" showRowStripes="0" showColStripes="0" showLastColumn="1"/>
  <filters count="1">
    <filter fld="0" type="dateBetween" evalOrder="-1" id="80" name="Fecha">
      <autoFilter ref="A1">
        <filterColumn colId="0">
          <customFilters and="1">
            <customFilter operator="greaterThanOrEqual" val="44183"/>
            <customFilter operator="lessThanOrEqual" val="44234"/>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1B29B69-1DB9-4895-8C8C-AD2A8E4971FF}" name="PivotTable1" cacheId="79"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7" fieldListSortAscending="1">
  <location ref="B26:D92" firstHeaderRow="0" firstDataRow="1" firstDataCol="1" rowPageCount="1" colPageCount="1"/>
  <pivotFields count="31">
    <pivotField showAll="0">
      <items count="15">
        <item x="0"/>
        <item x="1"/>
        <item x="2"/>
        <item x="3"/>
        <item x="4"/>
        <item x="5"/>
        <item x="6"/>
        <item x="7"/>
        <item x="8"/>
        <item x="9"/>
        <item x="10"/>
        <item x="11"/>
        <item x="12"/>
        <item x="13"/>
        <item t="default"/>
      </items>
    </pivotField>
    <pivotField axis="axisPage" showAll="0">
      <items count="9">
        <item x="0"/>
        <item x="1"/>
        <item x="2"/>
        <item x="3"/>
        <item x="4"/>
        <item x="5"/>
        <item x="6"/>
        <item x="7"/>
        <item t="default"/>
      </items>
    </pivotField>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axis="axisRow" showAll="0">
      <items count="197">
        <item m="1" x="191"/>
        <item m="1" x="166"/>
        <item m="1" x="146"/>
        <item m="1" x="124"/>
        <item m="1" x="102"/>
        <item m="1" x="81"/>
        <item m="1" x="195"/>
        <item m="1" x="172"/>
        <item m="1" x="151"/>
        <item m="1" x="129"/>
        <item m="1" x="106"/>
        <item m="1" x="85"/>
        <item m="1" x="68"/>
        <item m="1" x="176"/>
        <item m="1" x="158"/>
        <item m="1" x="138"/>
        <item m="1" x="111"/>
        <item m="1" x="93"/>
        <item m="1" x="72"/>
        <item m="1" x="182"/>
        <item m="1" x="162"/>
        <item m="1" x="143"/>
        <item m="1" x="116"/>
        <item m="1" x="97"/>
        <item m="1" x="78"/>
        <item m="1" x="186"/>
        <item m="1" x="168"/>
        <item m="1" x="177"/>
        <item m="1" x="154"/>
        <item m="1" x="130"/>
        <item m="1" x="112"/>
        <item m="1" x="88"/>
        <item m="1" x="69"/>
        <item m="1" x="183"/>
        <item m="1" x="160"/>
        <item m="1" x="139"/>
        <item m="1" x="117"/>
        <item m="1" x="95"/>
        <item m="1" x="73"/>
        <item m="1" x="187"/>
        <item m="1" x="165"/>
        <item m="1" x="144"/>
        <item m="1" x="121"/>
        <item m="1" x="100"/>
        <item m="1" x="79"/>
        <item m="1" x="192"/>
        <item m="1" x="170"/>
        <item m="1" x="150"/>
        <item m="1" x="126"/>
        <item m="1" x="104"/>
        <item m="1" x="84"/>
        <item m="1" x="65"/>
        <item m="1" x="175"/>
        <item m="1" x="156"/>
        <item m="1" x="135"/>
        <item m="1" x="109"/>
        <item m="1" x="91"/>
        <item m="1" x="101"/>
        <item m="1" x="74"/>
        <item m="1" x="188"/>
        <item m="1" x="147"/>
        <item m="1" x="123"/>
        <item m="1" x="82"/>
        <item m="1" x="194"/>
        <item m="1" x="153"/>
        <item m="1" x="128"/>
        <item m="1" x="107"/>
        <item m="1" x="87"/>
        <item m="1" x="67"/>
        <item m="1" x="179"/>
        <item m="1" x="159"/>
        <item m="1" x="137"/>
        <item m="1" x="114"/>
        <item m="1" x="94"/>
        <item m="1" x="71"/>
        <item m="1" x="185"/>
        <item m="1" x="164"/>
        <item m="1" x="142"/>
        <item m="1" x="118"/>
        <item m="1" x="99"/>
        <item m="1" x="77"/>
        <item m="1" x="190"/>
        <item m="1" x="169"/>
        <item m="1" x="149"/>
        <item m="1" x="155"/>
        <item m="1" x="133"/>
        <item m="1" x="110"/>
        <item m="1" x="90"/>
        <item m="1" x="181"/>
        <item m="1" x="75"/>
        <item m="1" x="86"/>
        <item m="1" x="98"/>
        <item m="1" x="108"/>
        <item m="1" x="119"/>
        <item m="1" x="131"/>
        <item m="1" x="120"/>
        <item m="1" x="134"/>
        <item m="1" x="132"/>
        <item m="1" x="145"/>
        <item m="1" x="157"/>
        <item m="1" x="167"/>
        <item m="1" x="178"/>
        <item m="1" x="189"/>
        <item m="1" x="66"/>
        <item m="1" x="76"/>
        <item m="1" x="89"/>
        <item m="1" x="80"/>
        <item m="1" x="92"/>
        <item m="1" x="103"/>
        <item m="1" x="113"/>
        <item m="1" x="122"/>
        <item m="1" x="136"/>
        <item m="1" x="148"/>
        <item m="1" x="161"/>
        <item m="1" x="171"/>
        <item m="1" x="180"/>
        <item m="1" x="173"/>
        <item m="1" x="184"/>
        <item m="1" x="193"/>
        <item m="1" x="70"/>
        <item m="1" x="83"/>
        <item m="1" x="96"/>
        <item m="1" x="105"/>
        <item m="1" x="115"/>
        <item m="1" x="125"/>
        <item m="1" x="140"/>
        <item m="1" x="127"/>
        <item m="1" x="141"/>
        <item m="1" x="152"/>
        <item m="1" x="163"/>
        <item m="1" x="17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t="default"/>
      </items>
    </pivotField>
    <pivotField showAll="0">
      <items count="7">
        <item x="1"/>
        <item sd="0" x="2"/>
        <item sd="0" x="3"/>
        <item sd="0" x="4"/>
        <item x="0"/>
        <item x="5"/>
        <item t="default"/>
      </items>
    </pivotField>
    <pivotField showAll="0">
      <items count="5">
        <item sd="0" x="1"/>
        <item sd="0" x="2"/>
        <item x="0"/>
        <item x="3"/>
        <item t="default"/>
      </items>
    </pivotField>
  </pivotFields>
  <rowFields count="1">
    <field x="28"/>
  </rowFields>
  <rowItems count="66">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t="grand">
      <x/>
    </i>
  </rowItems>
  <colFields count="1">
    <field x="-2"/>
  </colFields>
  <colItems count="2">
    <i>
      <x/>
    </i>
    <i i="1">
      <x v="1"/>
    </i>
  </colItems>
  <pageFields count="1">
    <pageField fld="1" item="0" hier="-1"/>
  </pageFields>
  <dataFields count="2">
    <dataField name="Casos Activos" fld="4" baseField="25" baseItem="176" numFmtId="4"/>
    <dataField name="Ratio Incremento Activos" fld="26" baseField="27" baseItem="131" numFmtId="4"/>
  </dataFields>
  <formats count="5">
    <format dxfId="56">
      <pivotArea outline="0" collapsedLevelsAreSubtotals="1" fieldPosition="0">
        <references count="1">
          <reference field="4294967294" count="1" selected="0">
            <x v="1"/>
          </reference>
        </references>
      </pivotArea>
    </format>
    <format dxfId="55">
      <pivotArea dataOnly="0" labelOnly="1" outline="0" fieldPosition="0">
        <references count="1">
          <reference field="4294967294" count="1">
            <x v="1"/>
          </reference>
        </references>
      </pivotArea>
    </format>
    <format dxfId="54">
      <pivotArea outline="0" collapsedLevelsAreSubtotals="1" fieldPosition="0">
        <references count="1">
          <reference field="4294967294" count="1" selected="0">
            <x v="0"/>
          </reference>
        </references>
      </pivotArea>
    </format>
    <format dxfId="53">
      <pivotArea dataOnly="0" labelOnly="1" outline="0" fieldPosition="0">
        <references count="1">
          <reference field="1" count="1">
            <x v="7"/>
          </reference>
        </references>
      </pivotArea>
    </format>
    <format dxfId="52">
      <pivotArea dataOnly="0" labelOnly="1" outline="0" fieldPosition="0">
        <references count="1">
          <reference field="4294967294" count="1">
            <x v="0"/>
          </reference>
        </references>
      </pivotArea>
    </format>
  </formats>
  <chartFormats count="2">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A2118C3-0DAA-4084-BBE8-F95D5F510464}" name="PivotTable1" cacheId="7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7">
  <location ref="B24:L92" firstHeaderRow="1" firstDataRow="3" firstDataCol="1"/>
  <pivotFields count="15">
    <pivotField numFmtId="14" showAll="0"/>
    <pivotField axis="axisCol" multipleItemSelectionAllowed="1" showAll="0">
      <items count="9">
        <item x="0"/>
        <item h="1" x="1"/>
        <item h="1" x="2"/>
        <item h="1" x="3"/>
        <item h="1" x="4"/>
        <item h="1" x="5"/>
        <item h="1" x="6"/>
        <item h="1" x="7"/>
        <item t="default"/>
      </items>
    </pivotField>
    <pivotField showAll="0"/>
    <pivotField showAll="0"/>
    <pivotField dataField="1" showAll="0"/>
    <pivotField dataField="1" showAll="0"/>
    <pivotField showAll="0"/>
    <pivotField dataField="1" showAll="0"/>
    <pivotField showAll="0"/>
    <pivotField showAll="0"/>
    <pivotField dataField="1" showAll="0"/>
    <pivotField axis="axisRow" showAll="0">
      <items count="6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t="default"/>
      </items>
    </pivotField>
    <pivotField showAll="0"/>
    <pivotField showAll="0"/>
    <pivotField dataField="1" showAll="0"/>
  </pivotFields>
  <rowFields count="1">
    <field x="11"/>
  </rowFields>
  <rowItems count="66">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t="grand">
      <x/>
    </i>
  </rowItems>
  <colFields count="2">
    <field x="1"/>
    <field x="-2"/>
  </colFields>
  <colItems count="10">
    <i>
      <x/>
      <x/>
    </i>
    <i r="1" i="1">
      <x v="1"/>
    </i>
    <i r="1" i="2">
      <x v="2"/>
    </i>
    <i r="1" i="3">
      <x v="3"/>
    </i>
    <i r="1" i="4">
      <x v="4"/>
    </i>
    <i t="grand">
      <x/>
    </i>
    <i t="grand" i="1">
      <x/>
    </i>
    <i t="grand" i="2">
      <x/>
    </i>
    <i t="grand" i="3">
      <x/>
    </i>
    <i t="grand" i="4">
      <x/>
    </i>
  </colItems>
  <dataFields count="5">
    <dataField name="Camas Ocupadas" fld="4" baseField="10" baseItem="0"/>
    <dataField name="Camas UCI Ocupadas" fld="5" baseField="10" baseItem="0"/>
    <dataField name="Fallecidos" fld="14" baseField="10" baseItem="0"/>
    <dataField name="Nuevas Altas" fld="10" baseField="11" baseItem="0"/>
    <dataField name="Nuevos Casos" fld="7" baseField="11" baseItem="0"/>
  </dataFields>
  <chartFormats count="141">
    <chartFormat chart="0" format="1" series="1">
      <pivotArea type="data" outline="0" fieldPosition="0">
        <references count="1">
          <reference field="4294967294" count="1" selected="0">
            <x v="0"/>
          </reference>
        </references>
      </pivotArea>
    </chartFormat>
    <chartFormat chart="0" format="3" series="1">
      <pivotArea type="data" outline="0" fieldPosition="0">
        <references count="2">
          <reference field="4294967294" count="1" selected="0">
            <x v="0"/>
          </reference>
          <reference field="1" count="1" selected="0">
            <x v="2"/>
          </reference>
        </references>
      </pivotArea>
    </chartFormat>
    <chartFormat chart="0" format="4" series="1">
      <pivotArea type="data" outline="0" fieldPosition="0">
        <references count="2">
          <reference field="4294967294" count="1" selected="0">
            <x v="0"/>
          </reference>
          <reference field="1" count="1" selected="0">
            <x v="3"/>
          </reference>
        </references>
      </pivotArea>
    </chartFormat>
    <chartFormat chart="0" format="5" series="1">
      <pivotArea type="data" outline="0" fieldPosition="0">
        <references count="2">
          <reference field="4294967294" count="1" selected="0">
            <x v="0"/>
          </reference>
          <reference field="1" count="1" selected="0">
            <x v="4"/>
          </reference>
        </references>
      </pivotArea>
    </chartFormat>
    <chartFormat chart="0" format="6" series="1">
      <pivotArea type="data" outline="0" fieldPosition="0">
        <references count="2">
          <reference field="4294967294" count="1" selected="0">
            <x v="0"/>
          </reference>
          <reference field="1" count="1" selected="0">
            <x v="5"/>
          </reference>
        </references>
      </pivotArea>
    </chartFormat>
    <chartFormat chart="0" format="7" series="1">
      <pivotArea type="data" outline="0" fieldPosition="0">
        <references count="2">
          <reference field="4294967294" count="1" selected="0">
            <x v="0"/>
          </reference>
          <reference field="1" count="1" selected="0">
            <x v="6"/>
          </reference>
        </references>
      </pivotArea>
    </chartFormat>
    <chartFormat chart="0" format="15" series="1">
      <pivotArea type="data" outline="0" fieldPosition="0">
        <references count="2">
          <reference field="4294967294" count="1" selected="0">
            <x v="0"/>
          </reference>
          <reference field="1" count="1" selected="0">
            <x v="0"/>
          </reference>
        </references>
      </pivotArea>
    </chartFormat>
    <chartFormat chart="0" format="16" series="1">
      <pivotArea type="data" outline="0" fieldPosition="0">
        <references count="2">
          <reference field="4294967294" count="1" selected="0">
            <x v="0"/>
          </reference>
          <reference field="1" count="1" selected="0">
            <x v="1"/>
          </reference>
        </references>
      </pivotArea>
    </chartFormat>
    <chartFormat chart="0" format="17" series="1">
      <pivotArea type="data" outline="0" fieldPosition="0">
        <references count="2">
          <reference field="4294967294" count="1" selected="0">
            <x v="0"/>
          </reference>
          <reference field="1" count="1" selected="0">
            <x v="7"/>
          </reference>
        </references>
      </pivotArea>
    </chartFormat>
    <chartFormat chart="0" format="18" series="1">
      <pivotArea type="data" outline="0" fieldPosition="0">
        <references count="2">
          <reference field="4294967294" count="1" selected="0">
            <x v="2"/>
          </reference>
          <reference field="1" count="1" selected="0">
            <x v="0"/>
          </reference>
        </references>
      </pivotArea>
    </chartFormat>
    <chartFormat chart="0" format="20" series="1">
      <pivotArea type="data" outline="0" fieldPosition="0">
        <references count="2">
          <reference field="4294967294" count="1" selected="0">
            <x v="1"/>
          </reference>
          <reference field="1" count="1" selected="0">
            <x v="0"/>
          </reference>
        </references>
      </pivotArea>
    </chartFormat>
    <chartFormat chart="0" format="21" series="1">
      <pivotArea type="data" outline="0" fieldPosition="0">
        <references count="2">
          <reference field="4294967294" count="1" selected="0">
            <x v="1"/>
          </reference>
          <reference field="1" count="1" selected="0">
            <x v="1"/>
          </reference>
        </references>
      </pivotArea>
    </chartFormat>
    <chartFormat chart="0" format="22" series="1">
      <pivotArea type="data" outline="0" fieldPosition="0">
        <references count="2">
          <reference field="4294967294" count="1" selected="0">
            <x v="2"/>
          </reference>
          <reference field="1" count="1" selected="0">
            <x v="1"/>
          </reference>
        </references>
      </pivotArea>
    </chartFormat>
    <chartFormat chart="0" format="23" series="1">
      <pivotArea type="data" outline="0" fieldPosition="0">
        <references count="2">
          <reference field="4294967294" count="1" selected="0">
            <x v="1"/>
          </reference>
          <reference field="1" count="1" selected="0">
            <x v="2"/>
          </reference>
        </references>
      </pivotArea>
    </chartFormat>
    <chartFormat chart="0" format="24" series="1">
      <pivotArea type="data" outline="0" fieldPosition="0">
        <references count="2">
          <reference field="4294967294" count="1" selected="0">
            <x v="2"/>
          </reference>
          <reference field="1" count="1" selected="0">
            <x v="2"/>
          </reference>
        </references>
      </pivotArea>
    </chartFormat>
    <chartFormat chart="0" format="25" series="1">
      <pivotArea type="data" outline="0" fieldPosition="0">
        <references count="2">
          <reference field="4294967294" count="1" selected="0">
            <x v="1"/>
          </reference>
          <reference field="1" count="1" selected="0">
            <x v="3"/>
          </reference>
        </references>
      </pivotArea>
    </chartFormat>
    <chartFormat chart="0" format="26" series="1">
      <pivotArea type="data" outline="0" fieldPosition="0">
        <references count="2">
          <reference field="4294967294" count="1" selected="0">
            <x v="2"/>
          </reference>
          <reference field="1" count="1" selected="0">
            <x v="3"/>
          </reference>
        </references>
      </pivotArea>
    </chartFormat>
    <chartFormat chart="0" format="27" series="1">
      <pivotArea type="data" outline="0" fieldPosition="0">
        <references count="2">
          <reference field="4294967294" count="1" selected="0">
            <x v="1"/>
          </reference>
          <reference field="1" count="1" selected="0">
            <x v="4"/>
          </reference>
        </references>
      </pivotArea>
    </chartFormat>
    <chartFormat chart="0" format="28" series="1">
      <pivotArea type="data" outline="0" fieldPosition="0">
        <references count="2">
          <reference field="4294967294" count="1" selected="0">
            <x v="2"/>
          </reference>
          <reference field="1" count="1" selected="0">
            <x v="4"/>
          </reference>
        </references>
      </pivotArea>
    </chartFormat>
    <chartFormat chart="0" format="29" series="1">
      <pivotArea type="data" outline="0" fieldPosition="0">
        <references count="2">
          <reference field="4294967294" count="1" selected="0">
            <x v="1"/>
          </reference>
          <reference field="1" count="1" selected="0">
            <x v="6"/>
          </reference>
        </references>
      </pivotArea>
    </chartFormat>
    <chartFormat chart="0" format="30" series="1">
      <pivotArea type="data" outline="0" fieldPosition="0">
        <references count="2">
          <reference field="4294967294" count="1" selected="0">
            <x v="2"/>
          </reference>
          <reference field="1" count="1" selected="0">
            <x v="6"/>
          </reference>
        </references>
      </pivotArea>
    </chartFormat>
    <chartFormat chart="0" format="31" series="1">
      <pivotArea type="data" outline="0" fieldPosition="0">
        <references count="2">
          <reference field="4294967294" count="1" selected="0">
            <x v="1"/>
          </reference>
          <reference field="1" count="1" selected="0">
            <x v="7"/>
          </reference>
        </references>
      </pivotArea>
    </chartFormat>
    <chartFormat chart="0" format="32" series="1">
      <pivotArea type="data" outline="0" fieldPosition="0">
        <references count="2">
          <reference field="4294967294" count="1" selected="0">
            <x v="2"/>
          </reference>
          <reference field="1" count="1" selected="0">
            <x v="7"/>
          </reference>
        </references>
      </pivotArea>
    </chartFormat>
    <chartFormat chart="0" format="33" series="1">
      <pivotArea type="data" outline="0" fieldPosition="0">
        <references count="2">
          <reference field="4294967294" count="1" selected="0">
            <x v="3"/>
          </reference>
          <reference field="1" count="1" selected="0">
            <x v="0"/>
          </reference>
        </references>
      </pivotArea>
    </chartFormat>
    <chartFormat chart="0" format="34" series="1">
      <pivotArea type="data" outline="0" fieldPosition="0">
        <references count="2">
          <reference field="4294967294" count="1" selected="0">
            <x v="4"/>
          </reference>
          <reference field="1" count="1" selected="0">
            <x v="0"/>
          </reference>
        </references>
      </pivotArea>
    </chartFormat>
    <chartFormat chart="9" format="35" series="1">
      <pivotArea type="data" outline="0" fieldPosition="0">
        <references count="2">
          <reference field="4294967294" count="1" selected="0">
            <x v="0"/>
          </reference>
          <reference field="1" count="1" selected="0">
            <x v="0"/>
          </reference>
        </references>
      </pivotArea>
    </chartFormat>
    <chartFormat chart="9" format="36" series="1">
      <pivotArea type="data" outline="0" fieldPosition="0">
        <references count="2">
          <reference field="4294967294" count="1" selected="0">
            <x v="1"/>
          </reference>
          <reference field="1" count="1" selected="0">
            <x v="0"/>
          </reference>
        </references>
      </pivotArea>
    </chartFormat>
    <chartFormat chart="9" format="37" series="1">
      <pivotArea type="data" outline="0" fieldPosition="0">
        <references count="2">
          <reference field="4294967294" count="1" selected="0">
            <x v="3"/>
          </reference>
          <reference field="1" count="1" selected="0">
            <x v="0"/>
          </reference>
        </references>
      </pivotArea>
    </chartFormat>
    <chartFormat chart="9" format="38" series="1">
      <pivotArea type="data" outline="0" fieldPosition="0">
        <references count="2">
          <reference field="4294967294" count="1" selected="0">
            <x v="4"/>
          </reference>
          <reference field="1" count="1" selected="0">
            <x v="0"/>
          </reference>
        </references>
      </pivotArea>
    </chartFormat>
    <chartFormat chart="9" format="39" series="1">
      <pivotArea type="data" outline="0" fieldPosition="0">
        <references count="2">
          <reference field="4294967294" count="1" selected="0">
            <x v="2"/>
          </reference>
          <reference field="1" count="1" selected="0">
            <x v="0"/>
          </reference>
        </references>
      </pivotArea>
    </chartFormat>
    <chartFormat chart="10" format="40" series="1">
      <pivotArea type="data" outline="0" fieldPosition="0">
        <references count="2">
          <reference field="4294967294" count="1" selected="0">
            <x v="0"/>
          </reference>
          <reference field="1" count="1" selected="0">
            <x v="0"/>
          </reference>
        </references>
      </pivotArea>
    </chartFormat>
    <chartFormat chart="10" format="41" series="1">
      <pivotArea type="data" outline="0" fieldPosition="0">
        <references count="2">
          <reference field="4294967294" count="1" selected="0">
            <x v="1"/>
          </reference>
          <reference field="1" count="1" selected="0">
            <x v="0"/>
          </reference>
        </references>
      </pivotArea>
    </chartFormat>
    <chartFormat chart="10" format="42" series="1">
      <pivotArea type="data" outline="0" fieldPosition="0">
        <references count="2">
          <reference field="4294967294" count="1" selected="0">
            <x v="3"/>
          </reference>
          <reference field="1" count="1" selected="0">
            <x v="0"/>
          </reference>
        </references>
      </pivotArea>
    </chartFormat>
    <chartFormat chart="10" format="43" series="1">
      <pivotArea type="data" outline="0" fieldPosition="0">
        <references count="2">
          <reference field="4294967294" count="1" selected="0">
            <x v="4"/>
          </reference>
          <reference field="1" count="1" selected="0">
            <x v="0"/>
          </reference>
        </references>
      </pivotArea>
    </chartFormat>
    <chartFormat chart="10" format="44" series="1">
      <pivotArea type="data" outline="0" fieldPosition="0">
        <references count="2">
          <reference field="4294967294" count="1" selected="0">
            <x v="2"/>
          </reference>
          <reference field="1" count="1" selected="0">
            <x v="0"/>
          </reference>
        </references>
      </pivotArea>
    </chartFormat>
    <chartFormat chart="10" format="45" series="1">
      <pivotArea type="data" outline="0" fieldPosition="0">
        <references count="2">
          <reference field="4294967294" count="1" selected="0">
            <x v="0"/>
          </reference>
          <reference field="1" count="1" selected="0">
            <x v="7"/>
          </reference>
        </references>
      </pivotArea>
    </chartFormat>
    <chartFormat chart="10" format="46" series="1">
      <pivotArea type="data" outline="0" fieldPosition="0">
        <references count="2">
          <reference field="4294967294" count="1" selected="0">
            <x v="1"/>
          </reference>
          <reference field="1" count="1" selected="0">
            <x v="7"/>
          </reference>
        </references>
      </pivotArea>
    </chartFormat>
    <chartFormat chart="10" format="47" series="1">
      <pivotArea type="data" outline="0" fieldPosition="0">
        <references count="2">
          <reference field="4294967294" count="1" selected="0">
            <x v="2"/>
          </reference>
          <reference field="1" count="1" selected="0">
            <x v="7"/>
          </reference>
        </references>
      </pivotArea>
    </chartFormat>
    <chartFormat chart="10" format="48" series="1">
      <pivotArea type="data" outline="0" fieldPosition="0">
        <references count="2">
          <reference field="4294967294" count="1" selected="0">
            <x v="3"/>
          </reference>
          <reference field="1" count="1" selected="0">
            <x v="7"/>
          </reference>
        </references>
      </pivotArea>
    </chartFormat>
    <chartFormat chart="10" format="49" series="1">
      <pivotArea type="data" outline="0" fieldPosition="0">
        <references count="2">
          <reference field="4294967294" count="1" selected="0">
            <x v="4"/>
          </reference>
          <reference field="1" count="1" selected="0">
            <x v="7"/>
          </reference>
        </references>
      </pivotArea>
    </chartFormat>
    <chartFormat chart="9" format="40" series="1">
      <pivotArea type="data" outline="0" fieldPosition="0">
        <references count="2">
          <reference field="4294967294" count="1" selected="0">
            <x v="0"/>
          </reference>
          <reference field="1" count="1" selected="0">
            <x v="7"/>
          </reference>
        </references>
      </pivotArea>
    </chartFormat>
    <chartFormat chart="9" format="41" series="1">
      <pivotArea type="data" outline="0" fieldPosition="0">
        <references count="2">
          <reference field="4294967294" count="1" selected="0">
            <x v="1"/>
          </reference>
          <reference field="1" count="1" selected="0">
            <x v="7"/>
          </reference>
        </references>
      </pivotArea>
    </chartFormat>
    <chartFormat chart="9" format="42" series="1">
      <pivotArea type="data" outline="0" fieldPosition="0">
        <references count="2">
          <reference field="4294967294" count="1" selected="0">
            <x v="2"/>
          </reference>
          <reference field="1" count="1" selected="0">
            <x v="7"/>
          </reference>
        </references>
      </pivotArea>
    </chartFormat>
    <chartFormat chart="9" format="43" series="1">
      <pivotArea type="data" outline="0" fieldPosition="0">
        <references count="2">
          <reference field="4294967294" count="1" selected="0">
            <x v="3"/>
          </reference>
          <reference field="1" count="1" selected="0">
            <x v="7"/>
          </reference>
        </references>
      </pivotArea>
    </chartFormat>
    <chartFormat chart="9" format="44" series="1">
      <pivotArea type="data" outline="0" fieldPosition="0">
        <references count="2">
          <reference field="4294967294" count="1" selected="0">
            <x v="4"/>
          </reference>
          <reference field="1" count="1" selected="0">
            <x v="7"/>
          </reference>
        </references>
      </pivotArea>
    </chartFormat>
    <chartFormat chart="0" format="35" series="1">
      <pivotArea type="data" outline="0" fieldPosition="0">
        <references count="2">
          <reference field="4294967294" count="1" selected="0">
            <x v="3"/>
          </reference>
          <reference field="1" count="1" selected="0">
            <x v="7"/>
          </reference>
        </references>
      </pivotArea>
    </chartFormat>
    <chartFormat chart="0" format="36" series="1">
      <pivotArea type="data" outline="0" fieldPosition="0">
        <references count="2">
          <reference field="4294967294" count="1" selected="0">
            <x v="4"/>
          </reference>
          <reference field="1" count="1" selected="0">
            <x v="7"/>
          </reference>
        </references>
      </pivotArea>
    </chartFormat>
    <chartFormat chart="10" format="80" series="1">
      <pivotArea type="data" outline="0" fieldPosition="0">
        <references count="2">
          <reference field="4294967294" count="1" selected="0">
            <x v="0"/>
          </reference>
          <reference field="1" count="1" selected="0">
            <x v="1"/>
          </reference>
        </references>
      </pivotArea>
    </chartFormat>
    <chartFormat chart="10" format="81" series="1">
      <pivotArea type="data" outline="0" fieldPosition="0">
        <references count="2">
          <reference field="4294967294" count="1" selected="0">
            <x v="1"/>
          </reference>
          <reference field="1" count="1" selected="0">
            <x v="1"/>
          </reference>
        </references>
      </pivotArea>
    </chartFormat>
    <chartFormat chart="10" format="82" series="1">
      <pivotArea type="data" outline="0" fieldPosition="0">
        <references count="2">
          <reference field="4294967294" count="1" selected="0">
            <x v="2"/>
          </reference>
          <reference field="1" count="1" selected="0">
            <x v="1"/>
          </reference>
        </references>
      </pivotArea>
    </chartFormat>
    <chartFormat chart="10" format="83" series="1">
      <pivotArea type="data" outline="0" fieldPosition="0">
        <references count="2">
          <reference field="4294967294" count="1" selected="0">
            <x v="3"/>
          </reference>
          <reference field="1" count="1" selected="0">
            <x v="1"/>
          </reference>
        </references>
      </pivotArea>
    </chartFormat>
    <chartFormat chart="10" format="84" series="1">
      <pivotArea type="data" outline="0" fieldPosition="0">
        <references count="2">
          <reference field="4294967294" count="1" selected="0">
            <x v="4"/>
          </reference>
          <reference field="1" count="1" selected="0">
            <x v="1"/>
          </reference>
        </references>
      </pivotArea>
    </chartFormat>
    <chartFormat chart="9" format="75" series="1">
      <pivotArea type="data" outline="0" fieldPosition="0">
        <references count="2">
          <reference field="4294967294" count="1" selected="0">
            <x v="0"/>
          </reference>
          <reference field="1" count="1" selected="0">
            <x v="1"/>
          </reference>
        </references>
      </pivotArea>
    </chartFormat>
    <chartFormat chart="9" format="76" series="1">
      <pivotArea type="data" outline="0" fieldPosition="0">
        <references count="2">
          <reference field="4294967294" count="1" selected="0">
            <x v="1"/>
          </reference>
          <reference field="1" count="1" selected="0">
            <x v="1"/>
          </reference>
        </references>
      </pivotArea>
    </chartFormat>
    <chartFormat chart="9" format="77" series="1">
      <pivotArea type="data" outline="0" fieldPosition="0">
        <references count="2">
          <reference field="4294967294" count="1" selected="0">
            <x v="2"/>
          </reference>
          <reference field="1" count="1" selected="0">
            <x v="1"/>
          </reference>
        </references>
      </pivotArea>
    </chartFormat>
    <chartFormat chart="9" format="78" series="1">
      <pivotArea type="data" outline="0" fieldPosition="0">
        <references count="2">
          <reference field="4294967294" count="1" selected="0">
            <x v="3"/>
          </reference>
          <reference field="1" count="1" selected="0">
            <x v="1"/>
          </reference>
        </references>
      </pivotArea>
    </chartFormat>
    <chartFormat chart="9" format="79" series="1">
      <pivotArea type="data" outline="0" fieldPosition="0">
        <references count="2">
          <reference field="4294967294" count="1" selected="0">
            <x v="4"/>
          </reference>
          <reference field="1" count="1" selected="0">
            <x v="1"/>
          </reference>
        </references>
      </pivotArea>
    </chartFormat>
    <chartFormat chart="0" format="37" series="1">
      <pivotArea type="data" outline="0" fieldPosition="0">
        <references count="2">
          <reference field="4294967294" count="1" selected="0">
            <x v="3"/>
          </reference>
          <reference field="1" count="1" selected="0">
            <x v="1"/>
          </reference>
        </references>
      </pivotArea>
    </chartFormat>
    <chartFormat chart="0" format="38" series="1">
      <pivotArea type="data" outline="0" fieldPosition="0">
        <references count="2">
          <reference field="4294967294" count="1" selected="0">
            <x v="4"/>
          </reference>
          <reference field="1" count="1" selected="0">
            <x v="1"/>
          </reference>
        </references>
      </pivotArea>
    </chartFormat>
    <chartFormat chart="10" format="85" series="1">
      <pivotArea type="data" outline="0" fieldPosition="0">
        <references count="2">
          <reference field="4294967294" count="1" selected="0">
            <x v="0"/>
          </reference>
          <reference field="1" count="1" selected="0">
            <x v="2"/>
          </reference>
        </references>
      </pivotArea>
    </chartFormat>
    <chartFormat chart="10" format="86" series="1">
      <pivotArea type="data" outline="0" fieldPosition="0">
        <references count="2">
          <reference field="4294967294" count="1" selected="0">
            <x v="1"/>
          </reference>
          <reference field="1" count="1" selected="0">
            <x v="2"/>
          </reference>
        </references>
      </pivotArea>
    </chartFormat>
    <chartFormat chart="10" format="87" series="1">
      <pivotArea type="data" outline="0" fieldPosition="0">
        <references count="2">
          <reference field="4294967294" count="1" selected="0">
            <x v="2"/>
          </reference>
          <reference field="1" count="1" selected="0">
            <x v="2"/>
          </reference>
        </references>
      </pivotArea>
    </chartFormat>
    <chartFormat chart="10" format="88" series="1">
      <pivotArea type="data" outline="0" fieldPosition="0">
        <references count="2">
          <reference field="4294967294" count="1" selected="0">
            <x v="3"/>
          </reference>
          <reference field="1" count="1" selected="0">
            <x v="2"/>
          </reference>
        </references>
      </pivotArea>
    </chartFormat>
    <chartFormat chart="10" format="89" series="1">
      <pivotArea type="data" outline="0" fieldPosition="0">
        <references count="2">
          <reference field="4294967294" count="1" selected="0">
            <x v="4"/>
          </reference>
          <reference field="1" count="1" selected="0">
            <x v="2"/>
          </reference>
        </references>
      </pivotArea>
    </chartFormat>
    <chartFormat chart="9" format="80" series="1">
      <pivotArea type="data" outline="0" fieldPosition="0">
        <references count="2">
          <reference field="4294967294" count="1" selected="0">
            <x v="0"/>
          </reference>
          <reference field="1" count="1" selected="0">
            <x v="2"/>
          </reference>
        </references>
      </pivotArea>
    </chartFormat>
    <chartFormat chart="9" format="81" series="1">
      <pivotArea type="data" outline="0" fieldPosition="0">
        <references count="2">
          <reference field="4294967294" count="1" selected="0">
            <x v="1"/>
          </reference>
          <reference field="1" count="1" selected="0">
            <x v="2"/>
          </reference>
        </references>
      </pivotArea>
    </chartFormat>
    <chartFormat chart="9" format="82" series="1">
      <pivotArea type="data" outline="0" fieldPosition="0">
        <references count="2">
          <reference field="4294967294" count="1" selected="0">
            <x v="2"/>
          </reference>
          <reference field="1" count="1" selected="0">
            <x v="2"/>
          </reference>
        </references>
      </pivotArea>
    </chartFormat>
    <chartFormat chart="9" format="83" series="1">
      <pivotArea type="data" outline="0" fieldPosition="0">
        <references count="2">
          <reference field="4294967294" count="1" selected="0">
            <x v="3"/>
          </reference>
          <reference field="1" count="1" selected="0">
            <x v="2"/>
          </reference>
        </references>
      </pivotArea>
    </chartFormat>
    <chartFormat chart="9" format="84" series="1">
      <pivotArea type="data" outline="0" fieldPosition="0">
        <references count="2">
          <reference field="4294967294" count="1" selected="0">
            <x v="4"/>
          </reference>
          <reference field="1" count="1" selected="0">
            <x v="2"/>
          </reference>
        </references>
      </pivotArea>
    </chartFormat>
    <chartFormat chart="0" format="39" series="1">
      <pivotArea type="data" outline="0" fieldPosition="0">
        <references count="2">
          <reference field="4294967294" count="1" selected="0">
            <x v="3"/>
          </reference>
          <reference field="1" count="1" selected="0">
            <x v="2"/>
          </reference>
        </references>
      </pivotArea>
    </chartFormat>
    <chartFormat chart="0" format="40" series="1">
      <pivotArea type="data" outline="0" fieldPosition="0">
        <references count="2">
          <reference field="4294967294" count="1" selected="0">
            <x v="4"/>
          </reference>
          <reference field="1" count="1" selected="0">
            <x v="2"/>
          </reference>
        </references>
      </pivotArea>
    </chartFormat>
    <chartFormat chart="10" format="90" series="1">
      <pivotArea type="data" outline="0" fieldPosition="0">
        <references count="2">
          <reference field="4294967294" count="1" selected="0">
            <x v="0"/>
          </reference>
          <reference field="1" count="1" selected="0">
            <x v="3"/>
          </reference>
        </references>
      </pivotArea>
    </chartFormat>
    <chartFormat chart="10" format="91" series="1">
      <pivotArea type="data" outline="0" fieldPosition="0">
        <references count="2">
          <reference field="4294967294" count="1" selected="0">
            <x v="1"/>
          </reference>
          <reference field="1" count="1" selected="0">
            <x v="3"/>
          </reference>
        </references>
      </pivotArea>
    </chartFormat>
    <chartFormat chart="10" format="92" series="1">
      <pivotArea type="data" outline="0" fieldPosition="0">
        <references count="2">
          <reference field="4294967294" count="1" selected="0">
            <x v="2"/>
          </reference>
          <reference field="1" count="1" selected="0">
            <x v="3"/>
          </reference>
        </references>
      </pivotArea>
    </chartFormat>
    <chartFormat chart="10" format="93" series="1">
      <pivotArea type="data" outline="0" fieldPosition="0">
        <references count="2">
          <reference field="4294967294" count="1" selected="0">
            <x v="3"/>
          </reference>
          <reference field="1" count="1" selected="0">
            <x v="3"/>
          </reference>
        </references>
      </pivotArea>
    </chartFormat>
    <chartFormat chart="10" format="94" series="1">
      <pivotArea type="data" outline="0" fieldPosition="0">
        <references count="2">
          <reference field="4294967294" count="1" selected="0">
            <x v="4"/>
          </reference>
          <reference field="1" count="1" selected="0">
            <x v="3"/>
          </reference>
        </references>
      </pivotArea>
    </chartFormat>
    <chartFormat chart="9" format="85" series="1">
      <pivotArea type="data" outline="0" fieldPosition="0">
        <references count="2">
          <reference field="4294967294" count="1" selected="0">
            <x v="0"/>
          </reference>
          <reference field="1" count="1" selected="0">
            <x v="3"/>
          </reference>
        </references>
      </pivotArea>
    </chartFormat>
    <chartFormat chart="9" format="86" series="1">
      <pivotArea type="data" outline="0" fieldPosition="0">
        <references count="2">
          <reference field="4294967294" count="1" selected="0">
            <x v="1"/>
          </reference>
          <reference field="1" count="1" selected="0">
            <x v="3"/>
          </reference>
        </references>
      </pivotArea>
    </chartFormat>
    <chartFormat chart="9" format="87" series="1">
      <pivotArea type="data" outline="0" fieldPosition="0">
        <references count="2">
          <reference field="4294967294" count="1" selected="0">
            <x v="2"/>
          </reference>
          <reference field="1" count="1" selected="0">
            <x v="3"/>
          </reference>
        </references>
      </pivotArea>
    </chartFormat>
    <chartFormat chart="9" format="88" series="1">
      <pivotArea type="data" outline="0" fieldPosition="0">
        <references count="2">
          <reference field="4294967294" count="1" selected="0">
            <x v="3"/>
          </reference>
          <reference field="1" count="1" selected="0">
            <x v="3"/>
          </reference>
        </references>
      </pivotArea>
    </chartFormat>
    <chartFormat chart="9" format="89" series="1">
      <pivotArea type="data" outline="0" fieldPosition="0">
        <references count="2">
          <reference field="4294967294" count="1" selected="0">
            <x v="4"/>
          </reference>
          <reference field="1" count="1" selected="0">
            <x v="3"/>
          </reference>
        </references>
      </pivotArea>
    </chartFormat>
    <chartFormat chart="0" format="41" series="1">
      <pivotArea type="data" outline="0" fieldPosition="0">
        <references count="2">
          <reference field="4294967294" count="1" selected="0">
            <x v="3"/>
          </reference>
          <reference field="1" count="1" selected="0">
            <x v="3"/>
          </reference>
        </references>
      </pivotArea>
    </chartFormat>
    <chartFormat chart="0" format="42" series="1">
      <pivotArea type="data" outline="0" fieldPosition="0">
        <references count="2">
          <reference field="4294967294" count="1" selected="0">
            <x v="4"/>
          </reference>
          <reference field="1" count="1" selected="0">
            <x v="3"/>
          </reference>
        </references>
      </pivotArea>
    </chartFormat>
    <chartFormat chart="10" format="95" series="1">
      <pivotArea type="data" outline="0" fieldPosition="0">
        <references count="2">
          <reference field="4294967294" count="1" selected="0">
            <x v="0"/>
          </reference>
          <reference field="1" count="1" selected="0">
            <x v="4"/>
          </reference>
        </references>
      </pivotArea>
    </chartFormat>
    <chartFormat chart="10" format="96" series="1">
      <pivotArea type="data" outline="0" fieldPosition="0">
        <references count="2">
          <reference field="4294967294" count="1" selected="0">
            <x v="1"/>
          </reference>
          <reference field="1" count="1" selected="0">
            <x v="4"/>
          </reference>
        </references>
      </pivotArea>
    </chartFormat>
    <chartFormat chart="10" format="97" series="1">
      <pivotArea type="data" outline="0" fieldPosition="0">
        <references count="2">
          <reference field="4294967294" count="1" selected="0">
            <x v="2"/>
          </reference>
          <reference field="1" count="1" selected="0">
            <x v="4"/>
          </reference>
        </references>
      </pivotArea>
    </chartFormat>
    <chartFormat chart="10" format="98" series="1">
      <pivotArea type="data" outline="0" fieldPosition="0">
        <references count="2">
          <reference field="4294967294" count="1" selected="0">
            <x v="3"/>
          </reference>
          <reference field="1" count="1" selected="0">
            <x v="4"/>
          </reference>
        </references>
      </pivotArea>
    </chartFormat>
    <chartFormat chart="10" format="99" series="1">
      <pivotArea type="data" outline="0" fieldPosition="0">
        <references count="2">
          <reference field="4294967294" count="1" selected="0">
            <x v="4"/>
          </reference>
          <reference field="1" count="1" selected="0">
            <x v="4"/>
          </reference>
        </references>
      </pivotArea>
    </chartFormat>
    <chartFormat chart="9" format="90" series="1">
      <pivotArea type="data" outline="0" fieldPosition="0">
        <references count="2">
          <reference field="4294967294" count="1" selected="0">
            <x v="0"/>
          </reference>
          <reference field="1" count="1" selected="0">
            <x v="4"/>
          </reference>
        </references>
      </pivotArea>
    </chartFormat>
    <chartFormat chart="9" format="91" series="1">
      <pivotArea type="data" outline="0" fieldPosition="0">
        <references count="2">
          <reference field="4294967294" count="1" selected="0">
            <x v="1"/>
          </reference>
          <reference field="1" count="1" selected="0">
            <x v="4"/>
          </reference>
        </references>
      </pivotArea>
    </chartFormat>
    <chartFormat chart="9" format="92" series="1">
      <pivotArea type="data" outline="0" fieldPosition="0">
        <references count="2">
          <reference field="4294967294" count="1" selected="0">
            <x v="2"/>
          </reference>
          <reference field="1" count="1" selected="0">
            <x v="4"/>
          </reference>
        </references>
      </pivotArea>
    </chartFormat>
    <chartFormat chart="9" format="93" series="1">
      <pivotArea type="data" outline="0" fieldPosition="0">
        <references count="2">
          <reference field="4294967294" count="1" selected="0">
            <x v="3"/>
          </reference>
          <reference field="1" count="1" selected="0">
            <x v="4"/>
          </reference>
        </references>
      </pivotArea>
    </chartFormat>
    <chartFormat chart="9" format="94" series="1">
      <pivotArea type="data" outline="0" fieldPosition="0">
        <references count="2">
          <reference field="4294967294" count="1" selected="0">
            <x v="4"/>
          </reference>
          <reference field="1" count="1" selected="0">
            <x v="4"/>
          </reference>
        </references>
      </pivotArea>
    </chartFormat>
    <chartFormat chart="0" format="43" series="1">
      <pivotArea type="data" outline="0" fieldPosition="0">
        <references count="2">
          <reference field="4294967294" count="1" selected="0">
            <x v="3"/>
          </reference>
          <reference field="1" count="1" selected="0">
            <x v="4"/>
          </reference>
        </references>
      </pivotArea>
    </chartFormat>
    <chartFormat chart="0" format="44" series="1">
      <pivotArea type="data" outline="0" fieldPosition="0">
        <references count="2">
          <reference field="4294967294" count="1" selected="0">
            <x v="4"/>
          </reference>
          <reference field="1" count="1" selected="0">
            <x v="4"/>
          </reference>
        </references>
      </pivotArea>
    </chartFormat>
    <chartFormat chart="10" format="100" series="1">
      <pivotArea type="data" outline="0" fieldPosition="0">
        <references count="2">
          <reference field="4294967294" count="1" selected="0">
            <x v="0"/>
          </reference>
          <reference field="1" count="1" selected="0">
            <x v="5"/>
          </reference>
        </references>
      </pivotArea>
    </chartFormat>
    <chartFormat chart="10" format="101" series="1">
      <pivotArea type="data" outline="0" fieldPosition="0">
        <references count="2">
          <reference field="4294967294" count="1" selected="0">
            <x v="1"/>
          </reference>
          <reference field="1" count="1" selected="0">
            <x v="5"/>
          </reference>
        </references>
      </pivotArea>
    </chartFormat>
    <chartFormat chart="10" format="102" series="1">
      <pivotArea type="data" outline="0" fieldPosition="0">
        <references count="2">
          <reference field="4294967294" count="1" selected="0">
            <x v="2"/>
          </reference>
          <reference field="1" count="1" selected="0">
            <x v="5"/>
          </reference>
        </references>
      </pivotArea>
    </chartFormat>
    <chartFormat chart="10" format="103" series="1">
      <pivotArea type="data" outline="0" fieldPosition="0">
        <references count="2">
          <reference field="4294967294" count="1" selected="0">
            <x v="3"/>
          </reference>
          <reference field="1" count="1" selected="0">
            <x v="5"/>
          </reference>
        </references>
      </pivotArea>
    </chartFormat>
    <chartFormat chart="10" format="104" series="1">
      <pivotArea type="data" outline="0" fieldPosition="0">
        <references count="2">
          <reference field="4294967294" count="1" selected="0">
            <x v="4"/>
          </reference>
          <reference field="1" count="1" selected="0">
            <x v="5"/>
          </reference>
        </references>
      </pivotArea>
    </chartFormat>
    <chartFormat chart="9" format="95" series="1">
      <pivotArea type="data" outline="0" fieldPosition="0">
        <references count="2">
          <reference field="4294967294" count="1" selected="0">
            <x v="0"/>
          </reference>
          <reference field="1" count="1" selected="0">
            <x v="5"/>
          </reference>
        </references>
      </pivotArea>
    </chartFormat>
    <chartFormat chart="9" format="96" series="1">
      <pivotArea type="data" outline="0" fieldPosition="0">
        <references count="2">
          <reference field="4294967294" count="1" selected="0">
            <x v="1"/>
          </reference>
          <reference field="1" count="1" selected="0">
            <x v="5"/>
          </reference>
        </references>
      </pivotArea>
    </chartFormat>
    <chartFormat chart="9" format="97" series="1">
      <pivotArea type="data" outline="0" fieldPosition="0">
        <references count="2">
          <reference field="4294967294" count="1" selected="0">
            <x v="2"/>
          </reference>
          <reference field="1" count="1" selected="0">
            <x v="5"/>
          </reference>
        </references>
      </pivotArea>
    </chartFormat>
    <chartFormat chart="9" format="98" series="1">
      <pivotArea type="data" outline="0" fieldPosition="0">
        <references count="2">
          <reference field="4294967294" count="1" selected="0">
            <x v="3"/>
          </reference>
          <reference field="1" count="1" selected="0">
            <x v="5"/>
          </reference>
        </references>
      </pivotArea>
    </chartFormat>
    <chartFormat chart="9" format="99" series="1">
      <pivotArea type="data" outline="0" fieldPosition="0">
        <references count="2">
          <reference field="4294967294" count="1" selected="0">
            <x v="4"/>
          </reference>
          <reference field="1" count="1" selected="0">
            <x v="5"/>
          </reference>
        </references>
      </pivotArea>
    </chartFormat>
    <chartFormat chart="0" format="45" series="1">
      <pivotArea type="data" outline="0" fieldPosition="0">
        <references count="2">
          <reference field="4294967294" count="1" selected="0">
            <x v="1"/>
          </reference>
          <reference field="1" count="1" selected="0">
            <x v="5"/>
          </reference>
        </references>
      </pivotArea>
    </chartFormat>
    <chartFormat chart="0" format="46" series="1">
      <pivotArea type="data" outline="0" fieldPosition="0">
        <references count="2">
          <reference field="4294967294" count="1" selected="0">
            <x v="2"/>
          </reference>
          <reference field="1" count="1" selected="0">
            <x v="5"/>
          </reference>
        </references>
      </pivotArea>
    </chartFormat>
    <chartFormat chart="0" format="47" series="1">
      <pivotArea type="data" outline="0" fieldPosition="0">
        <references count="2">
          <reference field="4294967294" count="1" selected="0">
            <x v="3"/>
          </reference>
          <reference field="1" count="1" selected="0">
            <x v="5"/>
          </reference>
        </references>
      </pivotArea>
    </chartFormat>
    <chartFormat chart="0" format="48" series="1">
      <pivotArea type="data" outline="0" fieldPosition="0">
        <references count="2">
          <reference field="4294967294" count="1" selected="0">
            <x v="4"/>
          </reference>
          <reference field="1" count="1" selected="0">
            <x v="5"/>
          </reference>
        </references>
      </pivotArea>
    </chartFormat>
    <chartFormat chart="10" format="105" series="1">
      <pivotArea type="data" outline="0" fieldPosition="0">
        <references count="2">
          <reference field="4294967294" count="1" selected="0">
            <x v="0"/>
          </reference>
          <reference field="1" count="1" selected="0">
            <x v="6"/>
          </reference>
        </references>
      </pivotArea>
    </chartFormat>
    <chartFormat chart="10" format="106" series="1">
      <pivotArea type="data" outline="0" fieldPosition="0">
        <references count="2">
          <reference field="4294967294" count="1" selected="0">
            <x v="1"/>
          </reference>
          <reference field="1" count="1" selected="0">
            <x v="6"/>
          </reference>
        </references>
      </pivotArea>
    </chartFormat>
    <chartFormat chart="10" format="107" series="1">
      <pivotArea type="data" outline="0" fieldPosition="0">
        <references count="2">
          <reference field="4294967294" count="1" selected="0">
            <x v="2"/>
          </reference>
          <reference field="1" count="1" selected="0">
            <x v="6"/>
          </reference>
        </references>
      </pivotArea>
    </chartFormat>
    <chartFormat chart="10" format="108" series="1">
      <pivotArea type="data" outline="0" fieldPosition="0">
        <references count="2">
          <reference field="4294967294" count="1" selected="0">
            <x v="3"/>
          </reference>
          <reference field="1" count="1" selected="0">
            <x v="6"/>
          </reference>
        </references>
      </pivotArea>
    </chartFormat>
    <chartFormat chart="10" format="109" series="1">
      <pivotArea type="data" outline="0" fieldPosition="0">
        <references count="2">
          <reference field="4294967294" count="1" selected="0">
            <x v="4"/>
          </reference>
          <reference field="1" count="1" selected="0">
            <x v="6"/>
          </reference>
        </references>
      </pivotArea>
    </chartFormat>
    <chartFormat chart="9" format="100" series="1">
      <pivotArea type="data" outline="0" fieldPosition="0">
        <references count="2">
          <reference field="4294967294" count="1" selected="0">
            <x v="0"/>
          </reference>
          <reference field="1" count="1" selected="0">
            <x v="6"/>
          </reference>
        </references>
      </pivotArea>
    </chartFormat>
    <chartFormat chart="9" format="101" series="1">
      <pivotArea type="data" outline="0" fieldPosition="0">
        <references count="2">
          <reference field="4294967294" count="1" selected="0">
            <x v="1"/>
          </reference>
          <reference field="1" count="1" selected="0">
            <x v="6"/>
          </reference>
        </references>
      </pivotArea>
    </chartFormat>
    <chartFormat chart="9" format="102" series="1">
      <pivotArea type="data" outline="0" fieldPosition="0">
        <references count="2">
          <reference field="4294967294" count="1" selected="0">
            <x v="2"/>
          </reference>
          <reference field="1" count="1" selected="0">
            <x v="6"/>
          </reference>
        </references>
      </pivotArea>
    </chartFormat>
    <chartFormat chart="9" format="103" series="1">
      <pivotArea type="data" outline="0" fieldPosition="0">
        <references count="2">
          <reference field="4294967294" count="1" selected="0">
            <x v="3"/>
          </reference>
          <reference field="1" count="1" selected="0">
            <x v="6"/>
          </reference>
        </references>
      </pivotArea>
    </chartFormat>
    <chartFormat chart="9" format="104" series="1">
      <pivotArea type="data" outline="0" fieldPosition="0">
        <references count="2">
          <reference field="4294967294" count="1" selected="0">
            <x v="4"/>
          </reference>
          <reference field="1" count="1" selected="0">
            <x v="6"/>
          </reference>
        </references>
      </pivotArea>
    </chartFormat>
    <chartFormat chart="0" format="49" series="1">
      <pivotArea type="data" outline="0" fieldPosition="0">
        <references count="2">
          <reference field="4294967294" count="1" selected="0">
            <x v="3"/>
          </reference>
          <reference field="1" count="1" selected="0">
            <x v="6"/>
          </reference>
        </references>
      </pivotArea>
    </chartFormat>
    <chartFormat chart="0" format="50" series="1">
      <pivotArea type="data" outline="0" fieldPosition="0">
        <references count="2">
          <reference field="4294967294" count="1" selected="0">
            <x v="4"/>
          </reference>
          <reference field="1" count="1" selected="0">
            <x v="6"/>
          </reference>
        </references>
      </pivotArea>
    </chartFormat>
    <chartFormat chart="21" format="51" series="1">
      <pivotArea type="data" outline="0" fieldPosition="0">
        <references count="2">
          <reference field="4294967294" count="1" selected="0">
            <x v="0"/>
          </reference>
          <reference field="1" count="1" selected="0">
            <x v="1"/>
          </reference>
        </references>
      </pivotArea>
    </chartFormat>
    <chartFormat chart="21" format="52" series="1">
      <pivotArea type="data" outline="0" fieldPosition="0">
        <references count="2">
          <reference field="4294967294" count="1" selected="0">
            <x v="1"/>
          </reference>
          <reference field="1" count="1" selected="0">
            <x v="1"/>
          </reference>
        </references>
      </pivotArea>
    </chartFormat>
    <chartFormat chart="21" format="53" series="1">
      <pivotArea type="data" outline="0" fieldPosition="0">
        <references count="2">
          <reference field="4294967294" count="1" selected="0">
            <x v="3"/>
          </reference>
          <reference field="1" count="1" selected="0">
            <x v="1"/>
          </reference>
        </references>
      </pivotArea>
    </chartFormat>
    <chartFormat chart="21" format="54" series="1">
      <pivotArea type="data" outline="0" fieldPosition="0">
        <references count="2">
          <reference field="4294967294" count="1" selected="0">
            <x v="4"/>
          </reference>
          <reference field="1" count="1" selected="0">
            <x v="1"/>
          </reference>
        </references>
      </pivotArea>
    </chartFormat>
    <chartFormat chart="21" format="55" series="1">
      <pivotArea type="data" outline="0" fieldPosition="0">
        <references count="2">
          <reference field="4294967294" count="1" selected="0">
            <x v="2"/>
          </reference>
          <reference field="1" count="1" selected="0">
            <x v="1"/>
          </reference>
        </references>
      </pivotArea>
    </chartFormat>
    <chartFormat chart="22" format="56" series="1">
      <pivotArea type="data" outline="0" fieldPosition="0">
        <references count="2">
          <reference field="4294967294" count="1" selected="0">
            <x v="0"/>
          </reference>
          <reference field="1" count="1" selected="0">
            <x v="1"/>
          </reference>
        </references>
      </pivotArea>
    </chartFormat>
    <chartFormat chart="22" format="57" series="1">
      <pivotArea type="data" outline="0" fieldPosition="0">
        <references count="2">
          <reference field="4294967294" count="1" selected="0">
            <x v="1"/>
          </reference>
          <reference field="1" count="1" selected="0">
            <x v="1"/>
          </reference>
        </references>
      </pivotArea>
    </chartFormat>
    <chartFormat chart="22" format="58" series="1">
      <pivotArea type="data" outline="0" fieldPosition="0">
        <references count="2">
          <reference field="4294967294" count="1" selected="0">
            <x v="3"/>
          </reference>
          <reference field="1" count="1" selected="0">
            <x v="1"/>
          </reference>
        </references>
      </pivotArea>
    </chartFormat>
    <chartFormat chart="22" format="59" series="1">
      <pivotArea type="data" outline="0" fieldPosition="0">
        <references count="2">
          <reference field="4294967294" count="1" selected="0">
            <x v="4"/>
          </reference>
          <reference field="1" count="1" selected="0">
            <x v="1"/>
          </reference>
        </references>
      </pivotArea>
    </chartFormat>
    <chartFormat chart="22" format="60" series="1">
      <pivotArea type="data" outline="0" fieldPosition="0">
        <references count="2">
          <reference field="4294967294" count="1" selected="0">
            <x v="2"/>
          </reference>
          <reference field="1" count="1" selected="0">
            <x v="1"/>
          </reference>
        </references>
      </pivotArea>
    </chartFormat>
    <chartFormat chart="22" format="61" series="1">
      <pivotArea type="data" outline="0" fieldPosition="0">
        <references count="2">
          <reference field="4294967294" count="1" selected="0">
            <x v="0"/>
          </reference>
          <reference field="1" count="1" selected="0">
            <x v="0"/>
          </reference>
        </references>
      </pivotArea>
    </chartFormat>
    <chartFormat chart="22" format="62" series="1">
      <pivotArea type="data" outline="0" fieldPosition="0">
        <references count="2">
          <reference field="4294967294" count="1" selected="0">
            <x v="1"/>
          </reference>
          <reference field="1" count="1" selected="0">
            <x v="0"/>
          </reference>
        </references>
      </pivotArea>
    </chartFormat>
    <chartFormat chart="22" format="63" series="1">
      <pivotArea type="data" outline="0" fieldPosition="0">
        <references count="2">
          <reference field="4294967294" count="1" selected="0">
            <x v="2"/>
          </reference>
          <reference field="1" count="1" selected="0">
            <x v="0"/>
          </reference>
        </references>
      </pivotArea>
    </chartFormat>
    <chartFormat chart="22" format="64" series="1">
      <pivotArea type="data" outline="0" fieldPosition="0">
        <references count="2">
          <reference field="4294967294" count="1" selected="0">
            <x v="3"/>
          </reference>
          <reference field="1" count="1" selected="0">
            <x v="0"/>
          </reference>
        </references>
      </pivotArea>
    </chartFormat>
    <chartFormat chart="22" format="65" series="1">
      <pivotArea type="data" outline="0" fieldPosition="0">
        <references count="2">
          <reference field="4294967294" count="1" selected="0">
            <x v="4"/>
          </reference>
          <reference field="1" count="1" selected="0">
            <x v="0"/>
          </reference>
        </references>
      </pivotArea>
    </chartFormat>
    <chartFormat chart="21" format="56" series="1">
      <pivotArea type="data" outline="0" fieldPosition="0">
        <references count="2">
          <reference field="4294967294" count="1" selected="0">
            <x v="0"/>
          </reference>
          <reference field="1" count="1" selected="0">
            <x v="0"/>
          </reference>
        </references>
      </pivotArea>
    </chartFormat>
    <chartFormat chart="21" format="57" series="1">
      <pivotArea type="data" outline="0" fieldPosition="0">
        <references count="2">
          <reference field="4294967294" count="1" selected="0">
            <x v="1"/>
          </reference>
          <reference field="1" count="1" selected="0">
            <x v="0"/>
          </reference>
        </references>
      </pivotArea>
    </chartFormat>
    <chartFormat chart="21" format="58" series="1">
      <pivotArea type="data" outline="0" fieldPosition="0">
        <references count="2">
          <reference field="4294967294" count="1" selected="0">
            <x v="2"/>
          </reference>
          <reference field="1" count="1" selected="0">
            <x v="0"/>
          </reference>
        </references>
      </pivotArea>
    </chartFormat>
    <chartFormat chart="21" format="59" series="1">
      <pivotArea type="data" outline="0" fieldPosition="0">
        <references count="2">
          <reference field="4294967294" count="1" selected="0">
            <x v="3"/>
          </reference>
          <reference field="1" count="1" selected="0">
            <x v="0"/>
          </reference>
        </references>
      </pivotArea>
    </chartFormat>
    <chartFormat chart="21" format="60" series="1">
      <pivotArea type="data" outline="0" fieldPosition="0">
        <references count="2">
          <reference field="4294967294" count="1" selected="0">
            <x v="4"/>
          </reference>
          <reference field="1"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9B812344-4EA3-466F-96B6-06BEC542FDCF}" name="PivotTable3" cacheId="7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
  <location ref="B25:D91" firstHeaderRow="0" firstDataRow="1" firstDataCol="1" rowPageCount="1" colPageCount="1"/>
  <pivotFields count="15">
    <pivotField numFmtId="14" showAll="0"/>
    <pivotField axis="axisPage" multipleItemSelectionAllowed="1" showAll="0">
      <items count="9">
        <item x="0"/>
        <item h="1" x="1"/>
        <item h="1" x="2"/>
        <item h="1" x="3"/>
        <item h="1" x="4"/>
        <item h="1" x="5"/>
        <item h="1" x="6"/>
        <item h="1" x="7"/>
        <item t="default"/>
      </items>
    </pivotField>
    <pivotField showAll="0"/>
    <pivotField showAll="0"/>
    <pivotField showAll="0"/>
    <pivotField showAll="0"/>
    <pivotField showAll="0"/>
    <pivotField showAll="0"/>
    <pivotField showAll="0"/>
    <pivotField showAll="0"/>
    <pivotField showAll="0"/>
    <pivotField axis="axisRow" showAll="0">
      <items count="6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t="default"/>
      </items>
    </pivotField>
    <pivotField dataField="1" showAll="0"/>
    <pivotField dataField="1" showAll="0"/>
    <pivotField showAll="0"/>
  </pivotFields>
  <rowFields count="1">
    <field x="11"/>
  </rowFields>
  <rowItems count="66">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t="grand">
      <x/>
    </i>
  </rowItems>
  <colFields count="1">
    <field x="-2"/>
  </colFields>
  <colItems count="2">
    <i>
      <x/>
    </i>
    <i i="1">
      <x v="1"/>
    </i>
  </colItems>
  <pageFields count="1">
    <pageField fld="1" hier="-1"/>
  </pageFields>
  <dataFields count="2">
    <dataField name="Ratio Incremento Hospital" fld="12" baseField="10" baseItem="0"/>
    <dataField name="Ratio Incremento UCI" fld="13" baseField="10" baseItem="0"/>
  </dataFields>
  <chartFormats count="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1B7AA488-08FD-4E2C-A693-EB018CCBA90A}" name="GrafCoruna" cacheId="66"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62">
  <location ref="D30:H96" firstHeaderRow="0" firstDataRow="1" firstDataCol="1"/>
  <pivotFields count="23">
    <pivotField axis="axisRow" showAll="0">
      <items count="121">
        <item m="1" x="71"/>
        <item m="1" x="76"/>
        <item m="1" x="80"/>
        <item m="1" x="84"/>
        <item m="1" x="89"/>
        <item m="1" x="96"/>
        <item m="1" x="101"/>
        <item m="1" x="105"/>
        <item m="1" x="111"/>
        <item m="1" x="107"/>
        <item m="1" x="113"/>
        <item m="1" x="117"/>
        <item m="1" x="65"/>
        <item m="1" x="68"/>
        <item m="1" x="73"/>
        <item m="1" x="78"/>
        <item m="1" x="82"/>
        <item m="1" x="86"/>
        <item m="1" x="92"/>
        <item m="1" x="87"/>
        <item m="1" x="94"/>
        <item m="1" x="93"/>
        <item m="1" x="99"/>
        <item m="1" x="103"/>
        <item m="1" x="108"/>
        <item m="1" x="114"/>
        <item m="1" x="118"/>
        <item m="1" x="66"/>
        <item m="1" x="69"/>
        <item m="1" x="74"/>
        <item m="1" x="70"/>
        <item m="1" x="75"/>
        <item m="1" x="79"/>
        <item m="1" x="83"/>
        <item m="1" x="88"/>
        <item m="1" x="95"/>
        <item m="1" x="100"/>
        <item m="1" x="104"/>
        <item m="1" x="109"/>
        <item m="1" x="115"/>
        <item m="1" x="110"/>
        <item m="1" x="116"/>
        <item m="1" x="119"/>
        <item m="1" x="67"/>
        <item m="1" x="72"/>
        <item m="1" x="77"/>
        <item m="1" x="81"/>
        <item m="1" x="85"/>
        <item m="1" x="90"/>
        <item m="1" x="97"/>
        <item m="1" x="91"/>
        <item m="1" x="98"/>
        <item m="1" x="102"/>
        <item m="1" x="106"/>
        <item m="1" x="11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66">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48">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7" format="8" series="1">
      <pivotArea type="data" outline="0" fieldPosition="0">
        <references count="1">
          <reference field="4294967294" count="1" selected="0">
            <x v="3"/>
          </reference>
        </references>
      </pivotArea>
    </chartFormat>
    <chartFormat chart="7" format="9" series="1">
      <pivotArea type="data" outline="0" fieldPosition="0">
        <references count="1">
          <reference field="4294967294" count="1" selected="0">
            <x v="0"/>
          </reference>
        </references>
      </pivotArea>
    </chartFormat>
    <chartFormat chart="7" format="10" series="1">
      <pivotArea type="data" outline="0" fieldPosition="0">
        <references count="1">
          <reference field="4294967294" count="1" selected="0">
            <x v="1"/>
          </reference>
        </references>
      </pivotArea>
    </chartFormat>
    <chartFormat chart="7" format="11" series="1">
      <pivotArea type="data" outline="0" fieldPosition="0">
        <references count="1">
          <reference field="4294967294" count="1" selected="0">
            <x v="2"/>
          </reference>
        </references>
      </pivotArea>
    </chartFormat>
    <chartFormat chart="14" format="4" series="1">
      <pivotArea type="data" outline="0" fieldPosition="0">
        <references count="1">
          <reference field="4294967294" count="1" selected="0">
            <x v="3"/>
          </reference>
        </references>
      </pivotArea>
    </chartFormat>
    <chartFormat chart="14" format="5" series="1">
      <pivotArea type="data" outline="0" fieldPosition="0">
        <references count="1">
          <reference field="4294967294" count="1" selected="0">
            <x v="0"/>
          </reference>
        </references>
      </pivotArea>
    </chartFormat>
    <chartFormat chart="14" format="6" series="1">
      <pivotArea type="data" outline="0" fieldPosition="0">
        <references count="1">
          <reference field="4294967294" count="1" selected="0">
            <x v="1"/>
          </reference>
        </references>
      </pivotArea>
    </chartFormat>
    <chartFormat chart="14" format="7" series="1">
      <pivotArea type="data" outline="0" fieldPosition="0">
        <references count="1">
          <reference field="4294967294" count="1" selected="0">
            <x v="2"/>
          </reference>
        </references>
      </pivotArea>
    </chartFormat>
    <chartFormat chart="15" format="8" series="1">
      <pivotArea type="data" outline="0" fieldPosition="0">
        <references count="1">
          <reference field="4294967294" count="1" selected="0">
            <x v="3"/>
          </reference>
        </references>
      </pivotArea>
    </chartFormat>
    <chartFormat chart="15" format="9" series="1">
      <pivotArea type="data" outline="0" fieldPosition="0">
        <references count="1">
          <reference field="4294967294" count="1" selected="0">
            <x v="0"/>
          </reference>
        </references>
      </pivotArea>
    </chartFormat>
    <chartFormat chart="15" format="10" series="1">
      <pivotArea type="data" outline="0" fieldPosition="0">
        <references count="1">
          <reference field="4294967294" count="1" selected="0">
            <x v="1"/>
          </reference>
        </references>
      </pivotArea>
    </chartFormat>
    <chartFormat chart="15" format="11" series="1">
      <pivotArea type="data" outline="0" fieldPosition="0">
        <references count="1">
          <reference field="4294967294" count="1" selected="0">
            <x v="2"/>
          </reference>
        </references>
      </pivotArea>
    </chartFormat>
    <chartFormat chart="18" format="4" series="1">
      <pivotArea type="data" outline="0" fieldPosition="0">
        <references count="1">
          <reference field="4294967294" count="1" selected="0">
            <x v="3"/>
          </reference>
        </references>
      </pivotArea>
    </chartFormat>
    <chartFormat chart="18" format="5" series="1">
      <pivotArea type="data" outline="0" fieldPosition="0">
        <references count="1">
          <reference field="4294967294" count="1" selected="0">
            <x v="0"/>
          </reference>
        </references>
      </pivotArea>
    </chartFormat>
    <chartFormat chart="18" format="6" series="1">
      <pivotArea type="data" outline="0" fieldPosition="0">
        <references count="1">
          <reference field="4294967294" count="1" selected="0">
            <x v="1"/>
          </reference>
        </references>
      </pivotArea>
    </chartFormat>
    <chartFormat chart="18" format="7" series="1">
      <pivotArea type="data" outline="0" fieldPosition="0">
        <references count="1">
          <reference field="4294967294" count="1" selected="0">
            <x v="2"/>
          </reference>
        </references>
      </pivotArea>
    </chartFormat>
    <chartFormat chart="19" format="8" series="1">
      <pivotArea type="data" outline="0" fieldPosition="0">
        <references count="1">
          <reference field="4294967294" count="1" selected="0">
            <x v="3"/>
          </reference>
        </references>
      </pivotArea>
    </chartFormat>
    <chartFormat chart="19" format="9" series="1">
      <pivotArea type="data" outline="0" fieldPosition="0">
        <references count="1">
          <reference field="4294967294" count="1" selected="0">
            <x v="0"/>
          </reference>
        </references>
      </pivotArea>
    </chartFormat>
    <chartFormat chart="19" format="10" series="1">
      <pivotArea type="data" outline="0" fieldPosition="0">
        <references count="1">
          <reference field="4294967294" count="1" selected="0">
            <x v="1"/>
          </reference>
        </references>
      </pivotArea>
    </chartFormat>
    <chartFormat chart="19" format="11" series="1">
      <pivotArea type="data" outline="0" fieldPosition="0">
        <references count="1">
          <reference field="4294967294" count="1" selected="0">
            <x v="2"/>
          </reference>
        </references>
      </pivotArea>
    </chartFormat>
    <chartFormat chart="32" format="4" series="1">
      <pivotArea type="data" outline="0" fieldPosition="0">
        <references count="1">
          <reference field="4294967294" count="1" selected="0">
            <x v="3"/>
          </reference>
        </references>
      </pivotArea>
    </chartFormat>
    <chartFormat chart="32" format="5" series="1">
      <pivotArea type="data" outline="0" fieldPosition="0">
        <references count="1">
          <reference field="4294967294" count="1" selected="0">
            <x v="0"/>
          </reference>
        </references>
      </pivotArea>
    </chartFormat>
    <chartFormat chart="32" format="6" series="1">
      <pivotArea type="data" outline="0" fieldPosition="0">
        <references count="1">
          <reference field="4294967294" count="1" selected="0">
            <x v="1"/>
          </reference>
        </references>
      </pivotArea>
    </chartFormat>
    <chartFormat chart="32" format="7" series="1">
      <pivotArea type="data" outline="0" fieldPosition="0">
        <references count="1">
          <reference field="4294967294" count="1" selected="0">
            <x v="2"/>
          </reference>
        </references>
      </pivotArea>
    </chartFormat>
    <chartFormat chart="33" format="8" series="1">
      <pivotArea type="data" outline="0" fieldPosition="0">
        <references count="1">
          <reference field="4294967294" count="1" selected="0">
            <x v="3"/>
          </reference>
        </references>
      </pivotArea>
    </chartFormat>
    <chartFormat chart="33" format="9" series="1">
      <pivotArea type="data" outline="0" fieldPosition="0">
        <references count="1">
          <reference field="4294967294" count="1" selected="0">
            <x v="0"/>
          </reference>
        </references>
      </pivotArea>
    </chartFormat>
    <chartFormat chart="33" format="10" series="1">
      <pivotArea type="data" outline="0" fieldPosition="0">
        <references count="1">
          <reference field="4294967294" count="1" selected="0">
            <x v="1"/>
          </reference>
        </references>
      </pivotArea>
    </chartFormat>
    <chartFormat chart="33" format="11" series="1">
      <pivotArea type="data" outline="0" fieldPosition="0">
        <references count="1">
          <reference field="4294967294" count="1" selected="0">
            <x v="2"/>
          </reference>
        </references>
      </pivotArea>
    </chartFormat>
    <chartFormat chart="38" format="4" series="1">
      <pivotArea type="data" outline="0" fieldPosition="0">
        <references count="1">
          <reference field="4294967294" count="1" selected="0">
            <x v="3"/>
          </reference>
        </references>
      </pivotArea>
    </chartFormat>
    <chartFormat chart="38" format="5" series="1">
      <pivotArea type="data" outline="0" fieldPosition="0">
        <references count="1">
          <reference field="4294967294" count="1" selected="0">
            <x v="0"/>
          </reference>
        </references>
      </pivotArea>
    </chartFormat>
    <chartFormat chart="38" format="6" series="1">
      <pivotArea type="data" outline="0" fieldPosition="0">
        <references count="1">
          <reference field="4294967294" count="1" selected="0">
            <x v="1"/>
          </reference>
        </references>
      </pivotArea>
    </chartFormat>
    <chartFormat chart="38" format="7" series="1">
      <pivotArea type="data" outline="0" fieldPosition="0">
        <references count="1">
          <reference field="4294967294" count="1" selected="0">
            <x v="2"/>
          </reference>
        </references>
      </pivotArea>
    </chartFormat>
    <chartFormat chart="39" format="8" series="1">
      <pivotArea type="data" outline="0" fieldPosition="0">
        <references count="1">
          <reference field="4294967294" count="1" selected="0">
            <x v="3"/>
          </reference>
        </references>
      </pivotArea>
    </chartFormat>
    <chartFormat chart="39" format="9" series="1">
      <pivotArea type="data" outline="0" fieldPosition="0">
        <references count="1">
          <reference field="4294967294" count="1" selected="0">
            <x v="0"/>
          </reference>
        </references>
      </pivotArea>
    </chartFormat>
    <chartFormat chart="39" format="10" series="1">
      <pivotArea type="data" outline="0" fieldPosition="0">
        <references count="1">
          <reference field="4294967294" count="1" selected="0">
            <x v="1"/>
          </reference>
        </references>
      </pivotArea>
    </chartFormat>
    <chartFormat chart="39" format="11" series="1">
      <pivotArea type="data" outline="0" fieldPosition="0">
        <references count="1">
          <reference field="4294967294" count="1" selected="0">
            <x v="2"/>
          </reference>
        </references>
      </pivotArea>
    </chartFormat>
    <chartFormat chart="60" format="4" series="1">
      <pivotArea type="data" outline="0" fieldPosition="0">
        <references count="1">
          <reference field="4294967294" count="1" selected="0">
            <x v="3"/>
          </reference>
        </references>
      </pivotArea>
    </chartFormat>
    <chartFormat chart="60" format="5" series="1">
      <pivotArea type="data" outline="0" fieldPosition="0">
        <references count="1">
          <reference field="4294967294" count="1" selected="0">
            <x v="0"/>
          </reference>
        </references>
      </pivotArea>
    </chartFormat>
    <chartFormat chart="60" format="6" series="1">
      <pivotArea type="data" outline="0" fieldPosition="0">
        <references count="1">
          <reference field="4294967294" count="1" selected="0">
            <x v="1"/>
          </reference>
        </references>
      </pivotArea>
    </chartFormat>
    <chartFormat chart="60" format="7" series="1">
      <pivotArea type="data" outline="0" fieldPosition="0">
        <references count="1">
          <reference field="4294967294" count="1" selected="0">
            <x v="2"/>
          </reference>
        </references>
      </pivotArea>
    </chartFormat>
    <chartFormat chart="61" format="8" series="1">
      <pivotArea type="data" outline="0" fieldPosition="0">
        <references count="1">
          <reference field="4294967294" count="1" selected="0">
            <x v="3"/>
          </reference>
        </references>
      </pivotArea>
    </chartFormat>
    <chartFormat chart="61" format="9" series="1">
      <pivotArea type="data" outline="0" fieldPosition="0">
        <references count="1">
          <reference field="4294967294" count="1" selected="0">
            <x v="0"/>
          </reference>
        </references>
      </pivotArea>
    </chartFormat>
    <chartFormat chart="61" format="10" series="1">
      <pivotArea type="data" outline="0" fieldPosition="0">
        <references count="1">
          <reference field="4294967294" count="1" selected="0">
            <x v="1"/>
          </reference>
        </references>
      </pivotArea>
    </chartFormat>
    <chartFormat chart="61" format="11"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C7D56298-BADF-4003-BDBF-633DD898879E}" name="GrafFerrol" cacheId="63"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9">
  <location ref="D30:H96" firstHeaderRow="0" firstDataRow="1" firstDataCol="1"/>
  <pivotFields count="23">
    <pivotField axis="axisRow" showAll="0">
      <items count="121">
        <item m="1" x="71"/>
        <item m="1" x="93"/>
        <item m="1" x="117"/>
        <item m="1" x="86"/>
        <item m="1" x="110"/>
        <item m="1" x="79"/>
        <item m="1" x="101"/>
        <item m="1" x="69"/>
        <item m="1" x="91"/>
        <item m="1" x="115"/>
        <item m="1" x="84"/>
        <item m="1" x="107"/>
        <item m="1" x="76"/>
        <item m="1" x="98"/>
        <item m="1" x="66"/>
        <item m="1" x="89"/>
        <item m="1" x="113"/>
        <item m="1" x="82"/>
        <item m="1" x="105"/>
        <item m="1" x="74"/>
        <item m="1" x="96"/>
        <item m="1" x="109"/>
        <item m="1" x="78"/>
        <item m="1" x="100"/>
        <item m="1" x="68"/>
        <item m="1" x="90"/>
        <item m="1" x="114"/>
        <item m="1" x="83"/>
        <item m="1" x="106"/>
        <item m="1" x="75"/>
        <item m="1" x="97"/>
        <item m="1" x="65"/>
        <item m="1" x="88"/>
        <item m="1" x="112"/>
        <item m="1" x="81"/>
        <item m="1" x="104"/>
        <item m="1" x="73"/>
        <item m="1" x="95"/>
        <item m="1" x="119"/>
        <item m="1" x="87"/>
        <item m="1" x="111"/>
        <item m="1" x="80"/>
        <item m="1" x="102"/>
        <item m="1" x="70"/>
        <item m="1" x="92"/>
        <item m="1" x="116"/>
        <item m="1" x="85"/>
        <item m="1" x="108"/>
        <item m="1" x="77"/>
        <item m="1" x="99"/>
        <item m="1" x="67"/>
        <item m="1" x="103"/>
        <item m="1" x="72"/>
        <item m="1" x="94"/>
        <item m="1" x="11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66">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1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8" format="12" series="1">
      <pivotArea type="data" outline="0" fieldPosition="0">
        <references count="1">
          <reference field="4294967294" count="1" selected="0">
            <x v="3"/>
          </reference>
        </references>
      </pivotArea>
    </chartFormat>
    <chartFormat chart="8" format="13" series="1">
      <pivotArea type="data" outline="0" fieldPosition="0">
        <references count="1">
          <reference field="4294967294" count="1" selected="0">
            <x v="0"/>
          </reference>
        </references>
      </pivotArea>
    </chartFormat>
    <chartFormat chart="8" format="14" series="1">
      <pivotArea type="data" outline="0" fieldPosition="0">
        <references count="1">
          <reference field="4294967294" count="1" selected="0">
            <x v="1"/>
          </reference>
        </references>
      </pivotArea>
    </chartFormat>
    <chartFormat chart="8" format="15"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384C283D-6651-4E54-92E4-EFE63323C4F7}" name="GrafCoruna" cacheId="57"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1">
  <location ref="D30:H96" firstHeaderRow="0" firstDataRow="1" firstDataCol="1"/>
  <pivotFields count="23">
    <pivotField axis="axisRow" showAll="0">
      <items count="121">
        <item m="1" x="71"/>
        <item m="1" x="93"/>
        <item m="1" x="117"/>
        <item m="1" x="86"/>
        <item m="1" x="110"/>
        <item m="1" x="79"/>
        <item m="1" x="101"/>
        <item m="1" x="69"/>
        <item m="1" x="91"/>
        <item m="1" x="115"/>
        <item m="1" x="84"/>
        <item m="1" x="107"/>
        <item m="1" x="76"/>
        <item m="1" x="98"/>
        <item m="1" x="66"/>
        <item m="1" x="89"/>
        <item m="1" x="113"/>
        <item m="1" x="82"/>
        <item m="1" x="105"/>
        <item m="1" x="74"/>
        <item m="1" x="96"/>
        <item m="1" x="109"/>
        <item m="1" x="78"/>
        <item m="1" x="100"/>
        <item m="1" x="68"/>
        <item m="1" x="90"/>
        <item m="1" x="114"/>
        <item m="1" x="83"/>
        <item m="1" x="106"/>
        <item m="1" x="75"/>
        <item m="1" x="97"/>
        <item m="1" x="65"/>
        <item m="1" x="88"/>
        <item m="1" x="112"/>
        <item m="1" x="81"/>
        <item m="1" x="104"/>
        <item m="1" x="73"/>
        <item m="1" x="95"/>
        <item m="1" x="119"/>
        <item m="1" x="87"/>
        <item m="1" x="111"/>
        <item m="1" x="80"/>
        <item m="1" x="102"/>
        <item m="1" x="70"/>
        <item m="1" x="92"/>
        <item m="1" x="116"/>
        <item m="1" x="85"/>
        <item m="1" x="108"/>
        <item m="1" x="77"/>
        <item m="1" x="99"/>
        <item m="1" x="67"/>
        <item m="1" x="103"/>
        <item m="1" x="72"/>
        <item m="1" x="94"/>
        <item m="1" x="11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66">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1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8" format="12" series="1">
      <pivotArea type="data" outline="0" fieldPosition="0">
        <references count="1">
          <reference field="4294967294" count="1" selected="0">
            <x v="3"/>
          </reference>
        </references>
      </pivotArea>
    </chartFormat>
    <chartFormat chart="8" format="13" series="1">
      <pivotArea type="data" outline="0" fieldPosition="0">
        <references count="1">
          <reference field="4294967294" count="1" selected="0">
            <x v="0"/>
          </reference>
        </references>
      </pivotArea>
    </chartFormat>
    <chartFormat chart="8" format="14" series="1">
      <pivotArea type="data" outline="0" fieldPosition="0">
        <references count="1">
          <reference field="4294967294" count="1" selected="0">
            <x v="1"/>
          </reference>
        </references>
      </pivotArea>
    </chartFormat>
    <chartFormat chart="8" format="15"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2B35C58D-4142-4ED8-BAF6-B5ACBDE0EF38}" name="GrafFerrol" cacheId="6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7">
  <location ref="D30:H96" firstHeaderRow="0" firstDataRow="1" firstDataCol="1"/>
  <pivotFields count="23">
    <pivotField axis="axisRow" showAll="0">
      <items count="121">
        <item m="1" x="71"/>
        <item m="1" x="93"/>
        <item m="1" x="117"/>
        <item m="1" x="86"/>
        <item m="1" x="110"/>
        <item m="1" x="79"/>
        <item m="1" x="101"/>
        <item m="1" x="69"/>
        <item m="1" x="91"/>
        <item m="1" x="115"/>
        <item m="1" x="84"/>
        <item m="1" x="107"/>
        <item m="1" x="76"/>
        <item m="1" x="98"/>
        <item m="1" x="66"/>
        <item m="1" x="89"/>
        <item m="1" x="113"/>
        <item m="1" x="82"/>
        <item m="1" x="105"/>
        <item m="1" x="74"/>
        <item m="1" x="96"/>
        <item m="1" x="109"/>
        <item m="1" x="78"/>
        <item m="1" x="100"/>
        <item m="1" x="68"/>
        <item m="1" x="90"/>
        <item m="1" x="114"/>
        <item m="1" x="83"/>
        <item m="1" x="106"/>
        <item m="1" x="75"/>
        <item m="1" x="97"/>
        <item m="1" x="65"/>
        <item m="1" x="88"/>
        <item m="1" x="112"/>
        <item m="1" x="81"/>
        <item m="1" x="104"/>
        <item m="1" x="73"/>
        <item m="1" x="95"/>
        <item m="1" x="119"/>
        <item m="1" x="87"/>
        <item m="1" x="111"/>
        <item m="1" x="80"/>
        <item m="1" x="102"/>
        <item m="1" x="70"/>
        <item m="1" x="92"/>
        <item m="1" x="116"/>
        <item m="1" x="85"/>
        <item m="1" x="108"/>
        <item m="1" x="77"/>
        <item m="1" x="99"/>
        <item m="1" x="67"/>
        <item m="1" x="103"/>
        <item m="1" x="72"/>
        <item m="1" x="94"/>
        <item m="1" x="11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66">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4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9" format="16" series="1">
      <pivotArea type="data" outline="0" fieldPosition="0">
        <references count="1">
          <reference field="4294967294" count="1" selected="0">
            <x v="3"/>
          </reference>
        </references>
      </pivotArea>
    </chartFormat>
    <chartFormat chart="9" format="17" series="1">
      <pivotArea type="data" outline="0" fieldPosition="0">
        <references count="1">
          <reference field="4294967294" count="1" selected="0">
            <x v="0"/>
          </reference>
        </references>
      </pivotArea>
    </chartFormat>
    <chartFormat chart="9" format="18" series="1">
      <pivotArea type="data" outline="0" fieldPosition="0">
        <references count="1">
          <reference field="4294967294" count="1" selected="0">
            <x v="1"/>
          </reference>
        </references>
      </pivotArea>
    </chartFormat>
    <chartFormat chart="9" format="19" series="1">
      <pivotArea type="data" outline="0" fieldPosition="0">
        <references count="1">
          <reference field="4294967294" count="1" selected="0">
            <x v="2"/>
          </reference>
        </references>
      </pivotArea>
    </chartFormat>
    <chartFormat chart="12" format="16" series="1">
      <pivotArea type="data" outline="0" fieldPosition="0">
        <references count="1">
          <reference field="4294967294" count="1" selected="0">
            <x v="3"/>
          </reference>
        </references>
      </pivotArea>
    </chartFormat>
    <chartFormat chart="12" format="17" series="1">
      <pivotArea type="data" outline="0" fieldPosition="0">
        <references count="1">
          <reference field="4294967294" count="1" selected="0">
            <x v="0"/>
          </reference>
        </references>
      </pivotArea>
    </chartFormat>
    <chartFormat chart="12" format="18" series="1">
      <pivotArea type="data" outline="0" fieldPosition="0">
        <references count="1">
          <reference field="4294967294" count="1" selected="0">
            <x v="1"/>
          </reference>
        </references>
      </pivotArea>
    </chartFormat>
    <chartFormat chart="12" format="19" series="1">
      <pivotArea type="data" outline="0" fieldPosition="0">
        <references count="1">
          <reference field="4294967294" count="1" selected="0">
            <x v="2"/>
          </reference>
        </references>
      </pivotArea>
    </chartFormat>
    <chartFormat chart="15" format="12" series="1">
      <pivotArea type="data" outline="0" fieldPosition="0">
        <references count="1">
          <reference field="4294967294" count="1" selected="0">
            <x v="3"/>
          </reference>
        </references>
      </pivotArea>
    </chartFormat>
    <chartFormat chart="15" format="13" series="1">
      <pivotArea type="data" outline="0" fieldPosition="0">
        <references count="1">
          <reference field="4294967294" count="1" selected="0">
            <x v="0"/>
          </reference>
        </references>
      </pivotArea>
    </chartFormat>
    <chartFormat chart="15" format="14" series="1">
      <pivotArea type="data" outline="0" fieldPosition="0">
        <references count="1">
          <reference field="4294967294" count="1" selected="0">
            <x v="1"/>
          </reference>
        </references>
      </pivotArea>
    </chartFormat>
    <chartFormat chart="15" format="15" series="1">
      <pivotArea type="data" outline="0" fieldPosition="0">
        <references count="1">
          <reference field="4294967294" count="1" selected="0">
            <x v="2"/>
          </reference>
        </references>
      </pivotArea>
    </chartFormat>
    <chartFormat chart="16" format="16" series="1">
      <pivotArea type="data" outline="0" fieldPosition="0">
        <references count="1">
          <reference field="4294967294" count="1" selected="0">
            <x v="3"/>
          </reference>
        </references>
      </pivotArea>
    </chartFormat>
    <chartFormat chart="16" format="17" series="1">
      <pivotArea type="data" outline="0" fieldPosition="0">
        <references count="1">
          <reference field="4294967294" count="1" selected="0">
            <x v="0"/>
          </reference>
        </references>
      </pivotArea>
    </chartFormat>
    <chartFormat chart="16" format="18" series="1">
      <pivotArea type="data" outline="0" fieldPosition="0">
        <references count="1">
          <reference field="4294967294" count="1" selected="0">
            <x v="1"/>
          </reference>
        </references>
      </pivotArea>
    </chartFormat>
    <chartFormat chart="16" format="19" series="1">
      <pivotArea type="data" outline="0" fieldPosition="0">
        <references count="1">
          <reference field="4294967294" count="1" selected="0">
            <x v="2"/>
          </reference>
        </references>
      </pivotArea>
    </chartFormat>
    <chartFormat chart="19" format="12" series="1">
      <pivotArea type="data" outline="0" fieldPosition="0">
        <references count="1">
          <reference field="4294967294" count="1" selected="0">
            <x v="3"/>
          </reference>
        </references>
      </pivotArea>
    </chartFormat>
    <chartFormat chart="19" format="13" series="1">
      <pivotArea type="data" outline="0" fieldPosition="0">
        <references count="1">
          <reference field="4294967294" count="1" selected="0">
            <x v="0"/>
          </reference>
        </references>
      </pivotArea>
    </chartFormat>
    <chartFormat chart="19" format="14" series="1">
      <pivotArea type="data" outline="0" fieldPosition="0">
        <references count="1">
          <reference field="4294967294" count="1" selected="0">
            <x v="1"/>
          </reference>
        </references>
      </pivotArea>
    </chartFormat>
    <chartFormat chart="19" format="15" series="1">
      <pivotArea type="data" outline="0" fieldPosition="0">
        <references count="1">
          <reference field="4294967294" count="1" selected="0">
            <x v="2"/>
          </reference>
        </references>
      </pivotArea>
    </chartFormat>
    <chartFormat chart="20" format="16" series="1">
      <pivotArea type="data" outline="0" fieldPosition="0">
        <references count="1">
          <reference field="4294967294" count="1" selected="0">
            <x v="3"/>
          </reference>
        </references>
      </pivotArea>
    </chartFormat>
    <chartFormat chart="20" format="17" series="1">
      <pivotArea type="data" outline="0" fieldPosition="0">
        <references count="1">
          <reference field="4294967294" count="1" selected="0">
            <x v="0"/>
          </reference>
        </references>
      </pivotArea>
    </chartFormat>
    <chartFormat chart="20" format="18" series="1">
      <pivotArea type="data" outline="0" fieldPosition="0">
        <references count="1">
          <reference field="4294967294" count="1" selected="0">
            <x v="1"/>
          </reference>
        </references>
      </pivotArea>
    </chartFormat>
    <chartFormat chart="20" format="19" series="1">
      <pivotArea type="data" outline="0" fieldPosition="0">
        <references count="1">
          <reference field="4294967294" count="1" selected="0">
            <x v="2"/>
          </reference>
        </references>
      </pivotArea>
    </chartFormat>
    <chartFormat chart="21" format="12" series="1">
      <pivotArea type="data" outline="0" fieldPosition="0">
        <references count="1">
          <reference field="4294967294" count="1" selected="0">
            <x v="3"/>
          </reference>
        </references>
      </pivotArea>
    </chartFormat>
    <chartFormat chart="21" format="13" series="1">
      <pivotArea type="data" outline="0" fieldPosition="0">
        <references count="1">
          <reference field="4294967294" count="1" selected="0">
            <x v="0"/>
          </reference>
        </references>
      </pivotArea>
    </chartFormat>
    <chartFormat chart="21" format="14" series="1">
      <pivotArea type="data" outline="0" fieldPosition="0">
        <references count="1">
          <reference field="4294967294" count="1" selected="0">
            <x v="1"/>
          </reference>
        </references>
      </pivotArea>
    </chartFormat>
    <chartFormat chart="21" format="15" series="1">
      <pivotArea type="data" outline="0" fieldPosition="0">
        <references count="1">
          <reference field="4294967294" count="1" selected="0">
            <x v="2"/>
          </reference>
        </references>
      </pivotArea>
    </chartFormat>
    <chartFormat chart="22" format="16" series="1">
      <pivotArea type="data" outline="0" fieldPosition="0">
        <references count="1">
          <reference field="4294967294" count="1" selected="0">
            <x v="3"/>
          </reference>
        </references>
      </pivotArea>
    </chartFormat>
    <chartFormat chart="22" format="17" series="1">
      <pivotArea type="data" outline="0" fieldPosition="0">
        <references count="1">
          <reference field="4294967294" count="1" selected="0">
            <x v="0"/>
          </reference>
        </references>
      </pivotArea>
    </chartFormat>
    <chartFormat chart="22" format="18" series="1">
      <pivotArea type="data" outline="0" fieldPosition="0">
        <references count="1">
          <reference field="4294967294" count="1" selected="0">
            <x v="1"/>
          </reference>
        </references>
      </pivotArea>
    </chartFormat>
    <chartFormat chart="22" format="19"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C2937487-7656-444D-834B-FEA0AA8E0024}" name="GrafFerrol" cacheId="5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5">
  <location ref="D30:H96" firstHeaderRow="0" firstDataRow="1" firstDataCol="1"/>
  <pivotFields count="23">
    <pivotField axis="axisRow" showAll="0">
      <items count="121">
        <item m="1" x="71"/>
        <item m="1" x="93"/>
        <item m="1" x="117"/>
        <item m="1" x="86"/>
        <item m="1" x="110"/>
        <item m="1" x="79"/>
        <item m="1" x="101"/>
        <item m="1" x="69"/>
        <item m="1" x="91"/>
        <item m="1" x="115"/>
        <item m="1" x="84"/>
        <item m="1" x="107"/>
        <item m="1" x="76"/>
        <item m="1" x="98"/>
        <item m="1" x="66"/>
        <item m="1" x="89"/>
        <item m="1" x="113"/>
        <item m="1" x="82"/>
        <item m="1" x="105"/>
        <item m="1" x="74"/>
        <item m="1" x="96"/>
        <item m="1" x="109"/>
        <item m="1" x="78"/>
        <item m="1" x="100"/>
        <item m="1" x="68"/>
        <item m="1" x="90"/>
        <item m="1" x="114"/>
        <item m="1" x="83"/>
        <item m="1" x="106"/>
        <item m="1" x="75"/>
        <item m="1" x="97"/>
        <item m="1" x="65"/>
        <item m="1" x="88"/>
        <item m="1" x="112"/>
        <item m="1" x="81"/>
        <item m="1" x="104"/>
        <item m="1" x="73"/>
        <item m="1" x="95"/>
        <item m="1" x="119"/>
        <item m="1" x="87"/>
        <item m="1" x="111"/>
        <item m="1" x="80"/>
        <item m="1" x="102"/>
        <item m="1" x="70"/>
        <item m="1" x="92"/>
        <item m="1" x="116"/>
        <item m="1" x="85"/>
        <item m="1" x="108"/>
        <item m="1" x="77"/>
        <item m="1" x="99"/>
        <item m="1" x="67"/>
        <item m="1" x="103"/>
        <item m="1" x="72"/>
        <item m="1" x="94"/>
        <item m="1" x="11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66">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2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10" format="20" series="1">
      <pivotArea type="data" outline="0" fieldPosition="0">
        <references count="1">
          <reference field="4294967294" count="1" selected="0">
            <x v="3"/>
          </reference>
        </references>
      </pivotArea>
    </chartFormat>
    <chartFormat chart="10" format="21" series="1">
      <pivotArea type="data" outline="0" fieldPosition="0">
        <references count="1">
          <reference field="4294967294" count="1" selected="0">
            <x v="0"/>
          </reference>
        </references>
      </pivotArea>
    </chartFormat>
    <chartFormat chart="10" format="22" series="1">
      <pivotArea type="data" outline="0" fieldPosition="0">
        <references count="1">
          <reference field="4294967294" count="1" selected="0">
            <x v="1"/>
          </reference>
        </references>
      </pivotArea>
    </chartFormat>
    <chartFormat chart="10" format="23"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B2A2D265-D492-40CA-A3CF-B5B1952C0C1E}" name="GrafFerrol" cacheId="5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2">
  <location ref="D30:H96" firstHeaderRow="0" firstDataRow="1" firstDataCol="1"/>
  <pivotFields count="23">
    <pivotField axis="axisRow" showAll="0">
      <items count="121">
        <item m="1" x="71"/>
        <item m="1" x="93"/>
        <item m="1" x="117"/>
        <item m="1" x="86"/>
        <item m="1" x="110"/>
        <item m="1" x="79"/>
        <item m="1" x="101"/>
        <item m="1" x="69"/>
        <item m="1" x="91"/>
        <item m="1" x="115"/>
        <item m="1" x="84"/>
        <item m="1" x="107"/>
        <item m="1" x="76"/>
        <item m="1" x="98"/>
        <item m="1" x="66"/>
        <item m="1" x="89"/>
        <item m="1" x="113"/>
        <item m="1" x="82"/>
        <item m="1" x="105"/>
        <item m="1" x="74"/>
        <item m="1" x="96"/>
        <item m="1" x="109"/>
        <item m="1" x="78"/>
        <item m="1" x="100"/>
        <item m="1" x="68"/>
        <item m="1" x="90"/>
        <item m="1" x="114"/>
        <item m="1" x="83"/>
        <item m="1" x="106"/>
        <item m="1" x="75"/>
        <item m="1" x="97"/>
        <item m="1" x="65"/>
        <item m="1" x="88"/>
        <item m="1" x="112"/>
        <item m="1" x="81"/>
        <item m="1" x="104"/>
        <item m="1" x="73"/>
        <item m="1" x="95"/>
        <item m="1" x="119"/>
        <item m="1" x="87"/>
        <item m="1" x="111"/>
        <item m="1" x="80"/>
        <item m="1" x="102"/>
        <item m="1" x="70"/>
        <item m="1" x="92"/>
        <item m="1" x="116"/>
        <item m="1" x="85"/>
        <item m="1" x="108"/>
        <item m="1" x="77"/>
        <item m="1" x="99"/>
        <item m="1" x="67"/>
        <item m="1" x="103"/>
        <item m="1" x="72"/>
        <item m="1" x="94"/>
        <item m="1" x="11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66">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2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8" format="16" series="1">
      <pivotArea type="data" outline="0" fieldPosition="0">
        <references count="1">
          <reference field="4294967294" count="1" selected="0">
            <x v="3"/>
          </reference>
        </references>
      </pivotArea>
    </chartFormat>
    <chartFormat chart="8" format="17" series="1">
      <pivotArea type="data" outline="0" fieldPosition="0">
        <references count="1">
          <reference field="4294967294" count="1" selected="0">
            <x v="0"/>
          </reference>
        </references>
      </pivotArea>
    </chartFormat>
    <chartFormat chart="8" format="18" series="1">
      <pivotArea type="data" outline="0" fieldPosition="0">
        <references count="1">
          <reference field="4294967294" count="1" selected="0">
            <x v="1"/>
          </reference>
        </references>
      </pivotArea>
    </chartFormat>
    <chartFormat chart="8" format="19" series="1">
      <pivotArea type="data" outline="0" fieldPosition="0">
        <references count="1">
          <reference field="4294967294" count="1" selected="0">
            <x v="2"/>
          </reference>
        </references>
      </pivotArea>
    </chartFormat>
    <chartFormat chart="11" format="24" series="1">
      <pivotArea type="data" outline="0" fieldPosition="0">
        <references count="1">
          <reference field="4294967294" count="1" selected="0">
            <x v="3"/>
          </reference>
        </references>
      </pivotArea>
    </chartFormat>
    <chartFormat chart="11" format="25" series="1">
      <pivotArea type="data" outline="0" fieldPosition="0">
        <references count="1">
          <reference field="4294967294" count="1" selected="0">
            <x v="0"/>
          </reference>
        </references>
      </pivotArea>
    </chartFormat>
    <chartFormat chart="11" format="26" series="1">
      <pivotArea type="data" outline="0" fieldPosition="0">
        <references count="1">
          <reference field="4294967294" count="1" selected="0">
            <x v="1"/>
          </reference>
        </references>
      </pivotArea>
    </chartFormat>
    <chartFormat chart="11" format="27"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E804A541-D4A5-4087-83FF-2EC4925A6E6B}" name="GrafFerrol" cacheId="48"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9">
  <location ref="D30:H96" firstHeaderRow="0" firstDataRow="1" firstDataCol="1"/>
  <pivotFields count="23">
    <pivotField axis="axisRow" showAll="0">
      <items count="121">
        <item m="1" x="71"/>
        <item m="1" x="93"/>
        <item m="1" x="117"/>
        <item m="1" x="86"/>
        <item m="1" x="110"/>
        <item m="1" x="79"/>
        <item m="1" x="101"/>
        <item m="1" x="69"/>
        <item m="1" x="91"/>
        <item m="1" x="115"/>
        <item m="1" x="84"/>
        <item m="1" x="107"/>
        <item m="1" x="76"/>
        <item m="1" x="98"/>
        <item m="1" x="66"/>
        <item m="1" x="89"/>
        <item m="1" x="113"/>
        <item m="1" x="82"/>
        <item m="1" x="105"/>
        <item m="1" x="74"/>
        <item m="1" x="96"/>
        <item m="1" x="109"/>
        <item m="1" x="78"/>
        <item m="1" x="100"/>
        <item m="1" x="68"/>
        <item m="1" x="90"/>
        <item m="1" x="114"/>
        <item m="1" x="83"/>
        <item m="1" x="106"/>
        <item m="1" x="75"/>
        <item m="1" x="97"/>
        <item m="1" x="65"/>
        <item m="1" x="88"/>
        <item m="1" x="112"/>
        <item m="1" x="81"/>
        <item m="1" x="104"/>
        <item m="1" x="73"/>
        <item m="1" x="95"/>
        <item m="1" x="119"/>
        <item m="1" x="87"/>
        <item m="1" x="111"/>
        <item m="1" x="80"/>
        <item m="1" x="102"/>
        <item m="1" x="70"/>
        <item m="1" x="92"/>
        <item m="1" x="116"/>
        <item m="1" x="85"/>
        <item m="1" x="108"/>
        <item m="1" x="77"/>
        <item m="1" x="99"/>
        <item m="1" x="67"/>
        <item m="1" x="103"/>
        <item m="1" x="72"/>
        <item m="1" x="94"/>
        <item m="1" x="11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66">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4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8" format="16" series="1">
      <pivotArea type="data" outline="0" fieldPosition="0">
        <references count="1">
          <reference field="4294967294" count="1" selected="0">
            <x v="3"/>
          </reference>
        </references>
      </pivotArea>
    </chartFormat>
    <chartFormat chart="8" format="17" series="1">
      <pivotArea type="data" outline="0" fieldPosition="0">
        <references count="1">
          <reference field="4294967294" count="1" selected="0">
            <x v="0"/>
          </reference>
        </references>
      </pivotArea>
    </chartFormat>
    <chartFormat chart="8" format="18" series="1">
      <pivotArea type="data" outline="0" fieldPosition="0">
        <references count="1">
          <reference field="4294967294" count="1" selected="0">
            <x v="1"/>
          </reference>
        </references>
      </pivotArea>
    </chartFormat>
    <chartFormat chart="8" format="19" series="1">
      <pivotArea type="data" outline="0" fieldPosition="0">
        <references count="1">
          <reference field="4294967294" count="1" selected="0">
            <x v="2"/>
          </reference>
        </references>
      </pivotArea>
    </chartFormat>
    <chartFormat chart="9" format="20" series="1">
      <pivotArea type="data" outline="0" fieldPosition="0">
        <references count="1">
          <reference field="4294967294" count="1" selected="0">
            <x v="3"/>
          </reference>
        </references>
      </pivotArea>
    </chartFormat>
    <chartFormat chart="9" format="21" series="1">
      <pivotArea type="data" outline="0" fieldPosition="0">
        <references count="1">
          <reference field="4294967294" count="1" selected="0">
            <x v="0"/>
          </reference>
        </references>
      </pivotArea>
    </chartFormat>
    <chartFormat chart="9" format="22" series="1">
      <pivotArea type="data" outline="0" fieldPosition="0">
        <references count="1">
          <reference field="4294967294" count="1" selected="0">
            <x v="1"/>
          </reference>
        </references>
      </pivotArea>
    </chartFormat>
    <chartFormat chart="9" format="23" series="1">
      <pivotArea type="data" outline="0" fieldPosition="0">
        <references count="1">
          <reference field="4294967294" count="1" selected="0">
            <x v="2"/>
          </reference>
        </references>
      </pivotArea>
    </chartFormat>
    <chartFormat chart="12" format="24" series="1">
      <pivotArea type="data" outline="0" fieldPosition="0">
        <references count="1">
          <reference field="4294967294" count="1" selected="0">
            <x v="3"/>
          </reference>
        </references>
      </pivotArea>
    </chartFormat>
    <chartFormat chart="12" format="25" series="1">
      <pivotArea type="data" outline="0" fieldPosition="0">
        <references count="1">
          <reference field="4294967294" count="1" selected="0">
            <x v="0"/>
          </reference>
        </references>
      </pivotArea>
    </chartFormat>
    <chartFormat chart="12" format="26" series="1">
      <pivotArea type="data" outline="0" fieldPosition="0">
        <references count="1">
          <reference field="4294967294" count="1" selected="0">
            <x v="1"/>
          </reference>
        </references>
      </pivotArea>
    </chartFormat>
    <chartFormat chart="12"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0"/>
          </reference>
        </references>
      </pivotArea>
    </chartFormat>
    <chartFormat chart="13" format="30" series="1">
      <pivotArea type="data" outline="0" fieldPosition="0">
        <references count="1">
          <reference field="4294967294" count="1" selected="0">
            <x v="1"/>
          </reference>
        </references>
      </pivotArea>
    </chartFormat>
    <chartFormat chart="13" format="31" series="1">
      <pivotArea type="data" outline="0" fieldPosition="0">
        <references count="1">
          <reference field="4294967294" count="1" selected="0">
            <x v="2"/>
          </reference>
        </references>
      </pivotArea>
    </chartFormat>
    <chartFormat chart="14" format="28" series="1">
      <pivotArea type="data" outline="0" fieldPosition="0">
        <references count="1">
          <reference field="4294967294" count="1" selected="0">
            <x v="3"/>
          </reference>
        </references>
      </pivotArea>
    </chartFormat>
    <chartFormat chart="14" format="29" series="1">
      <pivotArea type="data" outline="0" fieldPosition="0">
        <references count="1">
          <reference field="4294967294" count="1" selected="0">
            <x v="0"/>
          </reference>
        </references>
      </pivotArea>
    </chartFormat>
    <chartFormat chart="14" format="30" series="1">
      <pivotArea type="data" outline="0" fieldPosition="0">
        <references count="1">
          <reference field="4294967294" count="1" selected="0">
            <x v="1"/>
          </reference>
        </references>
      </pivotArea>
    </chartFormat>
    <chartFormat chart="14" format="31" series="1">
      <pivotArea type="data" outline="0" fieldPosition="0">
        <references count="1">
          <reference field="4294967294" count="1" selected="0">
            <x v="2"/>
          </reference>
        </references>
      </pivotArea>
    </chartFormat>
    <chartFormat chart="17" format="24" series="1">
      <pivotArea type="data" outline="0" fieldPosition="0">
        <references count="1">
          <reference field="4294967294" count="1" selected="0">
            <x v="3"/>
          </reference>
        </references>
      </pivotArea>
    </chartFormat>
    <chartFormat chart="17" format="25" series="1">
      <pivotArea type="data" outline="0" fieldPosition="0">
        <references count="1">
          <reference field="4294967294" count="1" selected="0">
            <x v="0"/>
          </reference>
        </references>
      </pivotArea>
    </chartFormat>
    <chartFormat chart="17" format="26" series="1">
      <pivotArea type="data" outline="0" fieldPosition="0">
        <references count="1">
          <reference field="4294967294" count="1" selected="0">
            <x v="1"/>
          </reference>
        </references>
      </pivotArea>
    </chartFormat>
    <chartFormat chart="17" format="27" series="1">
      <pivotArea type="data" outline="0" fieldPosition="0">
        <references count="1">
          <reference field="4294967294" count="1" selected="0">
            <x v="2"/>
          </reference>
        </references>
      </pivotArea>
    </chartFormat>
    <chartFormat chart="18" format="28" series="1">
      <pivotArea type="data" outline="0" fieldPosition="0">
        <references count="1">
          <reference field="4294967294" count="1" selected="0">
            <x v="3"/>
          </reference>
        </references>
      </pivotArea>
    </chartFormat>
    <chartFormat chart="18" format="29" series="1">
      <pivotArea type="data" outline="0" fieldPosition="0">
        <references count="1">
          <reference field="4294967294" count="1" selected="0">
            <x v="0"/>
          </reference>
        </references>
      </pivotArea>
    </chartFormat>
    <chartFormat chart="18" format="30" series="1">
      <pivotArea type="data" outline="0" fieldPosition="0">
        <references count="1">
          <reference field="4294967294" count="1" selected="0">
            <x v="1"/>
          </reference>
        </references>
      </pivotArea>
    </chartFormat>
    <chartFormat chart="18" format="31"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1" xr16:uid="{DD3B646E-F93F-454A-AB74-60158B7EDCF5}" autoFormatId="16" applyNumberFormats="0" applyBorderFormats="0" applyFontFormats="0" applyPatternFormats="0" applyAlignmentFormats="0" applyWidthHeightFormats="0">
  <queryTableRefresh nextId="44" unboundColumnsRight="8">
    <queryTableFields count="28">
      <queryTableField id="1" name="Fecha" tableColumnId="1"/>
      <queryTableField id="2" name="Area_Sanitaria" tableColumnId="2"/>
      <queryTableField id="3" name="Casos_Totais" tableColumnId="3"/>
      <queryTableField id="5" name="Pacientes_Sin_Alta" tableColumnId="5"/>
      <queryTableField id="6" name="Pacientes_Con_Alta" tableColumnId="6"/>
      <queryTableField id="7" name="Camas_Ocupadas_HOS" tableColumnId="7"/>
      <queryTableField id="8" name="Camas_Ocupadas_UCI" tableColumnId="8"/>
      <queryTableField id="9" name="Probas_Realizadas_PCR" tableColumnId="9"/>
      <queryTableField id="10" name="FallecidosAcum" tableColumnId="10"/>
      <queryTableField id="11" name="Probas_Realizadas_Non_PCR" tableColumnId="11"/>
      <queryTableField id="20" name="NuevosCasos" tableColumnId="20"/>
      <queryTableField id="21" name="IncrementoActivos" tableColumnId="21"/>
      <queryTableField id="22" name="IncrementoPacientesPlanta" tableColumnId="22"/>
      <queryTableField id="23" name="IncrementoPacientesUCI" tableColumnId="23"/>
      <queryTableField id="24" name="PCR_Dia" tableColumnId="24"/>
      <queryTableField id="25" name="Serologicas_Dia" tableColumnId="25"/>
      <queryTableField id="26" name="Pruebas_Dia" tableColumnId="26"/>
      <queryTableField id="27" name="ActivosRatioIncremento" tableColumnId="27"/>
      <queryTableField id="28" name="NuevasAltas" tableColumnId="28"/>
      <queryTableField id="29" name="FechaOrd" tableColumnId="29"/>
      <queryTableField id="30" dataBound="0" tableColumnId="30"/>
      <queryTableField id="31" dataBound="0" tableColumnId="31"/>
      <queryTableField id="34" dataBound="0" tableColumnId="34"/>
      <queryTableField id="35" dataBound="0" tableColumnId="35"/>
      <queryTableField id="40" dataBound="0" tableColumnId="4"/>
      <queryTableField id="41" dataBound="0" tableColumnId="12"/>
      <queryTableField id="42" dataBound="0" tableColumnId="13"/>
      <queryTableField id="43" dataBound="0" tableColumnId="14"/>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2" xr16:uid="{90F0B89D-51A3-4F1A-9FFE-3FD155ADF8F9}" autoFormatId="16" applyNumberFormats="0" applyBorderFormats="0" applyFontFormats="0" applyPatternFormats="0" applyAlignmentFormats="0" applyWidthHeightFormats="0">
  <queryTableRefresh nextId="22">
    <queryTableFields count="15">
      <queryTableField id="1" name="Fecha" tableColumnId="1"/>
      <queryTableField id="2" name="Area_Sanitaria" tableColumnId="2"/>
      <queryTableField id="3" name="Casos_Confirmados_PCR_Ultimas24h" tableColumnId="3"/>
      <queryTableField id="4" name="Pacientes_Sin_Alta" tableColumnId="4"/>
      <queryTableField id="5" name="Camas_Ocupadas_HOS" tableColumnId="5"/>
      <queryTableField id="6" name="Camas_Ocupadas_UCI" tableColumnId="6"/>
      <queryTableField id="7" name="FallecidosAcum" tableColumnId="7"/>
      <queryTableField id="11" name="NuevosCasos" tableColumnId="11"/>
      <queryTableField id="12" name="IncrementoPacientesPlanta" tableColumnId="12"/>
      <queryTableField id="13" name="IncrementoPacientesUCI" tableColumnId="13"/>
      <queryTableField id="20" name="NuevasAltas" tableColumnId="8"/>
      <queryTableField id="14" name="FechaOrd" tableColumnId="14"/>
      <queryTableField id="16" name="CamasRatioIncremento" tableColumnId="16"/>
      <queryTableField id="17" name="UciRatioIncremento" tableColumnId="17"/>
      <queryTableField id="15" name="IncFallecidos" tableColumnId="15"/>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2" connectionId="3" xr16:uid="{F64DC3E4-8DFC-4176-B9C0-D5E3ABC51D06}"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3" connectionId="4" xr16:uid="{A2D2C920-7FBD-4747-856B-06EFADE0AF76}"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5" connectionId="5" xr16:uid="{DE49ED47-F59E-4EA2-92A9-7052A3A7AB7C}"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4" connectionId="6" xr16:uid="{1E100A1A-D398-464D-B9BE-C747508ECA98}"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6" connectionId="7" xr16:uid="{07D3ECC0-F344-450C-87A8-ABC86DF409DC}"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7" connectionId="8" xr16:uid="{45109A9D-775C-42F6-B0FF-908E6726EBE7}"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8" connectionId="9" xr16:uid="{A5E0E98C-1CBC-4A5A-8477-C0D1317E19AB}"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connectionId="13" xr16:uid="{97BF89BA-6DBE-468F-8E99-346AB9CBFE6B}" autoFormatId="16" applyNumberFormats="0" applyBorderFormats="0" applyFontFormats="0" applyPatternFormats="0" applyAlignmentFormats="0" applyWidthHeightFormats="0">
  <queryTableRefresh nextId="17">
    <queryTableFields count="13">
      <queryTableField id="1" name="Fecha" tableColumnId="1"/>
      <queryTableField id="2" name="Area_Sanitaria" tableColumnId="2"/>
      <queryTableField id="3" name="Casos_Totais" tableColumnId="3"/>
      <queryTableField id="4" name="Casos_Confirmados_PCR_Ultimas24h" tableColumnId="4"/>
      <queryTableField id="5" name="Pacientes_Sin_Alta" tableColumnId="5"/>
      <queryTableField id="6" name="Pacientes_Con_Alta" tableColumnId="6"/>
      <queryTableField id="7" name="Camas_Ocupadas_HOS" tableColumnId="7"/>
      <queryTableField id="8" name="Camas_Ocupadas_UCI" tableColumnId="8"/>
      <queryTableField id="9" name="Probas_Realizadas_PCR" tableColumnId="9"/>
      <queryTableField id="10" name="Probas_Realizadas_Non_PCR" tableColumnId="10"/>
      <queryTableField id="15" name="FallecidosAcum" tableColumnId="11"/>
      <queryTableField id="13" name="Ayer" tableColumnId="13"/>
      <queryTableField id="14" name="Hoy" tableColumnId="14"/>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 xr10:uid="{8F290144-56CD-4B60-9628-9BF4F1EB6464}" sourceName="Area_Sanitaria">
  <pivotTables>
    <pivotTable tabId="29" name="PivotTable1"/>
  </pivotTables>
  <data>
    <tabular pivotCacheId="138390382">
      <items count="8">
        <i x="0" s="1"/>
        <i x="1"/>
        <i x="2"/>
        <i x="3"/>
        <i x="4"/>
        <i x="5"/>
        <i x="6"/>
        <i x="7"/>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1" xr10:uid="{3A05F44B-7111-4C24-9C97-14C5D4978288}" sourceName="Area_Sanitaria">
  <pivotTables>
    <pivotTable tabId="33" name="PivotTable3"/>
  </pivotTables>
  <data>
    <tabular pivotCacheId="493833359">
      <items count="8">
        <i x="0" s="1"/>
        <i x="1"/>
        <i x="2"/>
        <i x="3"/>
        <i x="4"/>
        <i x="5"/>
        <i x="6"/>
        <i x="7"/>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2" xr10:uid="{2A08DC03-8F83-4D51-A90E-6C7A8617B40E}" sourceName="Area_Sanitaria">
  <pivotTables>
    <pivotTable tabId="31" name="PivotTable1"/>
  </pivotTables>
  <data>
    <tabular pivotCacheId="493833359">
      <items count="8">
        <i x="0" s="1"/>
        <i x="1"/>
        <i x="2"/>
        <i x="3"/>
        <i x="4"/>
        <i x="5"/>
        <i x="6"/>
        <i x="7"/>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3" xr10:uid="{A9CE6876-1ED3-4049-8103-5BB8930C511C}" sourceName="Area_Sanitaria">
  <pivotTables>
    <pivotTable tabId="38" name="PivotTable1"/>
  </pivotTables>
  <data>
    <tabular pivotCacheId="579417468">
      <items count="8">
        <i x="0" s="1"/>
        <i x="1"/>
        <i x="2"/>
        <i x="3"/>
        <i x="4"/>
        <i x="5"/>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3" xr10:uid="{1F82282C-561B-438E-824C-F7ECC255E4CF}" cache="Slicer_Area_Sanitaria3" caption="AREA SANITARIA"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xr10:uid="{30C18863-7867-4398-846F-5B92734B8CFB}" cache="Slicer_Area_Sanitaria" caption="Area_Sanitaria" rowHeight="23495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2" xr10:uid="{52AF3165-2F77-4B49-B324-7ED3B355A964}" cache="Slicer_Area_Sanitaria2" caption="Area_Sanitaria" rowHeight="234950"/>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1" xr10:uid="{3575DC49-5C5E-4951-A1B1-A6E151F1630C}" cache="Slicer_Area_Sanitaria1" caption="Area_Sanitaria"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1EDA8ED-6DF1-47AB-BB2C-07D342590340}" name="EvolucionIncidencia" displayName="EvolucionIncidencia" ref="A1:AB521" tableType="queryTable" totalsRowShown="0">
  <autoFilter ref="A1:AB521" xr:uid="{70A61F09-C9F3-4B57-896C-93EC306845C2}">
    <filterColumn colId="1">
      <filters>
        <filter val="A.S. PONTEVEDRA E O SALNÉS"/>
      </filters>
    </filterColumn>
  </autoFilter>
  <tableColumns count="28">
    <tableColumn id="1" xr3:uid="{15789FFF-662E-4F62-9140-C3F8E9BB8F36}" uniqueName="1" name="Fecha" queryTableFieldId="1" dataDxfId="43"/>
    <tableColumn id="2" xr3:uid="{135F76F9-6426-42C6-A3B5-E3AC0140A2A5}" uniqueName="2" name="Area_Sanitaria" queryTableFieldId="2" dataDxfId="42"/>
    <tableColumn id="3" xr3:uid="{11D370A3-BE69-4CBC-BAAA-142FE65903BD}" uniqueName="3" name="Casos_Totais" queryTableFieldId="3" dataDxfId="41"/>
    <tableColumn id="5" xr3:uid="{9DC424EF-80C5-4839-8E3F-6DEE2579753B}" uniqueName="5" name="Pacientes_Sin_Alta" queryTableFieldId="5" dataDxfId="40"/>
    <tableColumn id="6" xr3:uid="{D0E6CB07-29DE-47C0-B7F9-E8693AD3CBC8}" uniqueName="6" name="Pacientes_Con_Alta" queryTableFieldId="6" dataDxfId="39"/>
    <tableColumn id="7" xr3:uid="{5B929A4C-895B-4917-A1A5-8529707C9D67}" uniqueName="7" name="Camas_Ocupadas_HOS" queryTableFieldId="7"/>
    <tableColumn id="8" xr3:uid="{8F142AA4-CC16-41A6-A087-44AC10EBC827}" uniqueName="8" name="Camas_Ocupadas_UCI" queryTableFieldId="8"/>
    <tableColumn id="9" xr3:uid="{3E2D97CB-C72D-46C0-912B-4B93121AD585}" uniqueName="9" name="Probas_Realizadas_PCR" queryTableFieldId="9" dataDxfId="38"/>
    <tableColumn id="10" xr3:uid="{6EF56E98-66A9-494C-A924-4501343E9081}" uniqueName="10" name="FallecidosAcum" queryTableFieldId="10" dataDxfId="37"/>
    <tableColumn id="11" xr3:uid="{2390DB44-C20D-4F9B-993D-2A0023D255E8}" uniqueName="11" name="Probas_Realizadas_Non_PCR" queryTableFieldId="11" dataDxfId="36"/>
    <tableColumn id="20" xr3:uid="{E3F857BF-6C8D-4AEA-8B5E-263BEDA71734}" uniqueName="20" name="NuevosCasos" queryTableFieldId="20" dataDxfId="35"/>
    <tableColumn id="21" xr3:uid="{8D7A0288-4B31-4031-B17C-83BBF94A4DE8}" uniqueName="21" name="IncrementoActivos" queryTableFieldId="21"/>
    <tableColumn id="22" xr3:uid="{F2EEBDA4-9E7D-4A5E-8FF8-A801C25337BB}" uniqueName="22" name="IncrementoPacientesPlanta" queryTableFieldId="22"/>
    <tableColumn id="23" xr3:uid="{9AE324CD-A7FF-478E-976E-FEC95952E276}" uniqueName="23" name="IncrementoPacientesUCI" queryTableFieldId="23"/>
    <tableColumn id="24" xr3:uid="{C657AFF5-7C7C-49F4-926A-5A5AD7ED1192}" uniqueName="24" name="PCR_Dia" queryTableFieldId="24" dataDxfId="34"/>
    <tableColumn id="25" xr3:uid="{006212F6-948B-4153-8E02-1DD27C9CE101}" uniqueName="25" name="Serologicas_Dia" queryTableFieldId="25" dataDxfId="33"/>
    <tableColumn id="26" xr3:uid="{28881536-18B6-491A-9ED2-CACA360788FA}" uniqueName="26" name="Pruebas_Dia" queryTableFieldId="26" dataDxfId="32"/>
    <tableColumn id="27" xr3:uid="{275EFA42-51BC-4D25-A9AC-8F90C7FE27A2}" uniqueName="27" name="ActivosRatioIncremento" queryTableFieldId="27"/>
    <tableColumn id="28" xr3:uid="{912BF76C-D83B-4584-987F-AE0E39978819}" uniqueName="28" name="NuevasAltas" queryTableFieldId="28" dataDxfId="31"/>
    <tableColumn id="29" xr3:uid="{BDB62D88-1868-4A0D-BD72-E21AC27CB36B}" uniqueName="29" name="FechaOrd" queryTableFieldId="29"/>
    <tableColumn id="30" xr3:uid="{352CF1FA-B3BC-4D11-B76B-02FEFBE35189}" uniqueName="30" name="DiaSemana" queryTableFieldId="30" dataDxfId="30">
      <calculatedColumnFormula>TEXT(EvolucionIncidencia[[#This Row],[Fecha]],"DDDD")</calculatedColumnFormula>
    </tableColumn>
    <tableColumn id="31" xr3:uid="{F68F53DF-9B24-4DFB-8D58-6380AB71376C}" uniqueName="31" name="Altas/Nuevos (-14)" queryTableFieldId="31" dataDxfId="29">
      <calculatedColumnFormula>IF(EvolucionIncidencia[[#This Row],[Fecha]]&lt;=MIN(EvolucionIncidencia[Fecha])+13,"",EvolucionIncidencia[[#This Row],[NuevasAltas]]/SUMIFS(EvolucionIncidencia[NuevosCasos],EvolucionIncidencia[Fecha],EvolucionIncidencia[[#This Row],[Fecha]]-14,EvolucionIncidencia[Area_Sanitaria],EvolucionIncidencia[[#This Row],[Area_Sanitaria]]))</calculatedColumnFormula>
    </tableColumn>
    <tableColumn id="34" xr3:uid="{0554A325-5A40-4048-ACD1-136492AE1876}" uniqueName="34" name="Previsión Altas" queryTableFieldId="34" dataDxfId="28">
      <calculatedColumnFormula>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calculatedColumnFormula>
    </tableColumn>
    <tableColumn id="35" xr3:uid="{56D1C76C-44C7-4B36-A7F2-F3B54EF2A259}" uniqueName="35" name="Error Prev" queryTableFieldId="35" dataDxfId="27">
      <calculatedColumnFormula>IF(EvolucionIncidencia[[#This Row],[Fecha]]&lt;=MIN(EvolucionIncidencia[Fecha])+14,"",EvolucionIncidencia[[#This Row],[NuevasAltas]]-EvolucionIncidencia[[#This Row],[Previsión Altas]])</calculatedColumnFormula>
    </tableColumn>
    <tableColumn id="4" xr3:uid="{2BA37789-D032-4A97-A713-D2E70CBC62E9}" uniqueName="4" name="Nuevos 7 dias" queryTableFieldId="40" dataDxfId="26">
      <calculatedColumnFormula>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calculatedColumnFormula>
    </tableColumn>
    <tableColumn id="12" xr3:uid="{C383FA8F-DBE2-4995-87AF-11BECEF9C660}" uniqueName="12" name="Nuevos 14 dias" queryTableFieldId="41" dataDxfId="25">
      <calculatedColumnFormula>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calculatedColumnFormula>
    </tableColumn>
    <tableColumn id="13" xr3:uid="{4A2394A7-D129-48B4-B21F-2366217BCF8F}" uniqueName="13" name="IA7 Norm" queryTableFieldId="42" dataDxfId="24">
      <calculatedColumnFormula>IF(LEN(EvolucionIncidencia[[#This Row],[Nuevos 7 dias]])=0,"",EvolucionIncidencia[[#This Row],[Nuevos 7 dias]]/_xlfn.MAXIFS(EvolucionIncidencia[Nuevos 7 dias],EvolucionIncidencia[Area_Sanitaria],EvolucionIncidencia[[#This Row],[Area_Sanitaria]]))</calculatedColumnFormula>
    </tableColumn>
    <tableColumn id="14" xr3:uid="{C4F57A58-B755-416F-9CEE-0C9593D2282A}" uniqueName="14" name="IA14 Norm" queryTableFieldId="43" dataDxfId="23">
      <calculatedColumnFormula>IF(LEN(EvolucionIncidencia[[#This Row],[Nuevos 14 dias]])=0,"",EvolucionIncidencia[[#This Row],[Nuevos 14 dias]]/_xlfn.MAXIFS(EvolucionIncidencia[Nuevos 14 dias],EvolucionIncidencia[Area_Sanitaria],EvolucionIncidencia[[#This Row],[Area_Sanitaria]]))</calculatedColumnFormula>
    </tableColumn>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1B22E0B6-7EB9-474B-A0A1-60F31008047C}" name="Fallecidos_Hospital" displayName="Fallecidos_Hospital" ref="A1:O521" tableType="queryTable" totalsRowShown="0">
  <autoFilter ref="A1:O521" xr:uid="{BA5D7DF9-04FC-4307-B6A4-2EBE2893A619}"/>
  <tableColumns count="15">
    <tableColumn id="1" xr3:uid="{AC427F1E-D829-4AB8-A031-F3C12206DC64}" uniqueName="1" name="Fecha" queryTableFieldId="1" dataDxfId="22"/>
    <tableColumn id="2" xr3:uid="{681E4F47-AB9C-4FA7-BB11-EA504F2123E1}" uniqueName="2" name="Area_Sanitaria" queryTableFieldId="2" dataDxfId="21"/>
    <tableColumn id="3" xr3:uid="{C20B0DBE-297D-44A6-ADDB-64AFA2F4F986}" uniqueName="3" name="Casos_Confirmados_PCR_Ultimas24h" queryTableFieldId="3"/>
    <tableColumn id="4" xr3:uid="{C3A97095-90FC-4EEE-87E5-05768FD61BED}" uniqueName="4" name="Pacientes_Sin_Alta" queryTableFieldId="4"/>
    <tableColumn id="5" xr3:uid="{17A427CF-2D02-4524-A8E6-6044C41A9DED}" uniqueName="5" name="Camas_Ocupadas_HOS" queryTableFieldId="5"/>
    <tableColumn id="6" xr3:uid="{1F5FF591-A0CC-4F1C-ACF6-722CA9173B6F}" uniqueName="6" name="Camas_Ocupadas_UCI" queryTableFieldId="6"/>
    <tableColumn id="7" xr3:uid="{BCFA8347-5B2F-4835-9E5F-50D53B6C20F2}" uniqueName="7" name="FallecidosAcum" queryTableFieldId="7"/>
    <tableColumn id="11" xr3:uid="{15415CE0-51BA-4177-BD85-7BDDF555E65C}" uniqueName="11" name="NuevosCasos" queryTableFieldId="11"/>
    <tableColumn id="12" xr3:uid="{F99BC0AE-E9C7-492E-808F-F428F736DF5F}" uniqueName="12" name="IncrementoPacientesPlanta" queryTableFieldId="12"/>
    <tableColumn id="13" xr3:uid="{A4AF87B8-6177-4324-9B2E-51E3B0281E16}" uniqueName="13" name="IncrementoPacientesUCI" queryTableFieldId="13"/>
    <tableColumn id="8" xr3:uid="{6D3DA174-B5F3-4DAE-8109-6CA76C9AF393}" uniqueName="8" name="NuevasAltas" queryTableFieldId="20"/>
    <tableColumn id="14" xr3:uid="{3542DC24-D78E-4E94-9289-662883887CE4}" uniqueName="14" name="FechaOrd" queryTableFieldId="14"/>
    <tableColumn id="16" xr3:uid="{7C164A83-66E7-45AD-8FE8-E167FE8DCD7A}" uniqueName="16" name="CamasRatioIncremento" queryTableFieldId="16"/>
    <tableColumn id="17" xr3:uid="{56237C63-F16B-496F-B213-7763CFE017FC}" uniqueName="17" name="UciRatioIncremento" queryTableFieldId="17"/>
    <tableColumn id="15" xr3:uid="{89D404B8-FBD2-4FAB-A75D-BCCACCDA506A}" uniqueName="15" name="IncFallecidos" queryTableFieldId="15"/>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15AA1F2-3FED-41D4-86F5-BF46E3208A5C}" name="AS_Coruna" displayName="AS_Coruna" ref="A1:W66" tableType="queryTable" totalsRowShown="0">
  <autoFilter ref="A1:W66" xr:uid="{C4530BCB-A055-4392-8AD2-646A5C4A6E10}"/>
  <tableColumns count="23">
    <tableColumn id="1" xr3:uid="{F528D57F-1DBE-42A3-9BA5-115F44D69593}" uniqueName="1" name="Dia" queryTableFieldId="1" dataDxfId="20"/>
    <tableColumn id="2" xr3:uid="{274FB334-270E-4444-9B1E-29479AC88068}" uniqueName="2" name="Area_Sanitaria" queryTableFieldId="2" dataDxfId="19"/>
    <tableColumn id="3" xr3:uid="{1717EB43-BCA4-48A0-B133-549DD2209FB0}" uniqueName="3" name="TotalNuevosCasos" queryTableFieldId="3"/>
    <tableColumn id="20" xr3:uid="{5B51CD8C-FCEC-41B8-A346-7AA9DA9F5ED7}" uniqueName="20" name="FallecidosAcum" queryTableFieldId="29"/>
    <tableColumn id="11" xr3:uid="{16EDE329-C62D-4B36-AA21-9659B62D801B}" uniqueName="11" name="historico_CifrasTotales.Casos_Confirmados_PCR_Ultimas24h" queryTableFieldId="11"/>
    <tableColumn id="12" xr3:uid="{190275B8-E834-4778-BE03-2926632D0BFA}" uniqueName="12" name="historico_CifrasTotales.Pacientes_Sin_Alta" queryTableFieldId="12"/>
    <tableColumn id="13" xr3:uid="{6B5A264B-E7E4-47C8-BADF-55164B21BB69}" uniqueName="13" name="historico_CifrasTotales.Pacientes_Con_Alta" queryTableFieldId="13"/>
    <tableColumn id="14" xr3:uid="{0641D39E-2861-49B3-A3BB-728C253D9B70}" uniqueName="14" name="historico_CifrasTotales.Camas_Ocupadas_HOS" queryTableFieldId="14"/>
    <tableColumn id="15" xr3:uid="{4C071211-D7C8-4B1B-8D67-269155E9E613}" uniqueName="15" name="historico_CifrasTotales.Camas_Ocupadas_UCI" queryTableFieldId="15"/>
    <tableColumn id="16" xr3:uid="{50CB90CB-5ECB-4DB0-B74B-50898FD2FC5F}" uniqueName="16" name="historico_CifrasTotales.Probas_Realizadas_PCR" queryTableFieldId="16"/>
    <tableColumn id="17" xr3:uid="{71781474-C810-452A-8311-144F5F33DE66}" uniqueName="17" name="historico_CifrasTotales.Probas_Realizadas_Non_PCR" queryTableFieldId="17"/>
    <tableColumn id="21" xr3:uid="{D911DA77-FC2B-4E4E-B03D-D72C5621FA8C}" uniqueName="21" name="FallecidosAcumOld" queryTableFieldId="30"/>
    <tableColumn id="4" xr3:uid="{51828CC8-DE9E-4653-A1F7-FBBC4912DAF4}" uniqueName="4" name="IncrementoActivos" queryTableFieldId="4"/>
    <tableColumn id="5" xr3:uid="{7DE2E9E1-7CC5-4CE7-8556-0E14FAD07F8E}" uniqueName="5" name="Camas_Ocupadas_HOS" queryTableFieldId="5"/>
    <tableColumn id="6" xr3:uid="{1DD6DAC2-F039-46AF-8FA5-342F6AD14CD6}" uniqueName="6" name="Camas_Ocupadas_UCI" queryTableFieldId="6"/>
    <tableColumn id="7" xr3:uid="{41256156-71A9-4818-BD3A-B5F2C42420CD}" uniqueName="7" name="PCR_Dia" queryTableFieldId="7"/>
    <tableColumn id="8" xr3:uid="{CE2F5A0B-0A5E-462F-8917-629647BF864A}" uniqueName="8" name="Serologicas_Dia" queryTableFieldId="8"/>
    <tableColumn id="18" xr3:uid="{64772579-F52D-468C-92DE-6EE4C22E046C}" uniqueName="18" name="ActivosRatioIncremento" queryTableFieldId="18"/>
    <tableColumn id="23" xr3:uid="{72EC94CD-C1FE-40BB-84A6-B799511EA143}" uniqueName="23" name="NuevasAltas" queryTableFieldId="34"/>
    <tableColumn id="19" xr3:uid="{BC3E6A84-09BB-44E0-B588-A7EB650013BA}" uniqueName="19" name="FechaOrd" queryTableFieldId="19"/>
    <tableColumn id="9" xr3:uid="{31F4E606-5436-4B63-A7E2-4226F50C8A0A}" uniqueName="9" name="Pruebas_Dia" queryTableFieldId="9"/>
    <tableColumn id="10" xr3:uid="{BA8ADD0E-148C-4895-97B1-41C128FC7519}" uniqueName="10" name="Positividad" queryTableFieldId="10"/>
    <tableColumn id="22" xr3:uid="{2D7F6E9D-9178-4D0F-847A-D2793FF8DE30}" uniqueName="22" name="IncFallecidos" queryTableFieldId="31"/>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A927624-84CA-492C-B561-952397F42742}" name="AS_Ferrol" displayName="AS_Ferrol" ref="A1:W66" tableType="queryTable" totalsRowShown="0">
  <autoFilter ref="A1:W66" xr:uid="{5C601E59-7BFE-49B9-BAAE-B9AB6FF73FA5}"/>
  <tableColumns count="23">
    <tableColumn id="1" xr3:uid="{89C8EC9F-B915-42D8-AC25-BF91A0A47CD5}" uniqueName="1" name="Dia" queryTableFieldId="1" dataDxfId="18"/>
    <tableColumn id="2" xr3:uid="{F98297B0-C0E3-484A-9623-09DB9F90AB7B}" uniqueName="2" name="Area_Sanitaria" queryTableFieldId="2" dataDxfId="17"/>
    <tableColumn id="3" xr3:uid="{2CE4B042-58AF-445B-9A30-598FFE647E94}" uniqueName="3" name="TotalNuevosCasos" queryTableFieldId="3"/>
    <tableColumn id="20" xr3:uid="{467E34BD-C7B8-4E61-A12E-9D0D63F880FB}" uniqueName="20" name="FallecidosAcum" queryTableFieldId="29"/>
    <tableColumn id="11" xr3:uid="{9DB03C3B-26FE-4774-8CF5-BF8F21F58052}" uniqueName="11" name="historico_CifrasTotales.Casos_Confirmados_PCR_Ultimas24h" queryTableFieldId="11"/>
    <tableColumn id="12" xr3:uid="{6C3D41A2-B1DD-4569-85C4-8B7423CB66E0}" uniqueName="12" name="historico_CifrasTotales.Pacientes_Sin_Alta" queryTableFieldId="12"/>
    <tableColumn id="13" xr3:uid="{8DDE7BDA-EE14-4A0F-8225-780C9B0EC574}" uniqueName="13" name="historico_CifrasTotales.Pacientes_Con_Alta" queryTableFieldId="13"/>
    <tableColumn id="14" xr3:uid="{A85858FC-A577-46CC-9059-3E1C3553CB4D}" uniqueName="14" name="historico_CifrasTotales.Camas_Ocupadas_HOS" queryTableFieldId="14"/>
    <tableColumn id="15" xr3:uid="{F27738A2-459A-443D-9938-48D86F21293B}" uniqueName="15" name="historico_CifrasTotales.Camas_Ocupadas_UCI" queryTableFieldId="15"/>
    <tableColumn id="16" xr3:uid="{71D9926F-FB1E-45FC-A58D-3DCCD6C0C12A}" uniqueName="16" name="historico_CifrasTotales.Probas_Realizadas_PCR" queryTableFieldId="16"/>
    <tableColumn id="17" xr3:uid="{F3433B59-C83D-4CF3-9352-2059F07EDBE5}" uniqueName="17" name="historico_CifrasTotales.Probas_Realizadas_Non_PCR" queryTableFieldId="17"/>
    <tableColumn id="21" xr3:uid="{1AC8A6D2-02CC-49D7-BE3D-DBEB5C62F50F}" uniqueName="21" name="FallecidosAcumOld" queryTableFieldId="30"/>
    <tableColumn id="4" xr3:uid="{2258ACB7-DC32-4296-BDC5-BB8CAE737927}" uniqueName="4" name="IncrementoActivos" queryTableFieldId="4"/>
    <tableColumn id="5" xr3:uid="{16646CBE-163E-4019-878C-877BA348ACB7}" uniqueName="5" name="Camas_Ocupadas_HOS" queryTableFieldId="5"/>
    <tableColumn id="6" xr3:uid="{9FB03981-F6B9-4014-B1B2-8D9A3C60303C}" uniqueName="6" name="Camas_Ocupadas_UCI" queryTableFieldId="6"/>
    <tableColumn id="7" xr3:uid="{A3B01F57-8720-4D7A-9D43-B9A80F5FD7E2}" uniqueName="7" name="PCR_Dia" queryTableFieldId="7"/>
    <tableColumn id="8" xr3:uid="{913463ED-5A6B-4A31-AE3C-09D7D8B35BCE}" uniqueName="8" name="Serologicas_Dia" queryTableFieldId="8"/>
    <tableColumn id="18" xr3:uid="{329D22D5-213D-4CE8-8BBE-E74506CAC6A9}" uniqueName="18" name="ActivosRatioIncremento" queryTableFieldId="18"/>
    <tableColumn id="23" xr3:uid="{7C171702-F5BE-4E5C-BCB4-45DB9806D04E}" uniqueName="23" name="NuevasAltas" queryTableFieldId="34"/>
    <tableColumn id="19" xr3:uid="{B21B5941-B996-4DC8-B772-2DE5CD83B94A}" uniqueName="19" name="FechaOrd" queryTableFieldId="19"/>
    <tableColumn id="9" xr3:uid="{CED6BA8D-8B49-4355-B5D3-9F149C7ECC53}" uniqueName="9" name="Pruebas_Dia" queryTableFieldId="9"/>
    <tableColumn id="10" xr3:uid="{870BB043-37CE-4CF4-8CEC-A78227B3AD14}" uniqueName="10" name="Positividad" queryTableFieldId="10"/>
    <tableColumn id="22" xr3:uid="{A4867D2A-52D2-4A33-A85A-20C65BED4498}" uniqueName="22" name="IncFallecidos" queryTableFieldId="31"/>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EA2DDF9-FE73-4B57-89F1-B356A06E3DBA}" name="AS_Lugo" displayName="AS_Lugo" ref="A1:W66" tableType="queryTable" totalsRowShown="0">
  <autoFilter ref="A1:W66" xr:uid="{4248E40E-D5E3-48B1-A6F2-5F381ABD0BEA}"/>
  <tableColumns count="23">
    <tableColumn id="1" xr3:uid="{C866E55C-54D2-4233-90F4-3D1F16CEF410}" uniqueName="1" name="Dia" queryTableFieldId="1" dataDxfId="16"/>
    <tableColumn id="2" xr3:uid="{61B3EB01-4DCD-402F-AF10-A787FE1901DF}" uniqueName="2" name="Area_Sanitaria" queryTableFieldId="2" dataDxfId="15"/>
    <tableColumn id="3" xr3:uid="{4589DA9F-9E1F-4AE3-A9CA-05D1F79000CB}" uniqueName="3" name="TotalNuevosCasos" queryTableFieldId="3"/>
    <tableColumn id="20" xr3:uid="{B2EC79B6-D753-47FE-931F-EAAC94AB1C95}" uniqueName="20" name="FallecidosAcum" queryTableFieldId="29"/>
    <tableColumn id="11" xr3:uid="{C6438FE7-6DB3-4C5D-B294-EC34F538274F}" uniqueName="11" name="historico_CifrasTotales.Casos_Confirmados_PCR_Ultimas24h" queryTableFieldId="11"/>
    <tableColumn id="12" xr3:uid="{4B0A5C3F-31BF-436A-BA48-55FBCAFD95F9}" uniqueName="12" name="historico_CifrasTotales.Pacientes_Sin_Alta" queryTableFieldId="12"/>
    <tableColumn id="13" xr3:uid="{0BA569DC-C3F8-49BB-A458-4F0E34CD8262}" uniqueName="13" name="historico_CifrasTotales.Pacientes_Con_Alta" queryTableFieldId="13"/>
    <tableColumn id="14" xr3:uid="{FDD0BF9B-992C-402E-87FD-94DCE2794806}" uniqueName="14" name="historico_CifrasTotales.Camas_Ocupadas_HOS" queryTableFieldId="14"/>
    <tableColumn id="15" xr3:uid="{416701BE-61E6-44F2-BCA8-0BB65915D0CF}" uniqueName="15" name="historico_CifrasTotales.Camas_Ocupadas_UCI" queryTableFieldId="15"/>
    <tableColumn id="16" xr3:uid="{20EF1EB7-1671-4415-B254-D888CD6A299B}" uniqueName="16" name="historico_CifrasTotales.Probas_Realizadas_PCR" queryTableFieldId="16"/>
    <tableColumn id="17" xr3:uid="{32F439B6-D858-4D5D-AA2F-6DC31A906E93}" uniqueName="17" name="historico_CifrasTotales.Probas_Realizadas_Non_PCR" queryTableFieldId="17"/>
    <tableColumn id="21" xr3:uid="{B8CCED06-BC88-4B62-9DF7-927C4EF5D949}" uniqueName="21" name="FallecidosAcumOld" queryTableFieldId="30"/>
    <tableColumn id="4" xr3:uid="{50C4A1BD-0445-4A1C-8D39-CF4C7C3B14CC}" uniqueName="4" name="IncrementoActivos" queryTableFieldId="4"/>
    <tableColumn id="5" xr3:uid="{0648C225-03E0-4374-A3B5-25F89E748F0D}" uniqueName="5" name="Camas_Ocupadas_HOS" queryTableFieldId="5"/>
    <tableColumn id="6" xr3:uid="{7928634B-DDD1-41BC-8BCC-0BD19F312C55}" uniqueName="6" name="Camas_Ocupadas_UCI" queryTableFieldId="6"/>
    <tableColumn id="7" xr3:uid="{B39C3B99-57CB-4CF4-A822-B3F408CCFC8A}" uniqueName="7" name="PCR_Dia" queryTableFieldId="7"/>
    <tableColumn id="8" xr3:uid="{A742B83F-0AD3-426D-AC4F-FE4257B10942}" uniqueName="8" name="Serologicas_Dia" queryTableFieldId="8"/>
    <tableColumn id="18" xr3:uid="{3F7B994A-BC87-456E-BE8D-1BE6788FBFAB}" uniqueName="18" name="ActivosRatioIncremento" queryTableFieldId="18"/>
    <tableColumn id="23" xr3:uid="{13E94EB9-FB27-4E54-B3C3-BCD4AF497BE7}" uniqueName="23" name="NuevasAltas" queryTableFieldId="34"/>
    <tableColumn id="19" xr3:uid="{808F78B9-F518-4F67-AC49-AAD4FE65F928}" uniqueName="19" name="FechaOrd" queryTableFieldId="19"/>
    <tableColumn id="9" xr3:uid="{4FDB3583-93D7-4198-A80D-B94D98EC7031}" uniqueName="9" name="Pruebas_Dia" queryTableFieldId="9"/>
    <tableColumn id="10" xr3:uid="{49DBE926-4B13-4B3A-B9D2-2E59C7125750}" uniqueName="10" name="Positividad" queryTableFieldId="10"/>
    <tableColumn id="22" xr3:uid="{7F642468-F178-4CD7-843E-BEC72B82D16E}" uniqueName="22" name="IncFallecidos" queryTableFieldId="31"/>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FD8874F-BE1E-4F72-B2AE-2F262296D5A4}" name="AS_Ourense" displayName="AS_Ourense" ref="A1:W66" tableType="queryTable" totalsRowShown="0">
  <autoFilter ref="A1:W66" xr:uid="{52BF0EB8-F7C4-4C2C-9033-687EA2D6FC6F}"/>
  <tableColumns count="23">
    <tableColumn id="1" xr3:uid="{202B3B51-C669-438B-B53C-401573BD512E}" uniqueName="1" name="Dia" queryTableFieldId="1" dataDxfId="14"/>
    <tableColumn id="2" xr3:uid="{4BAED058-4E98-4E9B-90D9-B0E06934EEBA}" uniqueName="2" name="Area_Sanitaria" queryTableFieldId="2" dataDxfId="13"/>
    <tableColumn id="3" xr3:uid="{BD55B923-E966-4630-8D29-8CA10234C987}" uniqueName="3" name="TotalNuevosCasos" queryTableFieldId="3"/>
    <tableColumn id="20" xr3:uid="{9FF2C94C-1628-4A8D-B470-5237C6D9718C}" uniqueName="20" name="FallecidosAcum" queryTableFieldId="29"/>
    <tableColumn id="11" xr3:uid="{291B28E4-477E-4D32-9838-238F856ACAF7}" uniqueName="11" name="historico_CifrasTotales.Casos_Confirmados_PCR_Ultimas24h" queryTableFieldId="11"/>
    <tableColumn id="12" xr3:uid="{39996CC9-23B6-46AA-AF1D-2254A986C008}" uniqueName="12" name="historico_CifrasTotales.Pacientes_Sin_Alta" queryTableFieldId="12"/>
    <tableColumn id="13" xr3:uid="{D326EDBB-D1C8-4462-B50B-15E711B28AC7}" uniqueName="13" name="historico_CifrasTotales.Pacientes_Con_Alta" queryTableFieldId="13"/>
    <tableColumn id="14" xr3:uid="{2E1A75DE-3AF9-4802-8DED-8DBC3623F6F6}" uniqueName="14" name="historico_CifrasTotales.Camas_Ocupadas_HOS" queryTableFieldId="14"/>
    <tableColumn id="15" xr3:uid="{B4C24C5F-A88A-423F-AF7B-F77A6DA1B4EA}" uniqueName="15" name="historico_CifrasTotales.Camas_Ocupadas_UCI" queryTableFieldId="15"/>
    <tableColumn id="16" xr3:uid="{B356FF3F-CF9E-4338-9BE9-FC435BF7B286}" uniqueName="16" name="historico_CifrasTotales.Probas_Realizadas_PCR" queryTableFieldId="16"/>
    <tableColumn id="17" xr3:uid="{ABED69F6-EAFC-44B9-BA25-02EFBE7DE418}" uniqueName="17" name="historico_CifrasTotales.Probas_Realizadas_Non_PCR" queryTableFieldId="17"/>
    <tableColumn id="21" xr3:uid="{3D0769E8-B2C2-49CB-8445-E4D05999CCB2}" uniqueName="21" name="FallecidosAcumOld" queryTableFieldId="30"/>
    <tableColumn id="4" xr3:uid="{997E9C3B-B6B8-4331-AD1E-79A0FF53E54C}" uniqueName="4" name="IncrementoActivos" queryTableFieldId="4"/>
    <tableColumn id="5" xr3:uid="{43C0C408-1CD6-4845-B8B7-3437CA36DF50}" uniqueName="5" name="Camas_Ocupadas_HOS" queryTableFieldId="5"/>
    <tableColumn id="6" xr3:uid="{E1403E7C-C007-4BFB-AB6A-37A633D6D45F}" uniqueName="6" name="Camas_Ocupadas_UCI" queryTableFieldId="6"/>
    <tableColumn id="7" xr3:uid="{DA263D32-C177-42F5-BFFE-BA69A5D2FA05}" uniqueName="7" name="PCR_Dia" queryTableFieldId="7"/>
    <tableColumn id="8" xr3:uid="{EBBC091F-CF32-4827-B593-5038F81C17CE}" uniqueName="8" name="Serologicas_Dia" queryTableFieldId="8"/>
    <tableColumn id="18" xr3:uid="{B591D4BA-52B7-4F4B-A370-0E56D85AA225}" uniqueName="18" name="ActivosRatioIncremento" queryTableFieldId="18"/>
    <tableColumn id="23" xr3:uid="{60D4C0AE-D29D-406A-92E4-8F442E121457}" uniqueName="23" name="NuevasAltas" queryTableFieldId="34"/>
    <tableColumn id="19" xr3:uid="{1A5D5DD3-5C3C-4AA7-A076-541BEB032E03}" uniqueName="19" name="FechaOrd" queryTableFieldId="19"/>
    <tableColumn id="9" xr3:uid="{A3867E4A-A003-4372-B5AD-FCE27DED72D7}" uniqueName="9" name="Pruebas_Dia" queryTableFieldId="9"/>
    <tableColumn id="10" xr3:uid="{A0A0D9FD-F4F3-4EC5-BF71-735C091555A4}" uniqueName="10" name="Positividad" queryTableFieldId="10"/>
    <tableColumn id="22" xr3:uid="{94C87B05-9F0F-4DDB-8EC0-DA830CA9096C}" uniqueName="22" name="IncFallecidos" queryTableFieldId="31"/>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5355DC7-F9E9-4241-8C93-C72A287B41F3}" name="AS_Pontevedra" displayName="AS_Pontevedra" ref="A1:W66" tableType="queryTable" totalsRowShown="0">
  <autoFilter ref="A1:W66" xr:uid="{2E5E9430-AFB4-4FDD-999D-596056DE8712}"/>
  <tableColumns count="23">
    <tableColumn id="1" xr3:uid="{48DB2EC9-F212-4D50-8585-AD2B1766EA75}" uniqueName="1" name="Dia" queryTableFieldId="1" dataDxfId="12"/>
    <tableColumn id="2" xr3:uid="{8CEEA001-565F-43E8-85C9-1913F8521E30}" uniqueName="2" name="Area_Sanitaria" queryTableFieldId="2" dataDxfId="11"/>
    <tableColumn id="3" xr3:uid="{56AE0A68-937B-4428-8E28-18C8D8E5E450}" uniqueName="3" name="TotalNuevosCasos" queryTableFieldId="3"/>
    <tableColumn id="20" xr3:uid="{84348CEB-D79E-495A-A75A-ECEFDDF5BCE8}" uniqueName="20" name="FallecidosAcum" queryTableFieldId="29"/>
    <tableColumn id="11" xr3:uid="{50F43A1C-4DEF-4670-98F0-D3A4B2CE6109}" uniqueName="11" name="historico_CifrasTotales.Casos_Confirmados_PCR_Ultimas24h" queryTableFieldId="11"/>
    <tableColumn id="12" xr3:uid="{46923D70-14C6-4BC1-9DF9-DD8AD7BDE710}" uniqueName="12" name="historico_CifrasTotales.Pacientes_Sin_Alta" queryTableFieldId="12"/>
    <tableColumn id="13" xr3:uid="{B9C502D9-856F-4316-BC83-304F96C652A4}" uniqueName="13" name="historico_CifrasTotales.Pacientes_Con_Alta" queryTableFieldId="13"/>
    <tableColumn id="14" xr3:uid="{49DDA1B5-6838-434A-BC52-8EE6FA9A6665}" uniqueName="14" name="historico_CifrasTotales.Camas_Ocupadas_HOS" queryTableFieldId="14"/>
    <tableColumn id="15" xr3:uid="{53B1B7BF-9905-4A42-82FF-B72438858725}" uniqueName="15" name="historico_CifrasTotales.Camas_Ocupadas_UCI" queryTableFieldId="15"/>
    <tableColumn id="16" xr3:uid="{AE6B3741-69AE-41D3-8DD6-8DBBE44CBA25}" uniqueName="16" name="historico_CifrasTotales.Probas_Realizadas_PCR" queryTableFieldId="16"/>
    <tableColumn id="17" xr3:uid="{074ADE45-7757-4616-B03E-38093330CB4F}" uniqueName="17" name="historico_CifrasTotales.Probas_Realizadas_Non_PCR" queryTableFieldId="17"/>
    <tableColumn id="21" xr3:uid="{AE25BBC4-B8C1-4444-BE61-E2AA1D50FADC}" uniqueName="21" name="FallecidosAcumOld" queryTableFieldId="30"/>
    <tableColumn id="4" xr3:uid="{6019A80A-B03B-49C3-AEC1-8C606D8C4E2B}" uniqueName="4" name="IncrementoActivos" queryTableFieldId="4"/>
    <tableColumn id="5" xr3:uid="{CA5B23F4-52DE-4678-8448-E8F567F9403A}" uniqueName="5" name="Camas_Ocupadas_HOS" queryTableFieldId="5"/>
    <tableColumn id="6" xr3:uid="{01EA36F0-07F9-42F9-B6EB-C91FA22CE68F}" uniqueName="6" name="Camas_Ocupadas_UCI" queryTableFieldId="6"/>
    <tableColumn id="7" xr3:uid="{87547FCC-646B-4C08-9681-15878916D637}" uniqueName="7" name="PCR_Dia" queryTableFieldId="7"/>
    <tableColumn id="8" xr3:uid="{3675069E-2462-41D6-81DE-395415022259}" uniqueName="8" name="Serologicas_Dia" queryTableFieldId="8"/>
    <tableColumn id="18" xr3:uid="{25C92E79-0130-4D77-8421-1FDABD1A528B}" uniqueName="18" name="ActivosRatioIncremento" queryTableFieldId="18"/>
    <tableColumn id="23" xr3:uid="{93919E5C-34B9-4D85-B5B2-564A3E8B56B9}" uniqueName="23" name="NuevasAltas" queryTableFieldId="34"/>
    <tableColumn id="19" xr3:uid="{617DB9A3-D926-4AC8-9428-ED371BCD4BC2}" uniqueName="19" name="FechaOrd" queryTableFieldId="19"/>
    <tableColumn id="9" xr3:uid="{63E32200-2151-4CC0-9300-30DCDF5656D8}" uniqueName="9" name="Pruebas_Dia" queryTableFieldId="9"/>
    <tableColumn id="10" xr3:uid="{57F26A7D-1015-4593-9E5E-54E9DD1AC5C2}" uniqueName="10" name="Positividad" queryTableFieldId="10"/>
    <tableColumn id="22" xr3:uid="{EF1B163C-EF0E-488D-972C-BBA029BC3417}" uniqueName="22" name="IncFallecidos" queryTableFieldId="31"/>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87F2D59-6EF5-4F28-8798-034431C8ECE8}" name="AS_Santiago" displayName="AS_Santiago" ref="A1:W66" tableType="queryTable" totalsRowShown="0">
  <autoFilter ref="A1:W66" xr:uid="{2804F23E-D23D-49B9-BDE2-D5262A74DDD0}"/>
  <tableColumns count="23">
    <tableColumn id="1" xr3:uid="{0E02949E-F282-4C97-BC0B-98E9A1D1F160}" uniqueName="1" name="Dia" queryTableFieldId="1" dataDxfId="10"/>
    <tableColumn id="2" xr3:uid="{68CFD67A-7861-4A81-B423-A834C25586F2}" uniqueName="2" name="Area_Sanitaria" queryTableFieldId="2" dataDxfId="9"/>
    <tableColumn id="3" xr3:uid="{4471C0FF-4ACE-413C-AF3A-6D10DFBBA5D1}" uniqueName="3" name="TotalNuevosCasos" queryTableFieldId="3"/>
    <tableColumn id="20" xr3:uid="{0FBB5634-DE0E-4076-A2A7-B25B11879460}" uniqueName="20" name="FallecidosAcum" queryTableFieldId="29"/>
    <tableColumn id="11" xr3:uid="{E81719B8-F7D1-4267-B9E9-9A1E880CC10E}" uniqueName="11" name="historico_CifrasTotales.Casos_Confirmados_PCR_Ultimas24h" queryTableFieldId="11"/>
    <tableColumn id="12" xr3:uid="{3C3ADBC3-C68B-48E3-8608-1784F0FB2CA0}" uniqueName="12" name="historico_CifrasTotales.Pacientes_Sin_Alta" queryTableFieldId="12"/>
    <tableColumn id="13" xr3:uid="{1854BB65-D193-47B6-9E40-11D908A30790}" uniqueName="13" name="historico_CifrasTotales.Pacientes_Con_Alta" queryTableFieldId="13"/>
    <tableColumn id="14" xr3:uid="{730A4555-095F-4A22-A0C9-430E2F491469}" uniqueName="14" name="historico_CifrasTotales.Camas_Ocupadas_HOS" queryTableFieldId="14"/>
    <tableColumn id="15" xr3:uid="{F963E241-B6D4-4173-A2D9-00A0B8054710}" uniqueName="15" name="historico_CifrasTotales.Camas_Ocupadas_UCI" queryTableFieldId="15"/>
    <tableColumn id="16" xr3:uid="{1EDA7653-3251-4254-B150-842F4D65A2C0}" uniqueName="16" name="historico_CifrasTotales.Probas_Realizadas_PCR" queryTableFieldId="16"/>
    <tableColumn id="17" xr3:uid="{A61C116C-4258-479E-AF29-3D2CFD9565F7}" uniqueName="17" name="historico_CifrasTotales.Probas_Realizadas_Non_PCR" queryTableFieldId="17"/>
    <tableColumn id="21" xr3:uid="{892A83FA-C3B4-4A7B-83A6-F2F7EEA31AF3}" uniqueName="21" name="FallecidosAcumOld" queryTableFieldId="30"/>
    <tableColumn id="4" xr3:uid="{27B74952-C5D7-40DD-933A-02FFEB39C31F}" uniqueName="4" name="IncrementoActivos" queryTableFieldId="4"/>
    <tableColumn id="5" xr3:uid="{2DE822AC-6EAD-4D10-9C56-0B9E5BA99A25}" uniqueName="5" name="Camas_Ocupadas_HOS" queryTableFieldId="5"/>
    <tableColumn id="6" xr3:uid="{61FC1D93-A52E-47D5-893C-66BEA0754ABD}" uniqueName="6" name="Camas_Ocupadas_UCI" queryTableFieldId="6"/>
    <tableColumn id="7" xr3:uid="{89D53BD7-2823-4D7C-9A7F-20E6B6BB3BC0}" uniqueName="7" name="PCR_Dia" queryTableFieldId="7"/>
    <tableColumn id="8" xr3:uid="{148A0BD5-2B5F-43E8-9E35-D563063B5962}" uniqueName="8" name="Serologicas_Dia" queryTableFieldId="8"/>
    <tableColumn id="18" xr3:uid="{B2449A27-854A-4BD4-885F-F0878923F4C8}" uniqueName="18" name="ActivosRatioIncremento" queryTableFieldId="18"/>
    <tableColumn id="23" xr3:uid="{E0DE2514-4402-4324-9173-D7CEBE9BF225}" uniqueName="23" name="NuevasAltas" queryTableFieldId="34"/>
    <tableColumn id="19" xr3:uid="{5013AE63-FA3F-4432-8673-06BA8931F143}" uniqueName="19" name="FechaOrd" queryTableFieldId="19"/>
    <tableColumn id="9" xr3:uid="{79489C77-AC25-4388-B65E-DA4DABAB0466}" uniqueName="9" name="Pruebas_Dia" queryTableFieldId="9"/>
    <tableColumn id="10" xr3:uid="{69177745-FF5F-4756-B073-96AA71AEDA1A}" uniqueName="10" name="Positividad" queryTableFieldId="10"/>
    <tableColumn id="22" xr3:uid="{C3B1A5FC-ACE0-44E3-9B10-22D76204AA7B}" uniqueName="22" name="IncFallecidos" queryTableFieldId="31"/>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2DAF342F-126C-4B52-91BE-7E5C66DC7554}" name="AS_Vigo" displayName="AS_Vigo" ref="A1:W66" tableType="queryTable" totalsRowShown="0">
  <autoFilter ref="A1:W66" xr:uid="{1C2B23ED-ABC9-4181-8036-E14A826D324C}"/>
  <tableColumns count="23">
    <tableColumn id="1" xr3:uid="{91F6D679-B897-40BE-B5A1-C03FC9D8F426}" uniqueName="1" name="Dia" queryTableFieldId="1" dataDxfId="8"/>
    <tableColumn id="2" xr3:uid="{C75885E6-E94D-4E85-BE47-8AD89327BE57}" uniqueName="2" name="Area_Sanitaria" queryTableFieldId="2" dataDxfId="7"/>
    <tableColumn id="3" xr3:uid="{67DCFF56-5972-491C-AE19-6EFFAD67CA17}" uniqueName="3" name="TotalNuevosCasos" queryTableFieldId="3"/>
    <tableColumn id="20" xr3:uid="{D67A8F4D-B438-4353-B27E-64126BF9A9DB}" uniqueName="20" name="FallecidosAcum" queryTableFieldId="29"/>
    <tableColumn id="11" xr3:uid="{7E87B9D8-72E7-4081-882C-1E8F237914CA}" uniqueName="11" name="historico_CifrasTotales.Casos_Confirmados_PCR_Ultimas24h" queryTableFieldId="11"/>
    <tableColumn id="12" xr3:uid="{0F4196B4-CE72-4729-826A-BD470243E7B3}" uniqueName="12" name="historico_CifrasTotales.Pacientes_Sin_Alta" queryTableFieldId="12"/>
    <tableColumn id="13" xr3:uid="{92E2041B-8553-417C-8261-D66125BFC8C0}" uniqueName="13" name="historico_CifrasTotales.Pacientes_Con_Alta" queryTableFieldId="13"/>
    <tableColumn id="14" xr3:uid="{DCFF9ED8-6DB6-4AEF-BF73-7E3C6FA954CA}" uniqueName="14" name="historico_CifrasTotales.Camas_Ocupadas_HOS" queryTableFieldId="14"/>
    <tableColumn id="15" xr3:uid="{5FB89D80-17AA-460D-A36B-80B7531CD272}" uniqueName="15" name="historico_CifrasTotales.Camas_Ocupadas_UCI" queryTableFieldId="15"/>
    <tableColumn id="16" xr3:uid="{3414184B-7B09-409D-93E7-51DC393E490B}" uniqueName="16" name="historico_CifrasTotales.Probas_Realizadas_PCR" queryTableFieldId="16"/>
    <tableColumn id="17" xr3:uid="{753036DD-63B6-486B-8BC5-6729EFFE08BF}" uniqueName="17" name="historico_CifrasTotales.Probas_Realizadas_Non_PCR" queryTableFieldId="17"/>
    <tableColumn id="21" xr3:uid="{F501BB04-16E4-4584-8486-312D3CA65308}" uniqueName="21" name="FallecidosAcumOld" queryTableFieldId="30"/>
    <tableColumn id="4" xr3:uid="{88FD9C28-D918-42A3-9586-AA20C4B67658}" uniqueName="4" name="IncrementoActivos" queryTableFieldId="4"/>
    <tableColumn id="5" xr3:uid="{4AD31565-DEFE-4F9B-B98D-36CA3D9E8410}" uniqueName="5" name="Camas_Ocupadas_HOS" queryTableFieldId="5"/>
    <tableColumn id="6" xr3:uid="{F0CCE72F-4BCC-4545-9A3F-CA0B7B02C0DC}" uniqueName="6" name="Camas_Ocupadas_UCI" queryTableFieldId="6"/>
    <tableColumn id="7" xr3:uid="{CE65784B-2BE6-4488-B92A-3BF4F9BE39D7}" uniqueName="7" name="PCR_Dia" queryTableFieldId="7"/>
    <tableColumn id="8" xr3:uid="{B89F0EB6-F645-4309-8D70-AFA5DA79D163}" uniqueName="8" name="Serologicas_Dia" queryTableFieldId="8"/>
    <tableColumn id="18" xr3:uid="{86DF53D6-CA7F-4EF1-8213-84BE95B4C7D1}" uniqueName="18" name="ActivosRatioIncremento" queryTableFieldId="18"/>
    <tableColumn id="23" xr3:uid="{AD20C005-DB91-457F-8D4E-4621E33A77C6}" uniqueName="23" name="NuevasAltas" queryTableFieldId="34"/>
    <tableColumn id="19" xr3:uid="{B9E03819-FBCB-43A5-99DA-F8B52520FD46}" uniqueName="19" name="FechaOrd" queryTableFieldId="19"/>
    <tableColumn id="9" xr3:uid="{9705D030-6F3D-4C90-8B1F-A063C59E6C27}" uniqueName="9" name="Pruebas_Dia" queryTableFieldId="9"/>
    <tableColumn id="10" xr3:uid="{6297BB4D-A92E-479B-948D-5E3B9A127FE5}" uniqueName="10" name="Positividad" queryTableFieldId="10"/>
    <tableColumn id="22" xr3:uid="{CC7AA3F6-369E-4EFC-9D26-2FBF22AECDCC}" uniqueName="22" name="IncFallecidos" queryTableFieldId="31"/>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8910087E-DE01-4C39-8EC7-B22C28312DDE}" name="historico_CifrasTotales" displayName="historico_CifrasTotales" ref="A1:M721" tableType="queryTable" totalsRowShown="0">
  <autoFilter ref="A1:M721" xr:uid="{938A7D94-B6CC-4D13-A37C-D16B9928A244}">
    <filterColumn colId="1">
      <filters>
        <filter val="GALICIA"/>
      </filters>
    </filterColumn>
  </autoFilter>
  <sortState xmlns:xlrd2="http://schemas.microsoft.com/office/spreadsheetml/2017/richdata2" ref="A2:M721">
    <sortCondition ref="L1:L721"/>
  </sortState>
  <tableColumns count="13">
    <tableColumn id="1" xr3:uid="{48EF34F1-1942-4052-9EFD-B77F557EA132}" uniqueName="1" name="Fecha" queryTableFieldId="1" dataDxfId="6"/>
    <tableColumn id="2" xr3:uid="{40A9F3F0-D1B9-4119-8B1F-B3FDBCE44270}" uniqueName="2" name="Area_Sanitaria" queryTableFieldId="2" dataDxfId="5"/>
    <tableColumn id="3" xr3:uid="{48C12EAA-969D-42F2-AAC9-EBC7B7E2F520}" uniqueName="3" name="Casos_Totais" queryTableFieldId="3"/>
    <tableColumn id="4" xr3:uid="{3F4E833A-BDD4-41A6-8F97-166F90AA06DA}" uniqueName="4" name="Casos_Confirmados_PCR_Ultimas24h" queryTableFieldId="4"/>
    <tableColumn id="5" xr3:uid="{A1DC60D1-1105-4F5A-A2FB-1F0210DFA60B}" uniqueName="5" name="Pacientes_Sin_Alta" queryTableFieldId="5"/>
    <tableColumn id="6" xr3:uid="{6EC910FE-A466-406A-A2C5-F0B5F502AA5A}" uniqueName="6" name="Pacientes_Con_Alta" queryTableFieldId="6"/>
    <tableColumn id="7" xr3:uid="{84D780F1-B85B-487E-BA14-04181A724666}" uniqueName="7" name="Camas_Ocupadas_HOS" queryTableFieldId="7"/>
    <tableColumn id="8" xr3:uid="{C2660B2D-1AC1-4AC3-B58B-6F0CC405579C}" uniqueName="8" name="Camas_Ocupadas_UCI" queryTableFieldId="8"/>
    <tableColumn id="9" xr3:uid="{B2E544E6-5F02-456E-B32B-B7CB93A51566}" uniqueName="9" name="Probas_Realizadas_PCR" queryTableFieldId="9"/>
    <tableColumn id="10" xr3:uid="{E6AF94CD-6256-412B-AA2E-44230387B7C7}" uniqueName="10" name="Probas_Realizadas_Non_PCR" queryTableFieldId="10"/>
    <tableColumn id="11" xr3:uid="{03F01EBC-12A1-4458-AC7F-8A5BDA3B668E}" uniqueName="11" name="FallecidosAcum" queryTableFieldId="15"/>
    <tableColumn id="13" xr3:uid="{B534FE0A-67A7-4FE6-8ED7-562418CDC235}" uniqueName="13" name="Ayer" queryTableFieldId="13"/>
    <tableColumn id="14" xr3:uid="{DCAE8C0A-4AB8-471C-BB15-C42A7B5D16CE}" uniqueName="14" name="Hoy" queryTableFieldId="14"/>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8FDF652-00E6-4551-BEE6-6C138FD5DD58}" name="AreasSanitarias" displayName="AreasSanitarias" ref="A1:B9" totalsRowShown="0">
  <autoFilter ref="A1:B9" xr:uid="{B4B014E9-FC32-49A0-8363-55D00F50C7DA}"/>
  <tableColumns count="2">
    <tableColumn id="1" xr3:uid="{91BC5721-4C21-4986-A625-8EDC0DA8A52D}" name="Clave"/>
    <tableColumn id="2" xr3:uid="{C187EC79-7BCE-4F78-A7D1-BA843E7BC552}" name="Area"/>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3E1D2A6-5678-472C-848A-8827081795C6}" name="DatosPoblacion" displayName="DatosPoblacion" ref="A1:D314" totalsRowShown="0" dataDxfId="51" tableBorderDxfId="50" dataCellStyle="Normal 2">
  <autoFilter ref="A1:D314" xr:uid="{D17D1840-E805-432F-AD09-4AE75AB73697}"/>
  <tableColumns count="4">
    <tableColumn id="1" xr3:uid="{0C229398-C4C8-4BD7-90E2-240DE7C22CAA}" name="municipio" dataDxfId="49" dataCellStyle="Normal 2"/>
    <tableColumn id="2" xr3:uid="{9693A642-895D-4201-AE6F-2EDAAF64EE7D}" name="provincia" dataDxfId="48" dataCellStyle="Normal 2"/>
    <tableColumn id="4" xr3:uid="{00251CF1-6A09-4590-A085-772F113242FF}" name="area_sanitaria" dataDxfId="47" dataCellStyle="Normal 2"/>
    <tableColumn id="3" xr3:uid="{658CA510-49A6-40FE-B1B5-66A144047672}" name="Población" dataDxfId="46" dataCellStyle="Normal 2"/>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D0FC6672-25B4-4902-B933-52CF6DF68778}" name="Area_Poblacion" displayName="Area_Poblacion" ref="J1:K8" totalsRowShown="0">
  <autoFilter ref="J1:K8" xr:uid="{BE5BEAB3-4C16-478B-89AF-BE919C34FCD5}"/>
  <tableColumns count="2">
    <tableColumn id="1" xr3:uid="{16AA596C-278E-4332-95AC-74AB95B30DE4}" name="area_sanitaria"/>
    <tableColumn id="2" xr3:uid="{DE7B0E8C-D600-47B0-9C43-F5F44A1D32CD}" name="población" dataDxfId="45">
      <calculatedColumnFormula>SUMIF(DatosPoblacion[area_sanitaria],Area_Poblacion[[#This Row],[area_sanitaria]],DatosPoblacion[Población])</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Fecha" xr10:uid="{74E83B29-2292-417C-84B9-72D015ABB6F5}" sourceName="Fecha">
  <pivotTables>
    <pivotTable tabId="38" name="PivotTable1"/>
  </pivotTables>
  <state minimalRefreshVersion="6" lastRefreshVersion="6" pivotCacheId="579417468" filterType="dateBetween">
    <selection startDate="2020-12-18T00:00:00" endDate="2021-02-07T00:00:00"/>
    <bounds startDate="2020-01-01T00:00:00" endDate="2022-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Fecha" xr10:uid="{024B9600-9942-428A-92EF-E7EE220FC392}" cache="NativeTimeline_Fecha" caption="Fecha" level="3" selectionLevel="3" scrollPosition="2021-01-25T00:00:00"/>
</timeline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2.xml"/><Relationship Id="rId1" Type="http://schemas.openxmlformats.org/officeDocument/2006/relationships/pivotTable" Target="../pivotTables/pivotTable1.xml"/><Relationship Id="rId4" Type="http://schemas.microsoft.com/office/2011/relationships/timeline" Target="../timelines/timeline1.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openxmlformats.org/officeDocument/2006/relationships/pivotTable" Target="../pivotTables/pivotTable2.xml"/><Relationship Id="rId4" Type="http://schemas.microsoft.com/office/2007/relationships/slicer" Target="../slicers/slicer2.xml"/></Relationships>
</file>

<file path=xl/worksheets/_rels/sheet6.xml.rels><?xml version="1.0" encoding="UTF-8" standalone="yes"?>
<Relationships xmlns="http://schemas.openxmlformats.org/package/2006/relationships"><Relationship Id="rId3" Type="http://schemas.microsoft.com/office/2007/relationships/slicer" Target="../slicers/slicer3.xml"/><Relationship Id="rId2" Type="http://schemas.openxmlformats.org/officeDocument/2006/relationships/drawing" Target="../drawings/drawing4.xml"/><Relationship Id="rId1" Type="http://schemas.openxmlformats.org/officeDocument/2006/relationships/pivotTable" Target="../pivotTables/pivotTable3.xml"/></Relationships>
</file>

<file path=xl/worksheets/_rels/sheet7.xml.rels><?xml version="1.0" encoding="UTF-8" standalone="yes"?>
<Relationships xmlns="http://schemas.openxmlformats.org/package/2006/relationships"><Relationship Id="rId3" Type="http://schemas.microsoft.com/office/2007/relationships/slicer" Target="../slicers/slicer4.xml"/><Relationship Id="rId2" Type="http://schemas.openxmlformats.org/officeDocument/2006/relationships/drawing" Target="../drawings/drawing5.xml"/><Relationship Id="rId1" Type="http://schemas.openxmlformats.org/officeDocument/2006/relationships/pivotTable" Target="../pivotTables/pivotTable4.xml"/></Relationships>
</file>

<file path=xl/worksheets/_rels/sheet8.xml.rels><?xml version="1.0" encoding="UTF-8" standalone="yes"?>
<Relationships xmlns="http://schemas.openxmlformats.org/package/2006/relationships"><Relationship Id="rId1" Type="http://schemas.openxmlformats.org/officeDocument/2006/relationships/table" Target="../tables/table2.x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4.bin"/><Relationship Id="rId1" Type="http://schemas.openxmlformats.org/officeDocument/2006/relationships/pivotTable" Target="../pivotTables/pivotTable5.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ivotTable" Target="../pivotTables/pivotTable6.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ivotTable" Target="../pivotTables/pivotTable7.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ivotTable" Target="../pivotTables/pivotTable8.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ivotTable" Target="../pivotTables/pivotTable9.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ivotTable" Target="../pivotTables/pivotTable10.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ivotTable" Target="../pivotTables/pivotTable11.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7.xml.rels><?xml version="1.0" encoding="UTF-8" standalone="yes"?>
<Relationships xmlns="http://schemas.openxmlformats.org/package/2006/relationships"><Relationship Id="rId1" Type="http://schemas.openxmlformats.org/officeDocument/2006/relationships/table" Target="../tables/table4.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6.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7.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8.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9.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5.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table" Target="../tables/table1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53F8A2-0ACC-419B-983B-90646BACEE3F}">
  <sheetPr codeName="Sheet1"/>
  <dimension ref="A1"/>
  <sheetViews>
    <sheetView showGridLines="0" topLeftCell="A130" workbookViewId="0">
      <selection activeCell="V13" sqref="V12:V13"/>
    </sheetView>
  </sheetViews>
  <sheetFormatPr defaultRowHeight="14.4" x14ac:dyDescent="0.3"/>
  <sheetData/>
  <sheetProtection sheet="1" objects="1" scenarios="1"/>
  <pageMargins left="0.7" right="0.7" top="0.75" bottom="0.75" header="0.3" footer="0.3"/>
  <pageSetup paperSize="9" orientation="portrait" r:id="rId1"/>
  <drawing r:id="rId2"/>
  <legacyDrawing r:id="rId3"/>
  <controls>
    <mc:AlternateContent xmlns:mc="http://schemas.openxmlformats.org/markup-compatibility/2006">
      <mc:Choice Requires="x14">
        <control shapeId="1026" r:id="rId4" name="BotonActualiza">
          <controlPr locked="0" defaultSize="0" autoLine="0" r:id="rId5">
            <anchor moveWithCells="1">
              <from>
                <xdr:col>18</xdr:col>
                <xdr:colOff>312420</xdr:colOff>
                <xdr:row>0</xdr:row>
                <xdr:rowOff>45720</xdr:rowOff>
              </from>
              <to>
                <xdr:col>22</xdr:col>
                <xdr:colOff>441960</xdr:colOff>
                <xdr:row>4</xdr:row>
                <xdr:rowOff>99060</xdr:rowOff>
              </to>
            </anchor>
          </controlPr>
        </control>
      </mc:Choice>
      <mc:Fallback>
        <control shapeId="1026" r:id="rId4" name="BotonActualiza"/>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CCDE70-C33B-4F12-869E-141B1FE0AA23}">
  <dimension ref="A1:R26"/>
  <sheetViews>
    <sheetView showGridLines="0" workbookViewId="0">
      <selection activeCell="L25" sqref="L25"/>
    </sheetView>
  </sheetViews>
  <sheetFormatPr defaultRowHeight="14.4" x14ac:dyDescent="0.3"/>
  <cols>
    <col min="2" max="2" width="31.6640625" bestFit="1" customWidth="1"/>
    <col min="3" max="9" width="10.44140625" style="19" bestFit="1" customWidth="1"/>
    <col min="11" max="11" width="42.77734375" bestFit="1" customWidth="1"/>
    <col min="12" max="13" width="9" bestFit="1" customWidth="1"/>
    <col min="14" max="14" width="9.44140625" bestFit="1" customWidth="1"/>
    <col min="15" max="15" width="9" bestFit="1" customWidth="1"/>
    <col min="16" max="16" width="10.5546875" bestFit="1" customWidth="1"/>
    <col min="17" max="17" width="9" bestFit="1" customWidth="1"/>
    <col min="18" max="18" width="10.5546875" bestFit="1" customWidth="1"/>
  </cols>
  <sheetData>
    <row r="1" spans="1:18" x14ac:dyDescent="0.3">
      <c r="A1" s="25" t="s">
        <v>445</v>
      </c>
      <c r="B1" s="25"/>
      <c r="C1" s="26"/>
      <c r="D1" s="26"/>
      <c r="E1" s="26"/>
      <c r="F1" s="26"/>
      <c r="G1" s="26"/>
      <c r="H1" s="26"/>
      <c r="I1" s="26"/>
      <c r="J1" s="25"/>
      <c r="K1" s="25"/>
      <c r="L1" s="25"/>
      <c r="M1" s="25"/>
      <c r="N1" s="25"/>
      <c r="O1" s="25"/>
      <c r="P1" s="25"/>
      <c r="Q1" s="25"/>
      <c r="R1" s="25"/>
    </row>
    <row r="3" spans="1:18" x14ac:dyDescent="0.3">
      <c r="B3" s="17" t="s">
        <v>454</v>
      </c>
      <c r="C3" s="22"/>
      <c r="D3" s="22"/>
      <c r="E3" s="22"/>
      <c r="F3" s="22" t="s">
        <v>455</v>
      </c>
      <c r="G3" s="23">
        <f>MIN(EvolucionIncidencia[Fecha])</f>
        <v>44170</v>
      </c>
      <c r="H3" s="22" t="s">
        <v>456</v>
      </c>
      <c r="I3" s="23">
        <f>MAX(EvolucionIncidencia[Fecha])</f>
        <v>44234</v>
      </c>
      <c r="K3" s="17" t="s">
        <v>454</v>
      </c>
      <c r="L3" s="22"/>
      <c r="M3" s="22"/>
      <c r="N3" s="22"/>
      <c r="O3" s="22" t="s">
        <v>455</v>
      </c>
      <c r="P3" s="23">
        <f>R3-21</f>
        <v>44213</v>
      </c>
      <c r="Q3" s="22" t="s">
        <v>456</v>
      </c>
      <c r="R3" s="23">
        <f>MAX(EvolucionIncidencia[Fecha])</f>
        <v>44234</v>
      </c>
    </row>
    <row r="4" spans="1:18" x14ac:dyDescent="0.3">
      <c r="L4" s="19"/>
      <c r="M4" s="19"/>
      <c r="N4" s="19"/>
      <c r="O4" s="19"/>
      <c r="P4" s="19"/>
      <c r="Q4" s="19"/>
      <c r="R4" s="19"/>
    </row>
    <row r="5" spans="1:18" x14ac:dyDescent="0.3">
      <c r="B5" s="18" t="s">
        <v>453</v>
      </c>
      <c r="C5" s="20" t="s">
        <v>448</v>
      </c>
      <c r="D5" s="20" t="s">
        <v>449</v>
      </c>
      <c r="E5" s="20" t="s">
        <v>450</v>
      </c>
      <c r="F5" s="20" t="s">
        <v>451</v>
      </c>
      <c r="G5" s="20" t="s">
        <v>452</v>
      </c>
      <c r="H5" s="20" t="s">
        <v>446</v>
      </c>
      <c r="I5" s="20" t="s">
        <v>447</v>
      </c>
      <c r="K5" s="18" t="s">
        <v>453</v>
      </c>
      <c r="L5" s="20" t="s">
        <v>448</v>
      </c>
      <c r="M5" s="20" t="s">
        <v>449</v>
      </c>
      <c r="N5" s="20" t="s">
        <v>450</v>
      </c>
      <c r="O5" s="20" t="s">
        <v>451</v>
      </c>
      <c r="P5" s="20" t="s">
        <v>452</v>
      </c>
      <c r="Q5" s="20" t="s">
        <v>446</v>
      </c>
      <c r="R5" s="20" t="s">
        <v>447</v>
      </c>
    </row>
    <row r="6" spans="1:18" x14ac:dyDescent="0.3">
      <c r="B6" s="16" t="str" cm="1">
        <f t="array" ref="B6:B13">_xlfn.UNIQUE(EvolucionIncidencia[Area_Sanitaria])</f>
        <v>A.S. A CORUÑA E CEE</v>
      </c>
      <c r="C6" s="21">
        <f>AVERAGEIFS(EvolucionIncidencia[[NuevosCasos]:[NuevosCasos]],EvolucionIncidencia[[DiaSemana]:[DiaSemana]],C$5,EvolucionIncidencia[[Area_Sanitaria]:[Area_Sanitaria]],$B6)</f>
        <v>139.55555555555554</v>
      </c>
      <c r="D6" s="21">
        <f>AVERAGEIFS(EvolucionIncidencia[[NuevosCasos]:[NuevosCasos]],EvolucionIncidencia[[DiaSemana]:[DiaSemana]],D$5,EvolucionIncidencia[[Area_Sanitaria]:[Area_Sanitaria]],$B6)</f>
        <v>210.44444444444446</v>
      </c>
      <c r="E6" s="21">
        <f>AVERAGEIFS(EvolucionIncidencia[[NuevosCasos]:[NuevosCasos]],EvolucionIncidencia[[DiaSemana]:[DiaSemana]],E$5,EvolucionIncidencia[[Area_Sanitaria]:[Area_Sanitaria]],$B6)</f>
        <v>211.33333333333334</v>
      </c>
      <c r="F6" s="21">
        <f>AVERAGEIFS(EvolucionIncidencia[[NuevosCasos]:[NuevosCasos]],EvolucionIncidencia[[DiaSemana]:[DiaSemana]],F$5,EvolucionIncidencia[[Area_Sanitaria]:[Area_Sanitaria]],$B6)</f>
        <v>197.44444444444446</v>
      </c>
      <c r="G6" s="21">
        <f>AVERAGEIFS(EvolucionIncidencia[[NuevosCasos]:[NuevosCasos]],EvolucionIncidencia[[DiaSemana]:[DiaSemana]],G$5,EvolucionIncidencia[[Area_Sanitaria]:[Area_Sanitaria]],$B6)</f>
        <v>218.22222222222223</v>
      </c>
      <c r="H6" s="21">
        <f>AVERAGEIFS(EvolucionIncidencia[[NuevosCasos]:[NuevosCasos]],EvolucionIncidencia[[DiaSemana]:[DiaSemana]],H$5,EvolucionIncidencia[[Area_Sanitaria]:[Area_Sanitaria]],$B6)</f>
        <v>184.8</v>
      </c>
      <c r="I6" s="21">
        <f>AVERAGEIFS(EvolucionIncidencia[[NuevosCasos]:[NuevosCasos]],EvolucionIncidencia[[DiaSemana]:[DiaSemana]],I$5,EvolucionIncidencia[[Area_Sanitaria]:[Area_Sanitaria]],$B6)</f>
        <v>146.80000000000001</v>
      </c>
      <c r="K6" s="16" t="str" cm="1">
        <f t="array" ref="K6:K13">_xlfn.UNIQUE(EvolucionIncidencia[Area_Sanitaria])</f>
        <v>A.S. A CORUÑA E CEE</v>
      </c>
      <c r="L6" s="21">
        <f>AVERAGEIFS(EvolucionIncidencia[[NuevosCasos]:[NuevosCasos]],EvolucionIncidencia[[DiaSemana]:[DiaSemana]],L$5,EvolucionIncidencia[[Area_Sanitaria]:[Area_Sanitaria]],$K6,EvolucionIncidencia[[Fecha]:[Fecha]],"&gt;=" &amp; $P$3,EvolucionIncidencia[[Fecha]:[Fecha]],"&lt;=" &amp; $R$3)</f>
        <v>285.33333333333331</v>
      </c>
      <c r="M6" s="21">
        <f>AVERAGEIFS(EvolucionIncidencia[[NuevosCasos]:[NuevosCasos]],EvolucionIncidencia[[DiaSemana]:[DiaSemana]],M$5,EvolucionIncidencia[[Area_Sanitaria]:[Area_Sanitaria]],$K6,EvolucionIncidencia[[Fecha]:[Fecha]],"&gt;=" &amp; $P$3,EvolucionIncidencia[[Fecha]:[Fecha]],"&lt;=" &amp; $R$3)</f>
        <v>391.33333333333331</v>
      </c>
      <c r="N6" s="21">
        <f>AVERAGEIFS(EvolucionIncidencia[[NuevosCasos]:[NuevosCasos]],EvolucionIncidencia[[DiaSemana]:[DiaSemana]],N$5,EvolucionIncidencia[[Area_Sanitaria]:[Area_Sanitaria]],$K6,EvolucionIncidencia[[Fecha]:[Fecha]],"&gt;=" &amp; $P$3,EvolucionIncidencia[[Fecha]:[Fecha]],"&lt;=" &amp; $R$3)</f>
        <v>382.66666666666669</v>
      </c>
      <c r="O6" s="21">
        <f>AVERAGEIFS(EvolucionIncidencia[[NuevosCasos]:[NuevosCasos]],EvolucionIncidencia[[DiaSemana]:[DiaSemana]],O$5,EvolucionIncidencia[[Area_Sanitaria]:[Area_Sanitaria]],$K6,EvolucionIncidencia[[Fecha]:[Fecha]],"&gt;=" &amp; $P$3,EvolucionIncidencia[[Fecha]:[Fecha]],"&lt;=" &amp; $R$3)</f>
        <v>356.66666666666669</v>
      </c>
      <c r="P6" s="21">
        <f>AVERAGEIFS(EvolucionIncidencia[[NuevosCasos]:[NuevosCasos]],EvolucionIncidencia[[DiaSemana]:[DiaSemana]],P$5,EvolucionIncidencia[[Area_Sanitaria]:[Area_Sanitaria]],$K6,EvolucionIncidencia[[Fecha]:[Fecha]],"&gt;=" &amp; $P$3,EvolucionIncidencia[[Fecha]:[Fecha]],"&lt;=" &amp; $R$3)</f>
        <v>376.66666666666669</v>
      </c>
      <c r="Q6" s="21">
        <f>AVERAGEIFS(EvolucionIncidencia[[NuevosCasos]:[NuevosCasos]],EvolucionIncidencia[[DiaSemana]:[DiaSemana]],Q$5,EvolucionIncidencia[[Area_Sanitaria]:[Area_Sanitaria]],$K6,EvolucionIncidencia[[Fecha]:[Fecha]],"&gt;=" &amp; $P$3,EvolucionIncidencia[[Fecha]:[Fecha]],"&lt;=" &amp; $R$3)</f>
        <v>357.66666666666669</v>
      </c>
      <c r="R6" s="21">
        <f>AVERAGEIFS(EvolucionIncidencia[[NuevosCasos]:[NuevosCasos]],EvolucionIncidencia[[DiaSemana]:[DiaSemana]],R$5,EvolucionIncidencia[[Area_Sanitaria]:[Area_Sanitaria]],$K6,EvolucionIncidencia[[Fecha]:[Fecha]],"&gt;=" &amp; $P$3,EvolucionIncidencia[[Fecha]:[Fecha]],"&lt;=" &amp; $R$3)</f>
        <v>243.25</v>
      </c>
    </row>
    <row r="7" spans="1:18" x14ac:dyDescent="0.3">
      <c r="B7" s="16" t="str">
        <v>A.S. FERROL</v>
      </c>
      <c r="C7" s="21">
        <f>AVERAGEIFS(EvolucionIncidencia[[NuevosCasos]:[NuevosCasos]],EvolucionIncidencia[[DiaSemana]:[DiaSemana]],C$5,EvolucionIncidencia[[Area_Sanitaria]:[Area_Sanitaria]],$B7)</f>
        <v>52.333333333333336</v>
      </c>
      <c r="D7" s="21">
        <f>AVERAGEIFS(EvolucionIncidencia[[NuevosCasos]:[NuevosCasos]],EvolucionIncidencia[[DiaSemana]:[DiaSemana]],D$5,EvolucionIncidencia[[Area_Sanitaria]:[Area_Sanitaria]],$B7)</f>
        <v>61</v>
      </c>
      <c r="E7" s="21">
        <f>AVERAGEIFS(EvolucionIncidencia[[NuevosCasos]:[NuevosCasos]],EvolucionIncidencia[[DiaSemana]:[DiaSemana]],E$5,EvolucionIncidencia[[Area_Sanitaria]:[Area_Sanitaria]],$B7)</f>
        <v>59.555555555555557</v>
      </c>
      <c r="F7" s="21">
        <f>AVERAGEIFS(EvolucionIncidencia[[NuevosCasos]:[NuevosCasos]],EvolucionIncidencia[[DiaSemana]:[DiaSemana]],F$5,EvolucionIncidencia[[Area_Sanitaria]:[Area_Sanitaria]],$B7)</f>
        <v>70.777777777777771</v>
      </c>
      <c r="G7" s="21">
        <f>AVERAGEIFS(EvolucionIncidencia[[NuevosCasos]:[NuevosCasos]],EvolucionIncidencia[[DiaSemana]:[DiaSemana]],G$5,EvolucionIncidencia[[Area_Sanitaria]:[Area_Sanitaria]],$B7)</f>
        <v>69.333333333333329</v>
      </c>
      <c r="H7" s="21">
        <f>AVERAGEIFS(EvolucionIncidencia[[NuevosCasos]:[NuevosCasos]],EvolucionIncidencia[[DiaSemana]:[DiaSemana]],H$5,EvolucionIncidencia[[Area_Sanitaria]:[Area_Sanitaria]],$B7)</f>
        <v>47.8</v>
      </c>
      <c r="I7" s="21">
        <f>AVERAGEIFS(EvolucionIncidencia[[NuevosCasos]:[NuevosCasos]],EvolucionIncidencia[[DiaSemana]:[DiaSemana]],I$5,EvolucionIncidencia[[Area_Sanitaria]:[Area_Sanitaria]],$B7)</f>
        <v>61</v>
      </c>
      <c r="K7" s="16" t="str">
        <v>A.S. FERROL</v>
      </c>
      <c r="L7" s="21">
        <f>AVERAGEIFS(EvolucionIncidencia[[NuevosCasos]:[NuevosCasos]],EvolucionIncidencia[[DiaSemana]:[DiaSemana]],L$5,EvolucionIncidencia[[Area_Sanitaria]:[Area_Sanitaria]],$K7,EvolucionIncidencia[[Fecha]:[Fecha]],"&gt;=" &amp; $P$3,EvolucionIncidencia[[Fecha]:[Fecha]],"&lt;=" &amp; $R$3)</f>
        <v>107.66666666666667</v>
      </c>
      <c r="M7" s="21">
        <f>AVERAGEIFS(EvolucionIncidencia[[NuevosCasos]:[NuevosCasos]],EvolucionIncidencia[[DiaSemana]:[DiaSemana]],M$5,EvolucionIncidencia[[Area_Sanitaria]:[Area_Sanitaria]],$K7,EvolucionIncidencia[[Fecha]:[Fecha]],"&gt;=" &amp; $P$3,EvolucionIncidencia[[Fecha]:[Fecha]],"&lt;=" &amp; $R$3)</f>
        <v>101</v>
      </c>
      <c r="N7" s="21">
        <f>AVERAGEIFS(EvolucionIncidencia[[NuevosCasos]:[NuevosCasos]],EvolucionIncidencia[[DiaSemana]:[DiaSemana]],N$5,EvolucionIncidencia[[Area_Sanitaria]:[Area_Sanitaria]],$K7,EvolucionIncidencia[[Fecha]:[Fecha]],"&gt;=" &amp; $P$3,EvolucionIncidencia[[Fecha]:[Fecha]],"&lt;=" &amp; $R$3)</f>
        <v>117.66666666666667</v>
      </c>
      <c r="O7" s="21">
        <f>AVERAGEIFS(EvolucionIncidencia[[NuevosCasos]:[NuevosCasos]],EvolucionIncidencia[[DiaSemana]:[DiaSemana]],O$5,EvolucionIncidencia[[Area_Sanitaria]:[Area_Sanitaria]],$K7,EvolucionIncidencia[[Fecha]:[Fecha]],"&gt;=" &amp; $P$3,EvolucionIncidencia[[Fecha]:[Fecha]],"&lt;=" &amp; $R$3)</f>
        <v>125.33333333333333</v>
      </c>
      <c r="P7" s="21">
        <f>AVERAGEIFS(EvolucionIncidencia[[NuevosCasos]:[NuevosCasos]],EvolucionIncidencia[[DiaSemana]:[DiaSemana]],P$5,EvolucionIncidencia[[Area_Sanitaria]:[Area_Sanitaria]],$K7,EvolucionIncidencia[[Fecha]:[Fecha]],"&gt;=" &amp; $P$3,EvolucionIncidencia[[Fecha]:[Fecha]],"&lt;=" &amp; $R$3)</f>
        <v>123.66666666666667</v>
      </c>
      <c r="Q7" s="21">
        <f>AVERAGEIFS(EvolucionIncidencia[[NuevosCasos]:[NuevosCasos]],EvolucionIncidencia[[DiaSemana]:[DiaSemana]],Q$5,EvolucionIncidencia[[Area_Sanitaria]:[Area_Sanitaria]],$K7,EvolucionIncidencia[[Fecha]:[Fecha]],"&gt;=" &amp; $P$3,EvolucionIncidencia[[Fecha]:[Fecha]],"&lt;=" &amp; $R$3)</f>
        <v>83.333333333333329</v>
      </c>
      <c r="R7" s="21">
        <f>AVERAGEIFS(EvolucionIncidencia[[NuevosCasos]:[NuevosCasos]],EvolucionIncidencia[[DiaSemana]:[DiaSemana]],R$5,EvolucionIncidencia[[Area_Sanitaria]:[Area_Sanitaria]],$K7,EvolucionIncidencia[[Fecha]:[Fecha]],"&gt;=" &amp; $P$3,EvolucionIncidencia[[Fecha]:[Fecha]],"&lt;=" &amp; $R$3)</f>
        <v>88.75</v>
      </c>
    </row>
    <row r="8" spans="1:18" x14ac:dyDescent="0.3">
      <c r="B8" s="16" t="str">
        <v>A.S. LUGO, A MARIÑA E MONFORTE</v>
      </c>
      <c r="C8" s="21">
        <f>AVERAGEIFS(EvolucionIncidencia[[NuevosCasos]:[NuevosCasos]],EvolucionIncidencia[[DiaSemana]:[DiaSemana]],C$5,EvolucionIncidencia[[Area_Sanitaria]:[Area_Sanitaria]],$B8)</f>
        <v>50.222222222222221</v>
      </c>
      <c r="D8" s="21">
        <f>AVERAGEIFS(EvolucionIncidencia[[NuevosCasos]:[NuevosCasos]],EvolucionIncidencia[[DiaSemana]:[DiaSemana]],D$5,EvolucionIncidencia[[Area_Sanitaria]:[Area_Sanitaria]],$B8)</f>
        <v>79</v>
      </c>
      <c r="E8" s="21">
        <f>AVERAGEIFS(EvolucionIncidencia[[NuevosCasos]:[NuevosCasos]],EvolucionIncidencia[[DiaSemana]:[DiaSemana]],E$5,EvolucionIncidencia[[Area_Sanitaria]:[Area_Sanitaria]],$B8)</f>
        <v>74.222222222222229</v>
      </c>
      <c r="F8" s="21">
        <f>AVERAGEIFS(EvolucionIncidencia[[NuevosCasos]:[NuevosCasos]],EvolucionIncidencia[[DiaSemana]:[DiaSemana]],F$5,EvolucionIncidencia[[Area_Sanitaria]:[Area_Sanitaria]],$B8)</f>
        <v>67.555555555555557</v>
      </c>
      <c r="G8" s="21">
        <f>AVERAGEIFS(EvolucionIncidencia[[NuevosCasos]:[NuevosCasos]],EvolucionIncidencia[[DiaSemana]:[DiaSemana]],G$5,EvolucionIncidencia[[Area_Sanitaria]:[Area_Sanitaria]],$B8)</f>
        <v>85</v>
      </c>
      <c r="H8" s="21">
        <f>AVERAGEIFS(EvolucionIncidencia[[NuevosCasos]:[NuevosCasos]],EvolucionIncidencia[[DiaSemana]:[DiaSemana]],H$5,EvolucionIncidencia[[Area_Sanitaria]:[Area_Sanitaria]],$B8)</f>
        <v>69.900000000000006</v>
      </c>
      <c r="I8" s="21">
        <f>AVERAGEIFS(EvolucionIncidencia[[NuevosCasos]:[NuevosCasos]],EvolucionIncidencia[[DiaSemana]:[DiaSemana]],I$5,EvolucionIncidencia[[Area_Sanitaria]:[Area_Sanitaria]],$B8)</f>
        <v>58.8</v>
      </c>
      <c r="K8" s="16" t="str">
        <v>A.S. LUGO, A MARIÑA E MONFORTE</v>
      </c>
      <c r="L8" s="21">
        <f>AVERAGEIFS(EvolucionIncidencia[[NuevosCasos]:[NuevosCasos]],EvolucionIncidencia[[DiaSemana]:[DiaSemana]],L$5,EvolucionIncidencia[[Area_Sanitaria]:[Area_Sanitaria]],$K8,EvolucionIncidencia[[Fecha]:[Fecha]],"&gt;=" &amp; $P$3,EvolucionIncidencia[[Fecha]:[Fecha]],"&lt;=" &amp; $R$3)</f>
        <v>98.666666666666671</v>
      </c>
      <c r="M8" s="21">
        <f>AVERAGEIFS(EvolucionIncidencia[[NuevosCasos]:[NuevosCasos]],EvolucionIncidencia[[DiaSemana]:[DiaSemana]],M$5,EvolucionIncidencia[[Area_Sanitaria]:[Area_Sanitaria]],$K8,EvolucionIncidencia[[Fecha]:[Fecha]],"&gt;=" &amp; $P$3,EvolucionIncidencia[[Fecha]:[Fecha]],"&lt;=" &amp; $R$3)</f>
        <v>135</v>
      </c>
      <c r="N8" s="21">
        <f>AVERAGEIFS(EvolucionIncidencia[[NuevosCasos]:[NuevosCasos]],EvolucionIncidencia[[DiaSemana]:[DiaSemana]],N$5,EvolucionIncidencia[[Area_Sanitaria]:[Area_Sanitaria]],$K8,EvolucionIncidencia[[Fecha]:[Fecha]],"&gt;=" &amp; $P$3,EvolucionIncidencia[[Fecha]:[Fecha]],"&lt;=" &amp; $R$3)</f>
        <v>124.33333333333333</v>
      </c>
      <c r="O8" s="21">
        <f>AVERAGEIFS(EvolucionIncidencia[[NuevosCasos]:[NuevosCasos]],EvolucionIncidencia[[DiaSemana]:[DiaSemana]],O$5,EvolucionIncidencia[[Area_Sanitaria]:[Area_Sanitaria]],$K8,EvolucionIncidencia[[Fecha]:[Fecha]],"&gt;=" &amp; $P$3,EvolucionIncidencia[[Fecha]:[Fecha]],"&lt;=" &amp; $R$3)</f>
        <v>122.66666666666667</v>
      </c>
      <c r="P8" s="21">
        <f>AVERAGEIFS(EvolucionIncidencia[[NuevosCasos]:[NuevosCasos]],EvolucionIncidencia[[DiaSemana]:[DiaSemana]],P$5,EvolucionIncidencia[[Area_Sanitaria]:[Area_Sanitaria]],$K8,EvolucionIncidencia[[Fecha]:[Fecha]],"&gt;=" &amp; $P$3,EvolucionIncidencia[[Fecha]:[Fecha]],"&lt;=" &amp; $R$3)</f>
        <v>152.66666666666666</v>
      </c>
      <c r="Q8" s="21">
        <f>AVERAGEIFS(EvolucionIncidencia[[NuevosCasos]:[NuevosCasos]],EvolucionIncidencia[[DiaSemana]:[DiaSemana]],Q$5,EvolucionIncidencia[[Area_Sanitaria]:[Area_Sanitaria]],$K8,EvolucionIncidencia[[Fecha]:[Fecha]],"&gt;=" &amp; $P$3,EvolucionIncidencia[[Fecha]:[Fecha]],"&lt;=" &amp; $R$3)</f>
        <v>129.66666666666666</v>
      </c>
      <c r="R8" s="21">
        <f>AVERAGEIFS(EvolucionIncidencia[[NuevosCasos]:[NuevosCasos]],EvolucionIncidencia[[DiaSemana]:[DiaSemana]],R$5,EvolucionIncidencia[[Area_Sanitaria]:[Area_Sanitaria]],$K8,EvolucionIncidencia[[Fecha]:[Fecha]],"&gt;=" &amp; $P$3,EvolucionIncidencia[[Fecha]:[Fecha]],"&lt;=" &amp; $R$3)</f>
        <v>90.5</v>
      </c>
    </row>
    <row r="9" spans="1:18" x14ac:dyDescent="0.3">
      <c r="B9" s="16" t="str">
        <v>A.S. OURENSE, VERÍN E O BARCO</v>
      </c>
      <c r="C9" s="21">
        <f>AVERAGEIFS(EvolucionIncidencia[[NuevosCasos]:[NuevosCasos]],EvolucionIncidencia[[DiaSemana]:[DiaSemana]],C$5,EvolucionIncidencia[[Area_Sanitaria]:[Area_Sanitaria]],$B9)</f>
        <v>92.777777777777771</v>
      </c>
      <c r="D9" s="21">
        <f>AVERAGEIFS(EvolucionIncidencia[[NuevosCasos]:[NuevosCasos]],EvolucionIncidencia[[DiaSemana]:[DiaSemana]],D$5,EvolucionIncidencia[[Area_Sanitaria]:[Area_Sanitaria]],$B9)</f>
        <v>100.55555555555556</v>
      </c>
      <c r="E9" s="21">
        <f>AVERAGEIFS(EvolucionIncidencia[[NuevosCasos]:[NuevosCasos]],EvolucionIncidencia[[DiaSemana]:[DiaSemana]],E$5,EvolucionIncidencia[[Area_Sanitaria]:[Area_Sanitaria]],$B9)</f>
        <v>107.11111111111111</v>
      </c>
      <c r="F9" s="21">
        <f>AVERAGEIFS(EvolucionIncidencia[[NuevosCasos]:[NuevosCasos]],EvolucionIncidencia[[DiaSemana]:[DiaSemana]],F$5,EvolucionIncidencia[[Area_Sanitaria]:[Area_Sanitaria]],$B9)</f>
        <v>117.77777777777777</v>
      </c>
      <c r="G9" s="21">
        <f>AVERAGEIFS(EvolucionIncidencia[[NuevosCasos]:[NuevosCasos]],EvolucionIncidencia[[DiaSemana]:[DiaSemana]],G$5,EvolucionIncidencia[[Area_Sanitaria]:[Area_Sanitaria]],$B9)</f>
        <v>99</v>
      </c>
      <c r="H9" s="21">
        <f>AVERAGEIFS(EvolucionIncidencia[[NuevosCasos]:[NuevosCasos]],EvolucionIncidencia[[DiaSemana]:[DiaSemana]],H$5,EvolucionIncidencia[[Area_Sanitaria]:[Area_Sanitaria]],$B9)</f>
        <v>87.6</v>
      </c>
      <c r="I9" s="21">
        <f>AVERAGEIFS(EvolucionIncidencia[[NuevosCasos]:[NuevosCasos]],EvolucionIncidencia[[DiaSemana]:[DiaSemana]],I$5,EvolucionIncidencia[[Area_Sanitaria]:[Area_Sanitaria]],$B9)</f>
        <v>78.7</v>
      </c>
      <c r="K9" s="16" t="str">
        <v>A.S. OURENSE, VERÍN E O BARCO</v>
      </c>
      <c r="L9" s="21">
        <f>AVERAGEIFS(EvolucionIncidencia[[NuevosCasos]:[NuevosCasos]],EvolucionIncidencia[[DiaSemana]:[DiaSemana]],L$5,EvolucionIncidencia[[Area_Sanitaria]:[Area_Sanitaria]],$K9,EvolucionIncidencia[[Fecha]:[Fecha]],"&gt;=" &amp; $P$3,EvolucionIncidencia[[Fecha]:[Fecha]],"&lt;=" &amp; $R$3)</f>
        <v>179</v>
      </c>
      <c r="M9" s="21">
        <f>AVERAGEIFS(EvolucionIncidencia[[NuevosCasos]:[NuevosCasos]],EvolucionIncidencia[[DiaSemana]:[DiaSemana]],M$5,EvolucionIncidencia[[Area_Sanitaria]:[Area_Sanitaria]],$K9,EvolucionIncidencia[[Fecha]:[Fecha]],"&gt;=" &amp; $P$3,EvolucionIncidencia[[Fecha]:[Fecha]],"&lt;=" &amp; $R$3)</f>
        <v>179</v>
      </c>
      <c r="N9" s="21">
        <f>AVERAGEIFS(EvolucionIncidencia[[NuevosCasos]:[NuevosCasos]],EvolucionIncidencia[[DiaSemana]:[DiaSemana]],N$5,EvolucionIncidencia[[Area_Sanitaria]:[Area_Sanitaria]],$K9,EvolucionIncidencia[[Fecha]:[Fecha]],"&gt;=" &amp; $P$3,EvolucionIncidencia[[Fecha]:[Fecha]],"&lt;=" &amp; $R$3)</f>
        <v>178</v>
      </c>
      <c r="O9" s="21">
        <f>AVERAGEIFS(EvolucionIncidencia[[NuevosCasos]:[NuevosCasos]],EvolucionIncidencia[[DiaSemana]:[DiaSemana]],O$5,EvolucionIncidencia[[Area_Sanitaria]:[Area_Sanitaria]],$K9,EvolucionIncidencia[[Fecha]:[Fecha]],"&gt;=" &amp; $P$3,EvolucionIncidencia[[Fecha]:[Fecha]],"&lt;=" &amp; $R$3)</f>
        <v>185</v>
      </c>
      <c r="P9" s="21">
        <f>AVERAGEIFS(EvolucionIncidencia[[NuevosCasos]:[NuevosCasos]],EvolucionIncidencia[[DiaSemana]:[DiaSemana]],P$5,EvolucionIncidencia[[Area_Sanitaria]:[Area_Sanitaria]],$K9,EvolucionIncidencia[[Fecha]:[Fecha]],"&gt;=" &amp; $P$3,EvolucionIncidencia[[Fecha]:[Fecha]],"&lt;=" &amp; $R$3)</f>
        <v>159</v>
      </c>
      <c r="Q9" s="21">
        <f>AVERAGEIFS(EvolucionIncidencia[[NuevosCasos]:[NuevosCasos]],EvolucionIncidencia[[DiaSemana]:[DiaSemana]],Q$5,EvolucionIncidencia[[Area_Sanitaria]:[Area_Sanitaria]],$K9,EvolucionIncidencia[[Fecha]:[Fecha]],"&gt;=" &amp; $P$3,EvolucionIncidencia[[Fecha]:[Fecha]],"&lt;=" &amp; $R$3)</f>
        <v>156</v>
      </c>
      <c r="R9" s="21">
        <f>AVERAGEIFS(EvolucionIncidencia[[NuevosCasos]:[NuevosCasos]],EvolucionIncidencia[[DiaSemana]:[DiaSemana]],R$5,EvolucionIncidencia[[Area_Sanitaria]:[Area_Sanitaria]],$K9,EvolucionIncidencia[[Fecha]:[Fecha]],"&gt;=" &amp; $P$3,EvolucionIncidencia[[Fecha]:[Fecha]],"&lt;=" &amp; $R$3)</f>
        <v>114.25</v>
      </c>
    </row>
    <row r="10" spans="1:18" x14ac:dyDescent="0.3">
      <c r="B10" s="16" t="str">
        <v>A.S. PONTEVEDRA E O SALNÉS</v>
      </c>
      <c r="C10" s="21">
        <f>AVERAGEIFS(EvolucionIncidencia[[NuevosCasos]:[NuevosCasos]],EvolucionIncidencia[[DiaSemana]:[DiaSemana]],C$5,EvolucionIncidencia[[Area_Sanitaria]:[Area_Sanitaria]],$B10)</f>
        <v>91</v>
      </c>
      <c r="D10" s="21">
        <f>AVERAGEIFS(EvolucionIncidencia[[NuevosCasos]:[NuevosCasos]],EvolucionIncidencia[[DiaSemana]:[DiaSemana]],D$5,EvolucionIncidencia[[Area_Sanitaria]:[Area_Sanitaria]],$B10)</f>
        <v>78.777777777777771</v>
      </c>
      <c r="E10" s="21">
        <f>AVERAGEIFS(EvolucionIncidencia[[NuevosCasos]:[NuevosCasos]],EvolucionIncidencia[[DiaSemana]:[DiaSemana]],E$5,EvolucionIncidencia[[Area_Sanitaria]:[Area_Sanitaria]],$B10)</f>
        <v>93.444444444444443</v>
      </c>
      <c r="F10" s="21">
        <f>AVERAGEIFS(EvolucionIncidencia[[NuevosCasos]:[NuevosCasos]],EvolucionIncidencia[[DiaSemana]:[DiaSemana]],F$5,EvolucionIncidencia[[Area_Sanitaria]:[Area_Sanitaria]],$B10)</f>
        <v>94.333333333333329</v>
      </c>
      <c r="G10" s="21">
        <f>AVERAGEIFS(EvolucionIncidencia[[NuevosCasos]:[NuevosCasos]],EvolucionIncidencia[[DiaSemana]:[DiaSemana]],G$5,EvolucionIncidencia[[Area_Sanitaria]:[Area_Sanitaria]],$B10)</f>
        <v>94.666666666666671</v>
      </c>
      <c r="H10" s="21">
        <f>AVERAGEIFS(EvolucionIncidencia[[NuevosCasos]:[NuevosCasos]],EvolucionIncidencia[[DiaSemana]:[DiaSemana]],H$5,EvolucionIncidencia[[Area_Sanitaria]:[Area_Sanitaria]],$B10)</f>
        <v>79.099999999999994</v>
      </c>
      <c r="I10" s="21">
        <f>AVERAGEIFS(EvolucionIncidencia[[NuevosCasos]:[NuevosCasos]],EvolucionIncidencia[[DiaSemana]:[DiaSemana]],I$5,EvolucionIncidencia[[Area_Sanitaria]:[Area_Sanitaria]],$B10)</f>
        <v>77.900000000000006</v>
      </c>
      <c r="K10" s="16" t="str">
        <v>A.S. PONTEVEDRA E O SALNÉS</v>
      </c>
      <c r="L10" s="21">
        <f>AVERAGEIFS(EvolucionIncidencia[[NuevosCasos]:[NuevosCasos]],EvolucionIncidencia[[DiaSemana]:[DiaSemana]],L$5,EvolucionIncidencia[[Area_Sanitaria]:[Area_Sanitaria]],$K10,EvolucionIncidencia[[Fecha]:[Fecha]],"&gt;=" &amp; $P$3,EvolucionIncidencia[[Fecha]:[Fecha]],"&lt;=" &amp; $R$3)</f>
        <v>156.66666666666666</v>
      </c>
      <c r="M10" s="21">
        <f>AVERAGEIFS(EvolucionIncidencia[[NuevosCasos]:[NuevosCasos]],EvolucionIncidencia[[DiaSemana]:[DiaSemana]],M$5,EvolucionIncidencia[[Area_Sanitaria]:[Area_Sanitaria]],$K10,EvolucionIncidencia[[Fecha]:[Fecha]],"&gt;=" &amp; $P$3,EvolucionIncidencia[[Fecha]:[Fecha]],"&lt;=" &amp; $R$3)</f>
        <v>144</v>
      </c>
      <c r="N10" s="21">
        <f>AVERAGEIFS(EvolucionIncidencia[[NuevosCasos]:[NuevosCasos]],EvolucionIncidencia[[DiaSemana]:[DiaSemana]],N$5,EvolucionIncidencia[[Area_Sanitaria]:[Area_Sanitaria]],$K10,EvolucionIncidencia[[Fecha]:[Fecha]],"&gt;=" &amp; $P$3,EvolucionIncidencia[[Fecha]:[Fecha]],"&lt;=" &amp; $R$3)</f>
        <v>172</v>
      </c>
      <c r="O10" s="21">
        <f>AVERAGEIFS(EvolucionIncidencia[[NuevosCasos]:[NuevosCasos]],EvolucionIncidencia[[DiaSemana]:[DiaSemana]],O$5,EvolucionIncidencia[[Area_Sanitaria]:[Area_Sanitaria]],$K10,EvolucionIncidencia[[Fecha]:[Fecha]],"&gt;=" &amp; $P$3,EvolucionIncidencia[[Fecha]:[Fecha]],"&lt;=" &amp; $R$3)</f>
        <v>165</v>
      </c>
      <c r="P10" s="21">
        <f>AVERAGEIFS(EvolucionIncidencia[[NuevosCasos]:[NuevosCasos]],EvolucionIncidencia[[DiaSemana]:[DiaSemana]],P$5,EvolucionIncidencia[[Area_Sanitaria]:[Area_Sanitaria]],$K10,EvolucionIncidencia[[Fecha]:[Fecha]],"&gt;=" &amp; $P$3,EvolucionIncidencia[[Fecha]:[Fecha]],"&lt;=" &amp; $R$3)</f>
        <v>158.66666666666666</v>
      </c>
      <c r="Q10" s="21">
        <f>AVERAGEIFS(EvolucionIncidencia[[NuevosCasos]:[NuevosCasos]],EvolucionIncidencia[[DiaSemana]:[DiaSemana]],Q$5,EvolucionIncidencia[[Area_Sanitaria]:[Area_Sanitaria]],$K10,EvolucionIncidencia[[Fecha]:[Fecha]],"&gt;=" &amp; $P$3,EvolucionIncidencia[[Fecha]:[Fecha]],"&lt;=" &amp; $R$3)</f>
        <v>138</v>
      </c>
      <c r="R10" s="21">
        <f>AVERAGEIFS(EvolucionIncidencia[[NuevosCasos]:[NuevosCasos]],EvolucionIncidencia[[DiaSemana]:[DiaSemana]],R$5,EvolucionIncidencia[[Area_Sanitaria]:[Area_Sanitaria]],$K10,EvolucionIncidencia[[Fecha]:[Fecha]],"&gt;=" &amp; $P$3,EvolucionIncidencia[[Fecha]:[Fecha]],"&lt;=" &amp; $R$3)</f>
        <v>126.25</v>
      </c>
    </row>
    <row r="11" spans="1:18" x14ac:dyDescent="0.3">
      <c r="B11" s="16" t="str">
        <v>A.S. SANTIAGO E BARBANZA</v>
      </c>
      <c r="C11" s="21">
        <f>AVERAGEIFS(EvolucionIncidencia[[NuevosCasos]:[NuevosCasos]],EvolucionIncidencia[[DiaSemana]:[DiaSemana]],C$5,EvolucionIncidencia[[Area_Sanitaria]:[Area_Sanitaria]],$B11)</f>
        <v>127.11111111111111</v>
      </c>
      <c r="D11" s="21">
        <f>AVERAGEIFS(EvolucionIncidencia[[NuevosCasos]:[NuevosCasos]],EvolucionIncidencia[[DiaSemana]:[DiaSemana]],D$5,EvolucionIncidencia[[Area_Sanitaria]:[Area_Sanitaria]],$B11)</f>
        <v>140.77777777777777</v>
      </c>
      <c r="E11" s="21">
        <f>AVERAGEIFS(EvolucionIncidencia[[NuevosCasos]:[NuevosCasos]],EvolucionIncidencia[[DiaSemana]:[DiaSemana]],E$5,EvolucionIncidencia[[Area_Sanitaria]:[Area_Sanitaria]],$B11)</f>
        <v>158.33333333333334</v>
      </c>
      <c r="F11" s="21">
        <f>AVERAGEIFS(EvolucionIncidencia[[NuevosCasos]:[NuevosCasos]],EvolucionIncidencia[[DiaSemana]:[DiaSemana]],F$5,EvolucionIncidencia[[Area_Sanitaria]:[Area_Sanitaria]],$B11)</f>
        <v>167.55555555555554</v>
      </c>
      <c r="G11" s="21">
        <f>AVERAGEIFS(EvolucionIncidencia[[NuevosCasos]:[NuevosCasos]],EvolucionIncidencia[[DiaSemana]:[DiaSemana]],G$5,EvolucionIncidencia[[Area_Sanitaria]:[Area_Sanitaria]],$B11)</f>
        <v>164</v>
      </c>
      <c r="H11" s="21">
        <f>AVERAGEIFS(EvolucionIncidencia[[NuevosCasos]:[NuevosCasos]],EvolucionIncidencia[[DiaSemana]:[DiaSemana]],H$5,EvolucionIncidencia[[Area_Sanitaria]:[Area_Sanitaria]],$B11)</f>
        <v>109.2</v>
      </c>
      <c r="I11" s="21">
        <f>AVERAGEIFS(EvolucionIncidencia[[NuevosCasos]:[NuevosCasos]],EvolucionIncidencia[[DiaSemana]:[DiaSemana]],I$5,EvolucionIncidencia[[Area_Sanitaria]:[Area_Sanitaria]],$B11)</f>
        <v>108.2</v>
      </c>
      <c r="K11" s="16" t="str">
        <v>A.S. SANTIAGO E BARBANZA</v>
      </c>
      <c r="L11" s="21">
        <f>AVERAGEIFS(EvolucionIncidencia[[NuevosCasos]:[NuevosCasos]],EvolucionIncidencia[[DiaSemana]:[DiaSemana]],L$5,EvolucionIncidencia[[Area_Sanitaria]:[Area_Sanitaria]],$K11,EvolucionIncidencia[[Fecha]:[Fecha]],"&gt;=" &amp; $P$3,EvolucionIncidencia[[Fecha]:[Fecha]],"&lt;=" &amp; $R$3)</f>
        <v>204.66666666666666</v>
      </c>
      <c r="M11" s="21">
        <f>AVERAGEIFS(EvolucionIncidencia[[NuevosCasos]:[NuevosCasos]],EvolucionIncidencia[[DiaSemana]:[DiaSemana]],M$5,EvolucionIncidencia[[Area_Sanitaria]:[Area_Sanitaria]],$K11,EvolucionIncidencia[[Fecha]:[Fecha]],"&gt;=" &amp; $P$3,EvolucionIncidencia[[Fecha]:[Fecha]],"&lt;=" &amp; $R$3)</f>
        <v>181.33333333333334</v>
      </c>
      <c r="N11" s="21">
        <f>AVERAGEIFS(EvolucionIncidencia[[NuevosCasos]:[NuevosCasos]],EvolucionIncidencia[[DiaSemana]:[DiaSemana]],N$5,EvolucionIncidencia[[Area_Sanitaria]:[Area_Sanitaria]],$K11,EvolucionIncidencia[[Fecha]:[Fecha]],"&gt;=" &amp; $P$3,EvolucionIncidencia[[Fecha]:[Fecha]],"&lt;=" &amp; $R$3)</f>
        <v>224</v>
      </c>
      <c r="O11" s="21">
        <f>AVERAGEIFS(EvolucionIncidencia[[NuevosCasos]:[NuevosCasos]],EvolucionIncidencia[[DiaSemana]:[DiaSemana]],O$5,EvolucionIncidencia[[Area_Sanitaria]:[Area_Sanitaria]],$K11,EvolucionIncidencia[[Fecha]:[Fecha]],"&gt;=" &amp; $P$3,EvolucionIncidencia[[Fecha]:[Fecha]],"&lt;=" &amp; $R$3)</f>
        <v>256</v>
      </c>
      <c r="P11" s="21">
        <f>AVERAGEIFS(EvolucionIncidencia[[NuevosCasos]:[NuevosCasos]],EvolucionIncidencia[[DiaSemana]:[DiaSemana]],P$5,EvolucionIncidencia[[Area_Sanitaria]:[Area_Sanitaria]],$K11,EvolucionIncidencia[[Fecha]:[Fecha]],"&gt;=" &amp; $P$3,EvolucionIncidencia[[Fecha]:[Fecha]],"&lt;=" &amp; $R$3)</f>
        <v>216.33333333333334</v>
      </c>
      <c r="Q11" s="21">
        <f>AVERAGEIFS(EvolucionIncidencia[[NuevosCasos]:[NuevosCasos]],EvolucionIncidencia[[DiaSemana]:[DiaSemana]],Q$5,EvolucionIncidencia[[Area_Sanitaria]:[Area_Sanitaria]],$K11,EvolucionIncidencia[[Fecha]:[Fecha]],"&gt;=" &amp; $P$3,EvolucionIncidencia[[Fecha]:[Fecha]],"&lt;=" &amp; $R$3)</f>
        <v>147.66666666666666</v>
      </c>
      <c r="R11" s="21">
        <f>AVERAGEIFS(EvolucionIncidencia[[NuevosCasos]:[NuevosCasos]],EvolucionIncidencia[[DiaSemana]:[DiaSemana]],R$5,EvolucionIncidencia[[Area_Sanitaria]:[Area_Sanitaria]],$K11,EvolucionIncidencia[[Fecha]:[Fecha]],"&gt;=" &amp; $P$3,EvolucionIncidencia[[Fecha]:[Fecha]],"&lt;=" &amp; $R$3)</f>
        <v>163.75</v>
      </c>
    </row>
    <row r="12" spans="1:18" x14ac:dyDescent="0.3">
      <c r="B12" s="16" t="str">
        <v>A.S. VIGO</v>
      </c>
      <c r="C12" s="21">
        <f>AVERAGEIFS(EvolucionIncidencia[[NuevosCasos]:[NuevosCasos]],EvolucionIncidencia[[DiaSemana]:[DiaSemana]],C$5,EvolucionIncidencia[[Area_Sanitaria]:[Area_Sanitaria]],$B12)</f>
        <v>101.33333333333333</v>
      </c>
      <c r="D12" s="21">
        <f>AVERAGEIFS(EvolucionIncidencia[[NuevosCasos]:[NuevosCasos]],EvolucionIncidencia[[DiaSemana]:[DiaSemana]],D$5,EvolucionIncidencia[[Area_Sanitaria]:[Area_Sanitaria]],$B12)</f>
        <v>154</v>
      </c>
      <c r="E12" s="21">
        <f>AVERAGEIFS(EvolucionIncidencia[[NuevosCasos]:[NuevosCasos]],EvolucionIncidencia[[DiaSemana]:[DiaSemana]],E$5,EvolucionIncidencia[[Area_Sanitaria]:[Area_Sanitaria]],$B12)</f>
        <v>173.88888888888889</v>
      </c>
      <c r="F12" s="21">
        <f>AVERAGEIFS(EvolucionIncidencia[[NuevosCasos]:[NuevosCasos]],EvolucionIncidencia[[DiaSemana]:[DiaSemana]],F$5,EvolucionIncidencia[[Area_Sanitaria]:[Area_Sanitaria]],$B12)</f>
        <v>169.44444444444446</v>
      </c>
      <c r="G12" s="21">
        <f>AVERAGEIFS(EvolucionIncidencia[[NuevosCasos]:[NuevosCasos]],EvolucionIncidencia[[DiaSemana]:[DiaSemana]],G$5,EvolucionIncidencia[[Area_Sanitaria]:[Area_Sanitaria]],$B12)</f>
        <v>170.11111111111111</v>
      </c>
      <c r="H12" s="21">
        <f>AVERAGEIFS(EvolucionIncidencia[[NuevosCasos]:[NuevosCasos]],EvolucionIncidencia[[DiaSemana]:[DiaSemana]],H$5,EvolucionIncidencia[[Area_Sanitaria]:[Area_Sanitaria]],$B12)</f>
        <v>143.1</v>
      </c>
      <c r="I12" s="21">
        <f>AVERAGEIFS(EvolucionIncidencia[[NuevosCasos]:[NuevosCasos]],EvolucionIncidencia[[DiaSemana]:[DiaSemana]],I$5,EvolucionIncidencia[[Area_Sanitaria]:[Area_Sanitaria]],$B12)</f>
        <v>99.1</v>
      </c>
      <c r="K12" s="16" t="str">
        <v>A.S. VIGO</v>
      </c>
      <c r="L12" s="21">
        <f>AVERAGEIFS(EvolucionIncidencia[[NuevosCasos]:[NuevosCasos]],EvolucionIncidencia[[DiaSemana]:[DiaSemana]],L$5,EvolucionIncidencia[[Area_Sanitaria]:[Area_Sanitaria]],$K12,EvolucionIncidencia[[Fecha]:[Fecha]],"&gt;=" &amp; $P$3,EvolucionIncidencia[[Fecha]:[Fecha]],"&lt;=" &amp; $R$3)</f>
        <v>166.33333333333334</v>
      </c>
      <c r="M12" s="21">
        <f>AVERAGEIFS(EvolucionIncidencia[[NuevosCasos]:[NuevosCasos]],EvolucionIncidencia[[DiaSemana]:[DiaSemana]],M$5,EvolucionIncidencia[[Area_Sanitaria]:[Area_Sanitaria]],$K12,EvolucionIncidencia[[Fecha]:[Fecha]],"&gt;=" &amp; $P$3,EvolucionIncidencia[[Fecha]:[Fecha]],"&lt;=" &amp; $R$3)</f>
        <v>234.33333333333334</v>
      </c>
      <c r="N12" s="21">
        <f>AVERAGEIFS(EvolucionIncidencia[[NuevosCasos]:[NuevosCasos]],EvolucionIncidencia[[DiaSemana]:[DiaSemana]],N$5,EvolucionIncidencia[[Area_Sanitaria]:[Area_Sanitaria]],$K12,EvolucionIncidencia[[Fecha]:[Fecha]],"&gt;=" &amp; $P$3,EvolucionIncidencia[[Fecha]:[Fecha]],"&lt;=" &amp; $R$3)</f>
        <v>260.66666666666669</v>
      </c>
      <c r="O12" s="21">
        <f>AVERAGEIFS(EvolucionIncidencia[[NuevosCasos]:[NuevosCasos]],EvolucionIncidencia[[DiaSemana]:[DiaSemana]],O$5,EvolucionIncidencia[[Area_Sanitaria]:[Area_Sanitaria]],$K12,EvolucionIncidencia[[Fecha]:[Fecha]],"&gt;=" &amp; $P$3,EvolucionIncidencia[[Fecha]:[Fecha]],"&lt;=" &amp; $R$3)</f>
        <v>279.33333333333331</v>
      </c>
      <c r="P12" s="21">
        <f>AVERAGEIFS(EvolucionIncidencia[[NuevosCasos]:[NuevosCasos]],EvolucionIncidencia[[DiaSemana]:[DiaSemana]],P$5,EvolucionIncidencia[[Area_Sanitaria]:[Area_Sanitaria]],$K12,EvolucionIncidencia[[Fecha]:[Fecha]],"&gt;=" &amp; $P$3,EvolucionIncidencia[[Fecha]:[Fecha]],"&lt;=" &amp; $R$3)</f>
        <v>246</v>
      </c>
      <c r="Q12" s="21">
        <f>AVERAGEIFS(EvolucionIncidencia[[NuevosCasos]:[NuevosCasos]],EvolucionIncidencia[[DiaSemana]:[DiaSemana]],Q$5,EvolucionIncidencia[[Area_Sanitaria]:[Area_Sanitaria]],$K12,EvolucionIncidencia[[Fecha]:[Fecha]],"&gt;=" &amp; $P$3,EvolucionIncidencia[[Fecha]:[Fecha]],"&lt;=" &amp; $R$3)</f>
        <v>218.33333333333334</v>
      </c>
      <c r="R12" s="21">
        <f>AVERAGEIFS(EvolucionIncidencia[[NuevosCasos]:[NuevosCasos]],EvolucionIncidencia[[DiaSemana]:[DiaSemana]],R$5,EvolucionIncidencia[[Area_Sanitaria]:[Area_Sanitaria]],$K12,EvolucionIncidencia[[Fecha]:[Fecha]],"&gt;=" &amp; $P$3,EvolucionIncidencia[[Fecha]:[Fecha]],"&lt;=" &amp; $R$3)</f>
        <v>152</v>
      </c>
    </row>
    <row r="13" spans="1:18" x14ac:dyDescent="0.3">
      <c r="B13" s="16" t="str">
        <v>GALICIA</v>
      </c>
      <c r="C13" s="21">
        <f>AVERAGEIFS(EvolucionIncidencia[[NuevosCasos]:[NuevosCasos]],EvolucionIncidencia[[DiaSemana]:[DiaSemana]],C$5,EvolucionIncidencia[[Area_Sanitaria]:[Area_Sanitaria]],$B13)</f>
        <v>654.33333333333337</v>
      </c>
      <c r="D13" s="21">
        <f>AVERAGEIFS(EvolucionIncidencia[[NuevosCasos]:[NuevosCasos]],EvolucionIncidencia[[DiaSemana]:[DiaSemana]],D$5,EvolucionIncidencia[[Area_Sanitaria]:[Area_Sanitaria]],$B13)</f>
        <v>824.55555555555554</v>
      </c>
      <c r="E13" s="21">
        <f>AVERAGEIFS(EvolucionIncidencia[[NuevosCasos]:[NuevosCasos]],EvolucionIncidencia[[DiaSemana]:[DiaSemana]],E$5,EvolucionIncidencia[[Area_Sanitaria]:[Area_Sanitaria]],$B13)</f>
        <v>877.88888888888891</v>
      </c>
      <c r="F13" s="21">
        <f>AVERAGEIFS(EvolucionIncidencia[[NuevosCasos]:[NuevosCasos]],EvolucionIncidencia[[DiaSemana]:[DiaSemana]],F$5,EvolucionIncidencia[[Area_Sanitaria]:[Area_Sanitaria]],$B13)</f>
        <v>884.88888888888891</v>
      </c>
      <c r="G13" s="21">
        <f>AVERAGEIFS(EvolucionIncidencia[[NuevosCasos]:[NuevosCasos]],EvolucionIncidencia[[DiaSemana]:[DiaSemana]],G$5,EvolucionIncidencia[[Area_Sanitaria]:[Area_Sanitaria]],$B13)</f>
        <v>900.33333333333337</v>
      </c>
      <c r="H13" s="21">
        <f>AVERAGEIFS(EvolucionIncidencia[[NuevosCasos]:[NuevosCasos]],EvolucionIncidencia[[DiaSemana]:[DiaSemana]],H$5,EvolucionIncidencia[[Area_Sanitaria]:[Area_Sanitaria]],$B13)</f>
        <v>721.5</v>
      </c>
      <c r="I13" s="21">
        <f>AVERAGEIFS(EvolucionIncidencia[[NuevosCasos]:[NuevosCasos]],EvolucionIncidencia[[DiaSemana]:[DiaSemana]],I$5,EvolucionIncidencia[[Area_Sanitaria]:[Area_Sanitaria]],$B13)</f>
        <v>630.5</v>
      </c>
      <c r="K13" s="16" t="str">
        <v>GALICIA</v>
      </c>
      <c r="L13" s="21">
        <f>AVERAGEIFS(EvolucionIncidencia[[NuevosCasos]:[NuevosCasos]],EvolucionIncidencia[[DiaSemana]:[DiaSemana]],L$5,EvolucionIncidencia[[Area_Sanitaria]:[Area_Sanitaria]],$K13,EvolucionIncidencia[[Fecha]:[Fecha]],"&gt;=" &amp; $P$3,EvolucionIncidencia[[Fecha]:[Fecha]],"&lt;=" &amp; $R$3)</f>
        <v>1198.3333333333333</v>
      </c>
      <c r="M13" s="21">
        <f>AVERAGEIFS(EvolucionIncidencia[[NuevosCasos]:[NuevosCasos]],EvolucionIncidencia[[DiaSemana]:[DiaSemana]],M$5,EvolucionIncidencia[[Area_Sanitaria]:[Area_Sanitaria]],$K13,EvolucionIncidencia[[Fecha]:[Fecha]],"&gt;=" &amp; $P$3,EvolucionIncidencia[[Fecha]:[Fecha]],"&lt;=" &amp; $R$3)</f>
        <v>1366</v>
      </c>
      <c r="N13" s="21">
        <f>AVERAGEIFS(EvolucionIncidencia[[NuevosCasos]:[NuevosCasos]],EvolucionIncidencia[[DiaSemana]:[DiaSemana]],N$5,EvolucionIncidencia[[Area_Sanitaria]:[Area_Sanitaria]],$K13,EvolucionIncidencia[[Fecha]:[Fecha]],"&gt;=" &amp; $P$3,EvolucionIncidencia[[Fecha]:[Fecha]],"&lt;=" &amp; $R$3)</f>
        <v>1459.3333333333333</v>
      </c>
      <c r="O13" s="21">
        <f>AVERAGEIFS(EvolucionIncidencia[[NuevosCasos]:[NuevosCasos]],EvolucionIncidencia[[DiaSemana]:[DiaSemana]],O$5,EvolucionIncidencia[[Area_Sanitaria]:[Area_Sanitaria]],$K13,EvolucionIncidencia[[Fecha]:[Fecha]],"&gt;=" &amp; $P$3,EvolucionIncidencia[[Fecha]:[Fecha]],"&lt;=" &amp; $R$3)</f>
        <v>1490</v>
      </c>
      <c r="P13" s="21">
        <f>AVERAGEIFS(EvolucionIncidencia[[NuevosCasos]:[NuevosCasos]],EvolucionIncidencia[[DiaSemana]:[DiaSemana]],P$5,EvolucionIncidencia[[Area_Sanitaria]:[Area_Sanitaria]],$K13,EvolucionIncidencia[[Fecha]:[Fecha]],"&gt;=" &amp; $P$3,EvolucionIncidencia[[Fecha]:[Fecha]],"&lt;=" &amp; $R$3)</f>
        <v>1433</v>
      </c>
      <c r="Q13" s="21">
        <f>AVERAGEIFS(EvolucionIncidencia[[NuevosCasos]:[NuevosCasos]],EvolucionIncidencia[[DiaSemana]:[DiaSemana]],Q$5,EvolucionIncidencia[[Area_Sanitaria]:[Area_Sanitaria]],$K13,EvolucionIncidencia[[Fecha]:[Fecha]],"&gt;=" &amp; $P$3,EvolucionIncidencia[[Fecha]:[Fecha]],"&lt;=" &amp; $R$3)</f>
        <v>1230.6666666666667</v>
      </c>
      <c r="R13" s="21">
        <f>AVERAGEIFS(EvolucionIncidencia[[NuevosCasos]:[NuevosCasos]],EvolucionIncidencia[[DiaSemana]:[DiaSemana]],R$5,EvolucionIncidencia[[Area_Sanitaria]:[Area_Sanitaria]],$K13,EvolucionIncidencia[[Fecha]:[Fecha]],"&gt;=" &amp; $P$3,EvolucionIncidencia[[Fecha]:[Fecha]],"&lt;=" &amp; $R$3)</f>
        <v>978.75</v>
      </c>
    </row>
    <row r="16" spans="1:18" x14ac:dyDescent="0.3">
      <c r="B16" s="17" t="s">
        <v>457</v>
      </c>
      <c r="C16" s="22"/>
      <c r="D16" s="22"/>
      <c r="E16" s="22"/>
      <c r="F16" s="22" t="s">
        <v>455</v>
      </c>
      <c r="G16" s="23">
        <f>MIN(EvolucionIncidencia[Fecha])</f>
        <v>44170</v>
      </c>
      <c r="H16" s="22" t="s">
        <v>456</v>
      </c>
      <c r="I16" s="23">
        <f>MAX(EvolucionIncidencia[Fecha])</f>
        <v>44234</v>
      </c>
      <c r="K16" s="17" t="s">
        <v>457</v>
      </c>
      <c r="L16" s="22"/>
      <c r="M16" s="22"/>
      <c r="N16" s="22"/>
      <c r="O16" s="22" t="s">
        <v>455</v>
      </c>
      <c r="P16" s="23">
        <f>R16-21</f>
        <v>44213</v>
      </c>
      <c r="Q16" s="22" t="s">
        <v>456</v>
      </c>
      <c r="R16" s="23">
        <f>MAX(EvolucionIncidencia[Fecha])</f>
        <v>44234</v>
      </c>
    </row>
    <row r="17" spans="2:18" x14ac:dyDescent="0.3">
      <c r="L17" s="19"/>
      <c r="M17" s="19"/>
      <c r="N17" s="19"/>
      <c r="O17" s="19"/>
      <c r="P17" s="19"/>
      <c r="Q17" s="19"/>
      <c r="R17" s="19"/>
    </row>
    <row r="18" spans="2:18" x14ac:dyDescent="0.3">
      <c r="B18" s="18" t="s">
        <v>453</v>
      </c>
      <c r="C18" s="20" t="s">
        <v>448</v>
      </c>
      <c r="D18" s="20" t="s">
        <v>449</v>
      </c>
      <c r="E18" s="20" t="s">
        <v>450</v>
      </c>
      <c r="F18" s="20" t="s">
        <v>451</v>
      </c>
      <c r="G18" s="20" t="s">
        <v>452</v>
      </c>
      <c r="H18" s="20" t="s">
        <v>446</v>
      </c>
      <c r="I18" s="20" t="s">
        <v>447</v>
      </c>
      <c r="K18" s="18" t="s">
        <v>453</v>
      </c>
      <c r="L18" s="20" t="s">
        <v>448</v>
      </c>
      <c r="M18" s="20" t="s">
        <v>449</v>
      </c>
      <c r="N18" s="20" t="s">
        <v>450</v>
      </c>
      <c r="O18" s="20" t="s">
        <v>451</v>
      </c>
      <c r="P18" s="20" t="s">
        <v>452</v>
      </c>
      <c r="Q18" s="20" t="s">
        <v>446</v>
      </c>
      <c r="R18" s="20" t="s">
        <v>447</v>
      </c>
    </row>
    <row r="19" spans="2:18" x14ac:dyDescent="0.3">
      <c r="B19" s="16" t="str" cm="1">
        <f t="array" ref="B19:B26">_xlfn.UNIQUE(EvolucionIncidencia[Area_Sanitaria])</f>
        <v>A.S. A CORUÑA E CEE</v>
      </c>
      <c r="C19" s="21">
        <f>AVERAGEIFS(EvolucionIncidencia[[Pruebas_Dia]:[Pruebas_Dia]],EvolucionIncidencia[[DiaSemana]:[DiaSemana]],C$5,EvolucionIncidencia[[Area_Sanitaria]:[Area_Sanitaria]],$B19)</f>
        <v>1500.3333333333333</v>
      </c>
      <c r="D19" s="21">
        <f>AVERAGEIFS(EvolucionIncidencia[[Pruebas_Dia]:[Pruebas_Dia]],EvolucionIncidencia[[DiaSemana]:[DiaSemana]],D$5,EvolucionIncidencia[[Area_Sanitaria]:[Area_Sanitaria]],$B19)</f>
        <v>2477.5555555555557</v>
      </c>
      <c r="E19" s="21">
        <f>AVERAGEIFS(EvolucionIncidencia[[Pruebas_Dia]:[Pruebas_Dia]],EvolucionIncidencia[[DiaSemana]:[DiaSemana]],E$5,EvolucionIncidencia[[Area_Sanitaria]:[Area_Sanitaria]],$B19)</f>
        <v>2877.4444444444443</v>
      </c>
      <c r="F19" s="21">
        <f>AVERAGEIFS(EvolucionIncidencia[[Pruebas_Dia]:[Pruebas_Dia]],EvolucionIncidencia[[DiaSemana]:[DiaSemana]],F$5,EvolucionIncidencia[[Area_Sanitaria]:[Area_Sanitaria]],$B19)</f>
        <v>2810.8888888888887</v>
      </c>
      <c r="G19" s="21">
        <f>AVERAGEIFS(EvolucionIncidencia[[Pruebas_Dia]:[Pruebas_Dia]],EvolucionIncidencia[[DiaSemana]:[DiaSemana]],G$5,EvolucionIncidencia[[Area_Sanitaria]:[Area_Sanitaria]],$B19)</f>
        <v>3199</v>
      </c>
      <c r="H19" s="21">
        <f>AVERAGEIFS(EvolucionIncidencia[[Pruebas_Dia]:[Pruebas_Dia]],EvolucionIncidencia[[DiaSemana]:[DiaSemana]],H$5,EvolucionIncidencia[[Area_Sanitaria]:[Area_Sanitaria]],$B19)</f>
        <v>2597.3000000000002</v>
      </c>
      <c r="I19" s="21">
        <f>AVERAGEIFS(EvolucionIncidencia[[Pruebas_Dia]:[Pruebas_Dia]],EvolucionIncidencia[[DiaSemana]:[DiaSemana]],I$5,EvolucionIncidencia[[Area_Sanitaria]:[Area_Sanitaria]],$B19)</f>
        <v>2450.8000000000002</v>
      </c>
      <c r="K19" s="16" t="str" cm="1">
        <f t="array" ref="K19:K26">_xlfn.UNIQUE(EvolucionIncidencia[Area_Sanitaria])</f>
        <v>A.S. A CORUÑA E CEE</v>
      </c>
      <c r="L19" s="21">
        <f>AVERAGEIFS(EvolucionIncidencia[[Pruebas_Dia]:[Pruebas_Dia]],EvolucionIncidencia[[DiaSemana]:[DiaSemana]],L$18,EvolucionIncidencia[[Area_Sanitaria]:[Area_Sanitaria]],$K19,EvolucionIncidencia[[Fecha]:[Fecha]],"&gt;=" &amp; $P$16,EvolucionIncidencia[[Fecha]:[Fecha]],"&lt;=" &amp; $R$16)</f>
        <v>2950.6666666666665</v>
      </c>
      <c r="M19" s="21">
        <f>AVERAGEIFS(EvolucionIncidencia[[Pruebas_Dia]:[Pruebas_Dia]],EvolucionIncidencia[[DiaSemana]:[DiaSemana]],M$18,EvolucionIncidencia[[Area_Sanitaria]:[Area_Sanitaria]],$K19,EvolucionIncidencia[[Fecha]:[Fecha]],"&gt;=" &amp; $P$16,EvolucionIncidencia[[Fecha]:[Fecha]],"&lt;=" &amp; $R$16)</f>
        <v>4247.666666666667</v>
      </c>
      <c r="N19" s="21">
        <f>AVERAGEIFS(EvolucionIncidencia[[Pruebas_Dia]:[Pruebas_Dia]],EvolucionIncidencia[[DiaSemana]:[DiaSemana]],N$18,EvolucionIncidencia[[Area_Sanitaria]:[Area_Sanitaria]],$K19,EvolucionIncidencia[[Fecha]:[Fecha]],"&gt;=" &amp; $P$16,EvolucionIncidencia[[Fecha]:[Fecha]],"&lt;=" &amp; $R$16)</f>
        <v>5182.333333333333</v>
      </c>
      <c r="O19" s="21">
        <f>AVERAGEIFS(EvolucionIncidencia[[Pruebas_Dia]:[Pruebas_Dia]],EvolucionIncidencia[[DiaSemana]:[DiaSemana]],O$18,EvolucionIncidencia[[Area_Sanitaria]:[Area_Sanitaria]],$K19,EvolucionIncidencia[[Fecha]:[Fecha]],"&gt;=" &amp; $P$16,EvolucionIncidencia[[Fecha]:[Fecha]],"&lt;=" &amp; $R$16)</f>
        <v>5006.666666666667</v>
      </c>
      <c r="P19" s="21">
        <f>AVERAGEIFS(EvolucionIncidencia[[Pruebas_Dia]:[Pruebas_Dia]],EvolucionIncidencia[[DiaSemana]:[DiaSemana]],P$18,EvolucionIncidencia[[Area_Sanitaria]:[Area_Sanitaria]],$K19,EvolucionIncidencia[[Fecha]:[Fecha]],"&gt;=" &amp; $P$16,EvolucionIncidencia[[Fecha]:[Fecha]],"&lt;=" &amp; $R$16)</f>
        <v>6317</v>
      </c>
      <c r="Q19" s="21">
        <f>AVERAGEIFS(EvolucionIncidencia[[Pruebas_Dia]:[Pruebas_Dia]],EvolucionIncidencia[[DiaSemana]:[DiaSemana]],Q$18,EvolucionIncidencia[[Area_Sanitaria]:[Area_Sanitaria]],$K19,EvolucionIncidencia[[Fecha]:[Fecha]],"&gt;=" &amp; $P$16,EvolucionIncidencia[[Fecha]:[Fecha]],"&lt;=" &amp; $R$16)</f>
        <v>5910</v>
      </c>
      <c r="R19" s="21">
        <f>AVERAGEIFS(EvolucionIncidencia[[Pruebas_Dia]:[Pruebas_Dia]],EvolucionIncidencia[[DiaSemana]:[DiaSemana]],R$18,EvolucionIncidencia[[Area_Sanitaria]:[Area_Sanitaria]],$K19,EvolucionIncidencia[[Fecha]:[Fecha]],"&gt;=" &amp; $P$16,EvolucionIncidencia[[Fecha]:[Fecha]],"&lt;=" &amp; $R$16)</f>
        <v>4586.75</v>
      </c>
    </row>
    <row r="20" spans="2:18" x14ac:dyDescent="0.3">
      <c r="B20" s="16" t="str">
        <v>A.S. FERROL</v>
      </c>
      <c r="C20" s="21">
        <f>AVERAGEIFS(EvolucionIncidencia[[Pruebas_Dia]:[Pruebas_Dia]],EvolucionIncidencia[[DiaSemana]:[DiaSemana]],C$5,EvolucionIncidencia[[Area_Sanitaria]:[Area_Sanitaria]],$B20)</f>
        <v>623.22222222222217</v>
      </c>
      <c r="D20" s="21">
        <f>AVERAGEIFS(EvolucionIncidencia[[Pruebas_Dia]:[Pruebas_Dia]],EvolucionIncidencia[[DiaSemana]:[DiaSemana]],D$5,EvolucionIncidencia[[Area_Sanitaria]:[Area_Sanitaria]],$B20)</f>
        <v>811.55555555555554</v>
      </c>
      <c r="E20" s="21">
        <f>AVERAGEIFS(EvolucionIncidencia[[Pruebas_Dia]:[Pruebas_Dia]],EvolucionIncidencia[[DiaSemana]:[DiaSemana]],E$5,EvolucionIncidencia[[Area_Sanitaria]:[Area_Sanitaria]],$B20)</f>
        <v>745.55555555555554</v>
      </c>
      <c r="F20" s="21">
        <f>AVERAGEIFS(EvolucionIncidencia[[Pruebas_Dia]:[Pruebas_Dia]],EvolucionIncidencia[[DiaSemana]:[DiaSemana]],F$5,EvolucionIncidencia[[Area_Sanitaria]:[Area_Sanitaria]],$B20)</f>
        <v>790.44444444444446</v>
      </c>
      <c r="G20" s="21">
        <f>AVERAGEIFS(EvolucionIncidencia[[Pruebas_Dia]:[Pruebas_Dia]],EvolucionIncidencia[[DiaSemana]:[DiaSemana]],G$5,EvolucionIncidencia[[Area_Sanitaria]:[Area_Sanitaria]],$B20)</f>
        <v>749</v>
      </c>
      <c r="H20" s="21">
        <f>AVERAGEIFS(EvolucionIncidencia[[Pruebas_Dia]:[Pruebas_Dia]],EvolucionIncidencia[[DiaSemana]:[DiaSemana]],H$5,EvolucionIncidencia[[Area_Sanitaria]:[Area_Sanitaria]],$B20)</f>
        <v>599</v>
      </c>
      <c r="I20" s="21">
        <f>AVERAGEIFS(EvolucionIncidencia[[Pruebas_Dia]:[Pruebas_Dia]],EvolucionIncidencia[[DiaSemana]:[DiaSemana]],I$5,EvolucionIncidencia[[Area_Sanitaria]:[Area_Sanitaria]],$B20)</f>
        <v>599.70000000000005</v>
      </c>
      <c r="K20" s="16" t="str">
        <v>A.S. FERROL</v>
      </c>
      <c r="L20" s="21">
        <f>AVERAGEIFS(EvolucionIncidencia[[Pruebas_Dia]:[Pruebas_Dia]],EvolucionIncidencia[[DiaSemana]:[DiaSemana]],L$18,EvolucionIncidencia[[Area_Sanitaria]:[Area_Sanitaria]],$K20,EvolucionIncidencia[[Fecha]:[Fecha]],"&gt;=" &amp; $P$16,EvolucionIncidencia[[Fecha]:[Fecha]],"&lt;=" &amp; $R$16)</f>
        <v>895</v>
      </c>
      <c r="M20" s="21">
        <f>AVERAGEIFS(EvolucionIncidencia[[Pruebas_Dia]:[Pruebas_Dia]],EvolucionIncidencia[[DiaSemana]:[DiaSemana]],M$18,EvolucionIncidencia[[Area_Sanitaria]:[Area_Sanitaria]],$K20,EvolucionIncidencia[[Fecha]:[Fecha]],"&gt;=" &amp; $P$16,EvolucionIncidencia[[Fecha]:[Fecha]],"&lt;=" &amp; $R$16)</f>
        <v>1126</v>
      </c>
      <c r="N20" s="21">
        <f>AVERAGEIFS(EvolucionIncidencia[[Pruebas_Dia]:[Pruebas_Dia]],EvolucionIncidencia[[DiaSemana]:[DiaSemana]],N$18,EvolucionIncidencia[[Area_Sanitaria]:[Area_Sanitaria]],$K20,EvolucionIncidencia[[Fecha]:[Fecha]],"&gt;=" &amp; $P$16,EvolucionIncidencia[[Fecha]:[Fecha]],"&lt;=" &amp; $R$16)</f>
        <v>1159.3333333333333</v>
      </c>
      <c r="O20" s="21">
        <f>AVERAGEIFS(EvolucionIncidencia[[Pruebas_Dia]:[Pruebas_Dia]],EvolucionIncidencia[[DiaSemana]:[DiaSemana]],O$18,EvolucionIncidencia[[Area_Sanitaria]:[Area_Sanitaria]],$K20,EvolucionIncidencia[[Fecha]:[Fecha]],"&gt;=" &amp; $P$16,EvolucionIncidencia[[Fecha]:[Fecha]],"&lt;=" &amp; $R$16)</f>
        <v>1324</v>
      </c>
      <c r="P20" s="21">
        <f>AVERAGEIFS(EvolucionIncidencia[[Pruebas_Dia]:[Pruebas_Dia]],EvolucionIncidencia[[DiaSemana]:[DiaSemana]],P$18,EvolucionIncidencia[[Area_Sanitaria]:[Area_Sanitaria]],$K20,EvolucionIncidencia[[Fecha]:[Fecha]],"&gt;=" &amp; $P$16,EvolucionIncidencia[[Fecha]:[Fecha]],"&lt;=" &amp; $R$16)</f>
        <v>1260.3333333333333</v>
      </c>
      <c r="Q20" s="21">
        <f>AVERAGEIFS(EvolucionIncidencia[[Pruebas_Dia]:[Pruebas_Dia]],EvolucionIncidencia[[DiaSemana]:[DiaSemana]],Q$18,EvolucionIncidencia[[Area_Sanitaria]:[Area_Sanitaria]],$K20,EvolucionIncidencia[[Fecha]:[Fecha]],"&gt;=" &amp; $P$16,EvolucionIncidencia[[Fecha]:[Fecha]],"&lt;=" &amp; $R$16)</f>
        <v>1002.3333333333334</v>
      </c>
      <c r="R20" s="21">
        <f>AVERAGEIFS(EvolucionIncidencia[[Pruebas_Dia]:[Pruebas_Dia]],EvolucionIncidencia[[DiaSemana]:[DiaSemana]],R$18,EvolucionIncidencia[[Area_Sanitaria]:[Area_Sanitaria]],$K20,EvolucionIncidencia[[Fecha]:[Fecha]],"&gt;=" &amp; $P$16,EvolucionIncidencia[[Fecha]:[Fecha]],"&lt;=" &amp; $R$16)</f>
        <v>718.25</v>
      </c>
    </row>
    <row r="21" spans="2:18" x14ac:dyDescent="0.3">
      <c r="B21" s="16" t="str">
        <v>A.S. LUGO, A MARIÑA E MONFORTE</v>
      </c>
      <c r="C21" s="21">
        <f>AVERAGEIFS(EvolucionIncidencia[[Pruebas_Dia]:[Pruebas_Dia]],EvolucionIncidencia[[DiaSemana]:[DiaSemana]],C$5,EvolucionIncidencia[[Area_Sanitaria]:[Area_Sanitaria]],$B21)</f>
        <v>1012</v>
      </c>
      <c r="D21" s="21">
        <f>AVERAGEIFS(EvolucionIncidencia[[Pruebas_Dia]:[Pruebas_Dia]],EvolucionIncidencia[[DiaSemana]:[DiaSemana]],D$5,EvolucionIncidencia[[Area_Sanitaria]:[Area_Sanitaria]],$B21)</f>
        <v>1332.4444444444443</v>
      </c>
      <c r="E21" s="21">
        <f>AVERAGEIFS(EvolucionIncidencia[[Pruebas_Dia]:[Pruebas_Dia]],EvolucionIncidencia[[DiaSemana]:[DiaSemana]],E$5,EvolucionIncidencia[[Area_Sanitaria]:[Area_Sanitaria]],$B21)</f>
        <v>1344.8888888888889</v>
      </c>
      <c r="F21" s="21">
        <f>AVERAGEIFS(EvolucionIncidencia[[Pruebas_Dia]:[Pruebas_Dia]],EvolucionIncidencia[[DiaSemana]:[DiaSemana]],F$5,EvolucionIncidencia[[Area_Sanitaria]:[Area_Sanitaria]],$B21)</f>
        <v>1247.5555555555557</v>
      </c>
      <c r="G21" s="21">
        <f>AVERAGEIFS(EvolucionIncidencia[[Pruebas_Dia]:[Pruebas_Dia]],EvolucionIncidencia[[DiaSemana]:[DiaSemana]],G$5,EvolucionIncidencia[[Area_Sanitaria]:[Area_Sanitaria]],$B21)</f>
        <v>1263.2222222222222</v>
      </c>
      <c r="H21" s="21">
        <f>AVERAGEIFS(EvolucionIncidencia[[Pruebas_Dia]:[Pruebas_Dia]],EvolucionIncidencia[[DiaSemana]:[DiaSemana]],H$5,EvolucionIncidencia[[Area_Sanitaria]:[Area_Sanitaria]],$B21)</f>
        <v>1061.8</v>
      </c>
      <c r="I21" s="21">
        <f>AVERAGEIFS(EvolucionIncidencia[[Pruebas_Dia]:[Pruebas_Dia]],EvolucionIncidencia[[DiaSemana]:[DiaSemana]],I$5,EvolucionIncidencia[[Area_Sanitaria]:[Area_Sanitaria]],$B21)</f>
        <v>995.4</v>
      </c>
      <c r="K21" s="16" t="str">
        <v>A.S. LUGO, A MARIÑA E MONFORTE</v>
      </c>
      <c r="L21" s="21">
        <f>AVERAGEIFS(EvolucionIncidencia[[Pruebas_Dia]:[Pruebas_Dia]],EvolucionIncidencia[[DiaSemana]:[DiaSemana]],L$18,EvolucionIncidencia[[Area_Sanitaria]:[Area_Sanitaria]],$K21,EvolucionIncidencia[[Fecha]:[Fecha]],"&gt;=" &amp; $P$16,EvolucionIncidencia[[Fecha]:[Fecha]],"&lt;=" &amp; $R$16)</f>
        <v>1431</v>
      </c>
      <c r="M21" s="21">
        <f>AVERAGEIFS(EvolucionIncidencia[[Pruebas_Dia]:[Pruebas_Dia]],EvolucionIncidencia[[DiaSemana]:[DiaSemana]],M$18,EvolucionIncidencia[[Area_Sanitaria]:[Area_Sanitaria]],$K21,EvolucionIncidencia[[Fecha]:[Fecha]],"&gt;=" &amp; $P$16,EvolucionIncidencia[[Fecha]:[Fecha]],"&lt;=" &amp; $R$16)</f>
        <v>1892</v>
      </c>
      <c r="N21" s="21">
        <f>AVERAGEIFS(EvolucionIncidencia[[Pruebas_Dia]:[Pruebas_Dia]],EvolucionIncidencia[[DiaSemana]:[DiaSemana]],N$18,EvolucionIncidencia[[Area_Sanitaria]:[Area_Sanitaria]],$K21,EvolucionIncidencia[[Fecha]:[Fecha]],"&gt;=" &amp; $P$16,EvolucionIncidencia[[Fecha]:[Fecha]],"&lt;=" &amp; $R$16)</f>
        <v>1752.3333333333333</v>
      </c>
      <c r="O21" s="21">
        <f>AVERAGEIFS(EvolucionIncidencia[[Pruebas_Dia]:[Pruebas_Dia]],EvolucionIncidencia[[DiaSemana]:[DiaSemana]],O$18,EvolucionIncidencia[[Area_Sanitaria]:[Area_Sanitaria]],$K21,EvolucionIncidencia[[Fecha]:[Fecha]],"&gt;=" &amp; $P$16,EvolucionIncidencia[[Fecha]:[Fecha]],"&lt;=" &amp; $R$16)</f>
        <v>1913.6666666666667</v>
      </c>
      <c r="P21" s="21">
        <f>AVERAGEIFS(EvolucionIncidencia[[Pruebas_Dia]:[Pruebas_Dia]],EvolucionIncidencia[[DiaSemana]:[DiaSemana]],P$18,EvolucionIncidencia[[Area_Sanitaria]:[Area_Sanitaria]],$K21,EvolucionIncidencia[[Fecha]:[Fecha]],"&gt;=" &amp; $P$16,EvolucionIncidencia[[Fecha]:[Fecha]],"&lt;=" &amp; $R$16)</f>
        <v>1955</v>
      </c>
      <c r="Q21" s="21">
        <f>AVERAGEIFS(EvolucionIncidencia[[Pruebas_Dia]:[Pruebas_Dia]],EvolucionIncidencia[[DiaSemana]:[DiaSemana]],Q$18,EvolucionIncidencia[[Area_Sanitaria]:[Area_Sanitaria]],$K21,EvolucionIncidencia[[Fecha]:[Fecha]],"&gt;=" &amp; $P$16,EvolucionIncidencia[[Fecha]:[Fecha]],"&lt;=" &amp; $R$16)</f>
        <v>1749</v>
      </c>
      <c r="R21" s="21">
        <f>AVERAGEIFS(EvolucionIncidencia[[Pruebas_Dia]:[Pruebas_Dia]],EvolucionIncidencia[[DiaSemana]:[DiaSemana]],R$18,EvolucionIncidencia[[Area_Sanitaria]:[Area_Sanitaria]],$K21,EvolucionIncidencia[[Fecha]:[Fecha]],"&gt;=" &amp; $P$16,EvolucionIncidencia[[Fecha]:[Fecha]],"&lt;=" &amp; $R$16)</f>
        <v>1318.25</v>
      </c>
    </row>
    <row r="22" spans="2:18" x14ac:dyDescent="0.3">
      <c r="B22" s="16" t="str">
        <v>A.S. OURENSE, VERÍN E O BARCO</v>
      </c>
      <c r="C22" s="21">
        <f>AVERAGEIFS(EvolucionIncidencia[[Pruebas_Dia]:[Pruebas_Dia]],EvolucionIncidencia[[DiaSemana]:[DiaSemana]],C$5,EvolucionIncidencia[[Area_Sanitaria]:[Area_Sanitaria]],$B22)</f>
        <v>1561</v>
      </c>
      <c r="D22" s="21">
        <f>AVERAGEIFS(EvolucionIncidencia[[Pruebas_Dia]:[Pruebas_Dia]],EvolucionIncidencia[[DiaSemana]:[DiaSemana]],D$5,EvolucionIncidencia[[Area_Sanitaria]:[Area_Sanitaria]],$B22)</f>
        <v>1651.3333333333333</v>
      </c>
      <c r="E22" s="21">
        <f>AVERAGEIFS(EvolucionIncidencia[[Pruebas_Dia]:[Pruebas_Dia]],EvolucionIncidencia[[DiaSemana]:[DiaSemana]],E$5,EvolucionIncidencia[[Area_Sanitaria]:[Area_Sanitaria]],$B22)</f>
        <v>1307.5555555555557</v>
      </c>
      <c r="F22" s="21">
        <f>AVERAGEIFS(EvolucionIncidencia[[Pruebas_Dia]:[Pruebas_Dia]],EvolucionIncidencia[[DiaSemana]:[DiaSemana]],F$5,EvolucionIncidencia[[Area_Sanitaria]:[Area_Sanitaria]],$B22)</f>
        <v>1465.8888888888889</v>
      </c>
      <c r="G22" s="21">
        <f>AVERAGEIFS(EvolucionIncidencia[[Pruebas_Dia]:[Pruebas_Dia]],EvolucionIncidencia[[DiaSemana]:[DiaSemana]],G$5,EvolucionIncidencia[[Area_Sanitaria]:[Area_Sanitaria]],$B22)</f>
        <v>1657.6666666666667</v>
      </c>
      <c r="H22" s="21">
        <f>AVERAGEIFS(EvolucionIncidencia[[Pruebas_Dia]:[Pruebas_Dia]],EvolucionIncidencia[[DiaSemana]:[DiaSemana]],H$5,EvolucionIncidencia[[Area_Sanitaria]:[Area_Sanitaria]],$B22)</f>
        <v>1305.7</v>
      </c>
      <c r="I22" s="21">
        <f>AVERAGEIFS(EvolucionIncidencia[[Pruebas_Dia]:[Pruebas_Dia]],EvolucionIncidencia[[DiaSemana]:[DiaSemana]],I$5,EvolucionIncidencia[[Area_Sanitaria]:[Area_Sanitaria]],$B22)</f>
        <v>1413.7</v>
      </c>
      <c r="K22" s="16" t="str">
        <v>A.S. OURENSE, VERÍN E O BARCO</v>
      </c>
      <c r="L22" s="21">
        <f>AVERAGEIFS(EvolucionIncidencia[[Pruebas_Dia]:[Pruebas_Dia]],EvolucionIncidencia[[DiaSemana]:[DiaSemana]],L$18,EvolucionIncidencia[[Area_Sanitaria]:[Area_Sanitaria]],$K22,EvolucionIncidencia[[Fecha]:[Fecha]],"&gt;=" &amp; $P$16,EvolucionIncidencia[[Fecha]:[Fecha]],"&lt;=" &amp; $R$16)</f>
        <v>2791</v>
      </c>
      <c r="M22" s="21">
        <f>AVERAGEIFS(EvolucionIncidencia[[Pruebas_Dia]:[Pruebas_Dia]],EvolucionIncidencia[[DiaSemana]:[DiaSemana]],M$18,EvolucionIncidencia[[Area_Sanitaria]:[Area_Sanitaria]],$K22,EvolucionIncidencia[[Fecha]:[Fecha]],"&gt;=" &amp; $P$16,EvolucionIncidencia[[Fecha]:[Fecha]],"&lt;=" &amp; $R$16)</f>
        <v>2909.6666666666665</v>
      </c>
      <c r="N22" s="21">
        <f>AVERAGEIFS(EvolucionIncidencia[[Pruebas_Dia]:[Pruebas_Dia]],EvolucionIncidencia[[DiaSemana]:[DiaSemana]],N$18,EvolucionIncidencia[[Area_Sanitaria]:[Area_Sanitaria]],$K22,EvolucionIncidencia[[Fecha]:[Fecha]],"&gt;=" &amp; $P$16,EvolucionIncidencia[[Fecha]:[Fecha]],"&lt;=" &amp; $R$16)</f>
        <v>1935.3333333333333</v>
      </c>
      <c r="O22" s="21">
        <f>AVERAGEIFS(EvolucionIncidencia[[Pruebas_Dia]:[Pruebas_Dia]],EvolucionIncidencia[[DiaSemana]:[DiaSemana]],O$18,EvolucionIncidencia[[Area_Sanitaria]:[Area_Sanitaria]],$K22,EvolucionIncidencia[[Fecha]:[Fecha]],"&gt;=" &amp; $P$16,EvolucionIncidencia[[Fecha]:[Fecha]],"&lt;=" &amp; $R$16)</f>
        <v>2144.6666666666665</v>
      </c>
      <c r="P22" s="21">
        <f>AVERAGEIFS(EvolucionIncidencia[[Pruebas_Dia]:[Pruebas_Dia]],EvolucionIncidencia[[DiaSemana]:[DiaSemana]],P$18,EvolucionIncidencia[[Area_Sanitaria]:[Area_Sanitaria]],$K22,EvolucionIncidencia[[Fecha]:[Fecha]],"&gt;=" &amp; $P$16,EvolucionIncidencia[[Fecha]:[Fecha]],"&lt;=" &amp; $R$16)</f>
        <v>2848.6666666666665</v>
      </c>
      <c r="Q22" s="21">
        <f>AVERAGEIFS(EvolucionIncidencia[[Pruebas_Dia]:[Pruebas_Dia]],EvolucionIncidencia[[DiaSemana]:[DiaSemana]],Q$18,EvolucionIncidencia[[Area_Sanitaria]:[Area_Sanitaria]],$K22,EvolucionIncidencia[[Fecha]:[Fecha]],"&gt;=" &amp; $P$16,EvolucionIncidencia[[Fecha]:[Fecha]],"&lt;=" &amp; $R$16)</f>
        <v>2329.3333333333335</v>
      </c>
      <c r="R22" s="21">
        <f>AVERAGEIFS(EvolucionIncidencia[[Pruebas_Dia]:[Pruebas_Dia]],EvolucionIncidencia[[DiaSemana]:[DiaSemana]],R$18,EvolucionIncidencia[[Area_Sanitaria]:[Area_Sanitaria]],$K22,EvolucionIncidencia[[Fecha]:[Fecha]],"&gt;=" &amp; $P$16,EvolucionIncidencia[[Fecha]:[Fecha]],"&lt;=" &amp; $R$16)</f>
        <v>2210.25</v>
      </c>
    </row>
    <row r="23" spans="2:18" x14ac:dyDescent="0.3">
      <c r="B23" s="16" t="str">
        <v>A.S. PONTEVEDRA E O SALNÉS</v>
      </c>
      <c r="C23" s="21">
        <f>AVERAGEIFS(EvolucionIncidencia[[Pruebas_Dia]:[Pruebas_Dia]],EvolucionIncidencia[[DiaSemana]:[DiaSemana]],C$5,EvolucionIncidencia[[Area_Sanitaria]:[Area_Sanitaria]],$B23)</f>
        <v>926.11111111111109</v>
      </c>
      <c r="D23" s="21">
        <f>AVERAGEIFS(EvolucionIncidencia[[Pruebas_Dia]:[Pruebas_Dia]],EvolucionIncidencia[[DiaSemana]:[DiaSemana]],D$5,EvolucionIncidencia[[Area_Sanitaria]:[Area_Sanitaria]],$B23)</f>
        <v>1127.7777777777778</v>
      </c>
      <c r="E23" s="21">
        <f>AVERAGEIFS(EvolucionIncidencia[[Pruebas_Dia]:[Pruebas_Dia]],EvolucionIncidencia[[DiaSemana]:[DiaSemana]],E$5,EvolucionIncidencia[[Area_Sanitaria]:[Area_Sanitaria]],$B23)</f>
        <v>1307.5555555555557</v>
      </c>
      <c r="F23" s="21">
        <f>AVERAGEIFS(EvolucionIncidencia[[Pruebas_Dia]:[Pruebas_Dia]],EvolucionIncidencia[[DiaSemana]:[DiaSemana]],F$5,EvolucionIncidencia[[Area_Sanitaria]:[Area_Sanitaria]],$B23)</f>
        <v>1402.3333333333333</v>
      </c>
      <c r="G23" s="21">
        <f>AVERAGEIFS(EvolucionIncidencia[[Pruebas_Dia]:[Pruebas_Dia]],EvolucionIncidencia[[DiaSemana]:[DiaSemana]],G$5,EvolucionIncidencia[[Area_Sanitaria]:[Area_Sanitaria]],$B23)</f>
        <v>1371.2222222222222</v>
      </c>
      <c r="H23" s="21">
        <f>AVERAGEIFS(EvolucionIncidencia[[Pruebas_Dia]:[Pruebas_Dia]],EvolucionIncidencia[[DiaSemana]:[DiaSemana]],H$5,EvolucionIncidencia[[Area_Sanitaria]:[Area_Sanitaria]],$B23)</f>
        <v>1134.9000000000001</v>
      </c>
      <c r="I23" s="21">
        <f>AVERAGEIFS(EvolucionIncidencia[[Pruebas_Dia]:[Pruebas_Dia]],EvolucionIncidencia[[DiaSemana]:[DiaSemana]],I$5,EvolucionIncidencia[[Area_Sanitaria]:[Area_Sanitaria]],$B23)</f>
        <v>825.6</v>
      </c>
      <c r="K23" s="16" t="str">
        <v>A.S. PONTEVEDRA E O SALNÉS</v>
      </c>
      <c r="L23" s="21">
        <f>AVERAGEIFS(EvolucionIncidencia[[Pruebas_Dia]:[Pruebas_Dia]],EvolucionIncidencia[[DiaSemana]:[DiaSemana]],L$18,EvolucionIncidencia[[Area_Sanitaria]:[Area_Sanitaria]],$K23,EvolucionIncidencia[[Fecha]:[Fecha]],"&gt;=" &amp; $P$16,EvolucionIncidencia[[Fecha]:[Fecha]],"&lt;=" &amp; $R$16)</f>
        <v>1363.3333333333333</v>
      </c>
      <c r="M23" s="21">
        <f>AVERAGEIFS(EvolucionIncidencia[[Pruebas_Dia]:[Pruebas_Dia]],EvolucionIncidencia[[DiaSemana]:[DiaSemana]],M$18,EvolucionIncidencia[[Area_Sanitaria]:[Area_Sanitaria]],$K23,EvolucionIncidencia[[Fecha]:[Fecha]],"&gt;=" &amp; $P$16,EvolucionIncidencia[[Fecha]:[Fecha]],"&lt;=" &amp; $R$16)</f>
        <v>1557</v>
      </c>
      <c r="N23" s="21">
        <f>AVERAGEIFS(EvolucionIncidencia[[Pruebas_Dia]:[Pruebas_Dia]],EvolucionIncidencia[[DiaSemana]:[DiaSemana]],N$18,EvolucionIncidencia[[Area_Sanitaria]:[Area_Sanitaria]],$K23,EvolucionIncidencia[[Fecha]:[Fecha]],"&gt;=" &amp; $P$16,EvolucionIncidencia[[Fecha]:[Fecha]],"&lt;=" &amp; $R$16)</f>
        <v>2033.3333333333333</v>
      </c>
      <c r="O23" s="21">
        <f>AVERAGEIFS(EvolucionIncidencia[[Pruebas_Dia]:[Pruebas_Dia]],EvolucionIncidencia[[DiaSemana]:[DiaSemana]],O$18,EvolucionIncidencia[[Area_Sanitaria]:[Area_Sanitaria]],$K23,EvolucionIncidencia[[Fecha]:[Fecha]],"&gt;=" &amp; $P$16,EvolucionIncidencia[[Fecha]:[Fecha]],"&lt;=" &amp; $R$16)</f>
        <v>2321.6666666666665</v>
      </c>
      <c r="P23" s="21">
        <f>AVERAGEIFS(EvolucionIncidencia[[Pruebas_Dia]:[Pruebas_Dia]],EvolucionIncidencia[[DiaSemana]:[DiaSemana]],P$18,EvolucionIncidencia[[Area_Sanitaria]:[Area_Sanitaria]],$K23,EvolucionIncidencia[[Fecha]:[Fecha]],"&gt;=" &amp; $P$16,EvolucionIncidencia[[Fecha]:[Fecha]],"&lt;=" &amp; $R$16)</f>
        <v>2568</v>
      </c>
      <c r="Q23" s="21">
        <f>AVERAGEIFS(EvolucionIncidencia[[Pruebas_Dia]:[Pruebas_Dia]],EvolucionIncidencia[[DiaSemana]:[DiaSemana]],Q$18,EvolucionIncidencia[[Area_Sanitaria]:[Area_Sanitaria]],$K23,EvolucionIncidencia[[Fecha]:[Fecha]],"&gt;=" &amp; $P$16,EvolucionIncidencia[[Fecha]:[Fecha]],"&lt;=" &amp; $R$16)</f>
        <v>2048</v>
      </c>
      <c r="R23" s="21">
        <f>AVERAGEIFS(EvolucionIncidencia[[Pruebas_Dia]:[Pruebas_Dia]],EvolucionIncidencia[[DiaSemana]:[DiaSemana]],R$18,EvolucionIncidencia[[Area_Sanitaria]:[Area_Sanitaria]],$K23,EvolucionIncidencia[[Fecha]:[Fecha]],"&gt;=" &amp; $P$16,EvolucionIncidencia[[Fecha]:[Fecha]],"&lt;=" &amp; $R$16)</f>
        <v>1193.25</v>
      </c>
    </row>
    <row r="24" spans="2:18" x14ac:dyDescent="0.3">
      <c r="B24" s="16" t="str">
        <v>A.S. SANTIAGO E BARBANZA</v>
      </c>
      <c r="C24" s="21">
        <f>AVERAGEIFS(EvolucionIncidencia[[Pruebas_Dia]:[Pruebas_Dia]],EvolucionIncidencia[[DiaSemana]:[DiaSemana]],C$5,EvolucionIncidencia[[Area_Sanitaria]:[Area_Sanitaria]],$B24)</f>
        <v>2052.3333333333335</v>
      </c>
      <c r="D24" s="21">
        <f>AVERAGEIFS(EvolucionIncidencia[[Pruebas_Dia]:[Pruebas_Dia]],EvolucionIncidencia[[DiaSemana]:[DiaSemana]],D$5,EvolucionIncidencia[[Area_Sanitaria]:[Area_Sanitaria]],$B24)</f>
        <v>2470.8888888888887</v>
      </c>
      <c r="E24" s="21">
        <f>AVERAGEIFS(EvolucionIncidencia[[Pruebas_Dia]:[Pruebas_Dia]],EvolucionIncidencia[[DiaSemana]:[DiaSemana]],E$5,EvolucionIncidencia[[Area_Sanitaria]:[Area_Sanitaria]],$B24)</f>
        <v>2434.3333333333335</v>
      </c>
      <c r="F24" s="21">
        <f>AVERAGEIFS(EvolucionIncidencia[[Pruebas_Dia]:[Pruebas_Dia]],EvolucionIncidencia[[DiaSemana]:[DiaSemana]],F$5,EvolucionIncidencia[[Area_Sanitaria]:[Area_Sanitaria]],$B24)</f>
        <v>2498.8888888888887</v>
      </c>
      <c r="G24" s="21">
        <f>AVERAGEIFS(EvolucionIncidencia[[Pruebas_Dia]:[Pruebas_Dia]],EvolucionIncidencia[[DiaSemana]:[DiaSemana]],G$5,EvolucionIncidencia[[Area_Sanitaria]:[Area_Sanitaria]],$B24)</f>
        <v>2446.7777777777778</v>
      </c>
      <c r="H24" s="21">
        <f>AVERAGEIFS(EvolucionIncidencia[[Pruebas_Dia]:[Pruebas_Dia]],EvolucionIncidencia[[DiaSemana]:[DiaSemana]],H$5,EvolucionIncidencia[[Area_Sanitaria]:[Area_Sanitaria]],$B24)</f>
        <v>2307.6</v>
      </c>
      <c r="I24" s="21">
        <f>AVERAGEIFS(EvolucionIncidencia[[Pruebas_Dia]:[Pruebas_Dia]],EvolucionIncidencia[[DiaSemana]:[DiaSemana]],I$5,EvolucionIncidencia[[Area_Sanitaria]:[Area_Sanitaria]],$B24)</f>
        <v>2463.1999999999998</v>
      </c>
      <c r="K24" s="16" t="str">
        <v>A.S. SANTIAGO E BARBANZA</v>
      </c>
      <c r="L24" s="21">
        <f>AVERAGEIFS(EvolucionIncidencia[[Pruebas_Dia]:[Pruebas_Dia]],EvolucionIncidencia[[DiaSemana]:[DiaSemana]],L$18,EvolucionIncidencia[[Area_Sanitaria]:[Area_Sanitaria]],$K24,EvolucionIncidencia[[Fecha]:[Fecha]],"&gt;=" &amp; $P$16,EvolucionIncidencia[[Fecha]:[Fecha]],"&lt;=" &amp; $R$16)</f>
        <v>3148.6666666666665</v>
      </c>
      <c r="M24" s="21">
        <f>AVERAGEIFS(EvolucionIncidencia[[Pruebas_Dia]:[Pruebas_Dia]],EvolucionIncidencia[[DiaSemana]:[DiaSemana]],M$18,EvolucionIncidencia[[Area_Sanitaria]:[Area_Sanitaria]],$K24,EvolucionIncidencia[[Fecha]:[Fecha]],"&gt;=" &amp; $P$16,EvolucionIncidencia[[Fecha]:[Fecha]],"&lt;=" &amp; $R$16)</f>
        <v>3443.3333333333335</v>
      </c>
      <c r="N24" s="21">
        <f>AVERAGEIFS(EvolucionIncidencia[[Pruebas_Dia]:[Pruebas_Dia]],EvolucionIncidencia[[DiaSemana]:[DiaSemana]],N$18,EvolucionIncidencia[[Area_Sanitaria]:[Area_Sanitaria]],$K24,EvolucionIncidencia[[Fecha]:[Fecha]],"&gt;=" &amp; $P$16,EvolucionIncidencia[[Fecha]:[Fecha]],"&lt;=" &amp; $R$16)</f>
        <v>3254</v>
      </c>
      <c r="O24" s="21">
        <f>AVERAGEIFS(EvolucionIncidencia[[Pruebas_Dia]:[Pruebas_Dia]],EvolucionIncidencia[[DiaSemana]:[DiaSemana]],O$18,EvolucionIncidencia[[Area_Sanitaria]:[Area_Sanitaria]],$K24,EvolucionIncidencia[[Fecha]:[Fecha]],"&gt;=" &amp; $P$16,EvolucionIncidencia[[Fecha]:[Fecha]],"&lt;=" &amp; $R$16)</f>
        <v>3515.6666666666665</v>
      </c>
      <c r="P24" s="21">
        <f>AVERAGEIFS(EvolucionIncidencia[[Pruebas_Dia]:[Pruebas_Dia]],EvolucionIncidencia[[DiaSemana]:[DiaSemana]],P$18,EvolucionIncidencia[[Area_Sanitaria]:[Area_Sanitaria]],$K24,EvolucionIncidencia[[Fecha]:[Fecha]],"&gt;=" &amp; $P$16,EvolucionIncidencia[[Fecha]:[Fecha]],"&lt;=" &amp; $R$16)</f>
        <v>3463.3333333333335</v>
      </c>
      <c r="Q24" s="21">
        <f>AVERAGEIFS(EvolucionIncidencia[[Pruebas_Dia]:[Pruebas_Dia]],EvolucionIncidencia[[DiaSemana]:[DiaSemana]],Q$18,EvolucionIncidencia[[Area_Sanitaria]:[Area_Sanitaria]],$K24,EvolucionIncidencia[[Fecha]:[Fecha]],"&gt;=" &amp; $P$16,EvolucionIncidencia[[Fecha]:[Fecha]],"&lt;=" &amp; $R$16)</f>
        <v>4175</v>
      </c>
      <c r="R24" s="21">
        <f>AVERAGEIFS(EvolucionIncidencia[[Pruebas_Dia]:[Pruebas_Dia]],EvolucionIncidencia[[DiaSemana]:[DiaSemana]],R$18,EvolucionIncidencia[[Area_Sanitaria]:[Area_Sanitaria]],$K24,EvolucionIncidencia[[Fecha]:[Fecha]],"&gt;=" &amp; $P$16,EvolucionIncidencia[[Fecha]:[Fecha]],"&lt;=" &amp; $R$16)</f>
        <v>3824.5</v>
      </c>
    </row>
    <row r="25" spans="2:18" x14ac:dyDescent="0.3">
      <c r="B25" s="16" t="str">
        <v>A.S. VIGO</v>
      </c>
      <c r="C25" s="21">
        <f>AVERAGEIFS(EvolucionIncidencia[[Pruebas_Dia]:[Pruebas_Dia]],EvolucionIncidencia[[DiaSemana]:[DiaSemana]],C$5,EvolucionIncidencia[[Area_Sanitaria]:[Area_Sanitaria]],$B25)</f>
        <v>2272.4444444444443</v>
      </c>
      <c r="D25" s="21">
        <f>AVERAGEIFS(EvolucionIncidencia[[Pruebas_Dia]:[Pruebas_Dia]],EvolucionIncidencia[[DiaSemana]:[DiaSemana]],D$5,EvolucionIncidencia[[Area_Sanitaria]:[Area_Sanitaria]],$B25)</f>
        <v>2800.2222222222222</v>
      </c>
      <c r="E25" s="21">
        <f>AVERAGEIFS(EvolucionIncidencia[[Pruebas_Dia]:[Pruebas_Dia]],EvolucionIncidencia[[DiaSemana]:[DiaSemana]],E$5,EvolucionIncidencia[[Area_Sanitaria]:[Area_Sanitaria]],$B25)</f>
        <v>3067.5555555555557</v>
      </c>
      <c r="F25" s="21">
        <f>AVERAGEIFS(EvolucionIncidencia[[Pruebas_Dia]:[Pruebas_Dia]],EvolucionIncidencia[[DiaSemana]:[DiaSemana]],F$5,EvolucionIncidencia[[Area_Sanitaria]:[Area_Sanitaria]],$B25)</f>
        <v>2652</v>
      </c>
      <c r="G25" s="21">
        <f>AVERAGEIFS(EvolucionIncidencia[[Pruebas_Dia]:[Pruebas_Dia]],EvolucionIncidencia[[DiaSemana]:[DiaSemana]],G$5,EvolucionIncidencia[[Area_Sanitaria]:[Area_Sanitaria]],$B25)</f>
        <v>2049.6666666666665</v>
      </c>
      <c r="H25" s="21">
        <f>AVERAGEIFS(EvolucionIncidencia[[Pruebas_Dia]:[Pruebas_Dia]],EvolucionIncidencia[[DiaSemana]:[DiaSemana]],H$5,EvolucionIncidencia[[Area_Sanitaria]:[Area_Sanitaria]],$B25)</f>
        <v>2307.8000000000002</v>
      </c>
      <c r="I25" s="21">
        <f>AVERAGEIFS(EvolucionIncidencia[[Pruebas_Dia]:[Pruebas_Dia]],EvolucionIncidencia[[DiaSemana]:[DiaSemana]],I$5,EvolucionIncidencia[[Area_Sanitaria]:[Area_Sanitaria]],$B25)</f>
        <v>2254.5</v>
      </c>
      <c r="K25" s="16" t="str">
        <v>A.S. VIGO</v>
      </c>
      <c r="L25" s="21">
        <f>AVERAGEIFS(EvolucionIncidencia[[Pruebas_Dia]:[Pruebas_Dia]],EvolucionIncidencia[[DiaSemana]:[DiaSemana]],L$18,EvolucionIncidencia[[Area_Sanitaria]:[Area_Sanitaria]],$K25,EvolucionIncidencia[[Fecha]:[Fecha]],"&gt;=" &amp; $P$16,EvolucionIncidencia[[Fecha]:[Fecha]],"&lt;=" &amp; $R$16)</f>
        <v>3672</v>
      </c>
      <c r="M25" s="21">
        <f>AVERAGEIFS(EvolucionIncidencia[[Pruebas_Dia]:[Pruebas_Dia]],EvolucionIncidencia[[DiaSemana]:[DiaSemana]],M$18,EvolucionIncidencia[[Area_Sanitaria]:[Area_Sanitaria]],$K25,EvolucionIncidencia[[Fecha]:[Fecha]],"&gt;=" &amp; $P$16,EvolucionIncidencia[[Fecha]:[Fecha]],"&lt;=" &amp; $R$16)</f>
        <v>4320</v>
      </c>
      <c r="N25" s="21">
        <f>AVERAGEIFS(EvolucionIncidencia[[Pruebas_Dia]:[Pruebas_Dia]],EvolucionIncidencia[[DiaSemana]:[DiaSemana]],N$18,EvolucionIncidencia[[Area_Sanitaria]:[Area_Sanitaria]],$K25,EvolucionIncidencia[[Fecha]:[Fecha]],"&gt;=" &amp; $P$16,EvolucionIncidencia[[Fecha]:[Fecha]],"&lt;=" &amp; $R$16)</f>
        <v>4499.333333333333</v>
      </c>
      <c r="O25" s="21">
        <f>AVERAGEIFS(EvolucionIncidencia[[Pruebas_Dia]:[Pruebas_Dia]],EvolucionIncidencia[[DiaSemana]:[DiaSemana]],O$18,EvolucionIncidencia[[Area_Sanitaria]:[Area_Sanitaria]],$K25,EvolucionIncidencia[[Fecha]:[Fecha]],"&gt;=" &amp; $P$16,EvolucionIncidencia[[Fecha]:[Fecha]],"&lt;=" &amp; $R$16)</f>
        <v>4320.333333333333</v>
      </c>
      <c r="P25" s="21">
        <f>AVERAGEIFS(EvolucionIncidencia[[Pruebas_Dia]:[Pruebas_Dia]],EvolucionIncidencia[[DiaSemana]:[DiaSemana]],P$18,EvolucionIncidencia[[Area_Sanitaria]:[Area_Sanitaria]],$K25,EvolucionIncidencia[[Fecha]:[Fecha]],"&gt;=" &amp; $P$16,EvolucionIncidencia[[Fecha]:[Fecha]],"&lt;=" &amp; $R$16)</f>
        <v>2649</v>
      </c>
      <c r="Q25" s="21">
        <f>AVERAGEIFS(EvolucionIncidencia[[Pruebas_Dia]:[Pruebas_Dia]],EvolucionIncidencia[[DiaSemana]:[DiaSemana]],Q$18,EvolucionIncidencia[[Area_Sanitaria]:[Area_Sanitaria]],$K25,EvolucionIncidencia[[Fecha]:[Fecha]],"&gt;=" &amp; $P$16,EvolucionIncidencia[[Fecha]:[Fecha]],"&lt;=" &amp; $R$16)</f>
        <v>3327.3333333333335</v>
      </c>
      <c r="R25" s="21">
        <f>AVERAGEIFS(EvolucionIncidencia[[Pruebas_Dia]:[Pruebas_Dia]],EvolucionIncidencia[[DiaSemana]:[DiaSemana]],R$18,EvolucionIncidencia[[Area_Sanitaria]:[Area_Sanitaria]],$K25,EvolucionIncidencia[[Fecha]:[Fecha]],"&gt;=" &amp; $P$16,EvolucionIncidencia[[Fecha]:[Fecha]],"&lt;=" &amp; $R$16)</f>
        <v>3332.5</v>
      </c>
    </row>
    <row r="26" spans="2:18" x14ac:dyDescent="0.3">
      <c r="B26" s="16" t="str">
        <v>GALICIA</v>
      </c>
      <c r="C26" s="21">
        <f>AVERAGEIFS(EvolucionIncidencia[[Pruebas_Dia]:[Pruebas_Dia]],EvolucionIncidencia[[DiaSemana]:[DiaSemana]],C$5,EvolucionIncidencia[[Area_Sanitaria]:[Area_Sanitaria]],$B26)</f>
        <v>9947.4444444444453</v>
      </c>
      <c r="D26" s="21">
        <f>AVERAGEIFS(EvolucionIncidencia[[Pruebas_Dia]:[Pruebas_Dia]],EvolucionIncidencia[[DiaSemana]:[DiaSemana]],D$5,EvolucionIncidencia[[Area_Sanitaria]:[Area_Sanitaria]],$B26)</f>
        <v>12671.777777777777</v>
      </c>
      <c r="E26" s="21">
        <f>AVERAGEIFS(EvolucionIncidencia[[Pruebas_Dia]:[Pruebas_Dia]],EvolucionIncidencia[[DiaSemana]:[DiaSemana]],E$5,EvolucionIncidencia[[Area_Sanitaria]:[Area_Sanitaria]],$B26)</f>
        <v>13084.888888888889</v>
      </c>
      <c r="F26" s="21">
        <f>AVERAGEIFS(EvolucionIncidencia[[Pruebas_Dia]:[Pruebas_Dia]],EvolucionIncidencia[[DiaSemana]:[DiaSemana]],F$5,EvolucionIncidencia[[Area_Sanitaria]:[Area_Sanitaria]],$B26)</f>
        <v>12868</v>
      </c>
      <c r="G26" s="21">
        <f>AVERAGEIFS(EvolucionIncidencia[[Pruebas_Dia]:[Pruebas_Dia]],EvolucionIncidencia[[DiaSemana]:[DiaSemana]],G$5,EvolucionIncidencia[[Area_Sanitaria]:[Area_Sanitaria]],$B26)</f>
        <v>12736.555555555555</v>
      </c>
      <c r="H26" s="21">
        <f>AVERAGEIFS(EvolucionIncidencia[[Pruebas_Dia]:[Pruebas_Dia]],EvolucionIncidencia[[DiaSemana]:[DiaSemana]],H$5,EvolucionIncidencia[[Area_Sanitaria]:[Area_Sanitaria]],$B26)</f>
        <v>11314.1</v>
      </c>
      <c r="I26" s="21">
        <f>AVERAGEIFS(EvolucionIncidencia[[Pruebas_Dia]:[Pruebas_Dia]],EvolucionIncidencia[[DiaSemana]:[DiaSemana]],I$5,EvolucionIncidencia[[Area_Sanitaria]:[Area_Sanitaria]],$B26)</f>
        <v>11002.9</v>
      </c>
      <c r="K26" s="16" t="str">
        <v>GALICIA</v>
      </c>
      <c r="L26" s="21">
        <f>AVERAGEIFS(EvolucionIncidencia[[Pruebas_Dia]:[Pruebas_Dia]],EvolucionIncidencia[[DiaSemana]:[DiaSemana]],L$18,EvolucionIncidencia[[Area_Sanitaria]:[Area_Sanitaria]],$K26,EvolucionIncidencia[[Fecha]:[Fecha]],"&gt;=" &amp; $P$16,EvolucionIncidencia[[Fecha]:[Fecha]],"&lt;=" &amp; $R$16)</f>
        <v>16251.666666666666</v>
      </c>
      <c r="M26" s="21">
        <f>AVERAGEIFS(EvolucionIncidencia[[Pruebas_Dia]:[Pruebas_Dia]],EvolucionIncidencia[[DiaSemana]:[DiaSemana]],M$18,EvolucionIncidencia[[Area_Sanitaria]:[Area_Sanitaria]],$K26,EvolucionIncidencia[[Fecha]:[Fecha]],"&gt;=" &amp; $P$16,EvolucionIncidencia[[Fecha]:[Fecha]],"&lt;=" &amp; $R$16)</f>
        <v>19495.666666666668</v>
      </c>
      <c r="N26" s="21">
        <f>AVERAGEIFS(EvolucionIncidencia[[Pruebas_Dia]:[Pruebas_Dia]],EvolucionIncidencia[[DiaSemana]:[DiaSemana]],N$18,EvolucionIncidencia[[Area_Sanitaria]:[Area_Sanitaria]],$K26,EvolucionIncidencia[[Fecha]:[Fecha]],"&gt;=" &amp; $P$16,EvolucionIncidencia[[Fecha]:[Fecha]],"&lt;=" &amp; $R$16)</f>
        <v>19816</v>
      </c>
      <c r="O26" s="21">
        <f>AVERAGEIFS(EvolucionIncidencia[[Pruebas_Dia]:[Pruebas_Dia]],EvolucionIncidencia[[DiaSemana]:[DiaSemana]],O$18,EvolucionIncidencia[[Area_Sanitaria]:[Area_Sanitaria]],$K26,EvolucionIncidencia[[Fecha]:[Fecha]],"&gt;=" &amp; $P$16,EvolucionIncidencia[[Fecha]:[Fecha]],"&lt;=" &amp; $R$16)</f>
        <v>20546.666666666668</v>
      </c>
      <c r="P26" s="21">
        <f>AVERAGEIFS(EvolucionIncidencia[[Pruebas_Dia]:[Pruebas_Dia]],EvolucionIncidencia[[DiaSemana]:[DiaSemana]],P$18,EvolucionIncidencia[[Area_Sanitaria]:[Area_Sanitaria]],$K26,EvolucionIncidencia[[Fecha]:[Fecha]],"&gt;=" &amp; $P$16,EvolucionIncidencia[[Fecha]:[Fecha]],"&lt;=" &amp; $R$16)</f>
        <v>21061.333333333332</v>
      </c>
      <c r="Q26" s="21">
        <f>AVERAGEIFS(EvolucionIncidencia[[Pruebas_Dia]:[Pruebas_Dia]],EvolucionIncidencia[[DiaSemana]:[DiaSemana]],Q$18,EvolucionIncidencia[[Area_Sanitaria]:[Area_Sanitaria]],$K26,EvolucionIncidencia[[Fecha]:[Fecha]],"&gt;=" &amp; $P$16,EvolucionIncidencia[[Fecha]:[Fecha]],"&lt;=" &amp; $R$16)</f>
        <v>20541</v>
      </c>
      <c r="R26" s="21">
        <f>AVERAGEIFS(EvolucionIncidencia[[Pruebas_Dia]:[Pruebas_Dia]],EvolucionIncidencia[[DiaSemana]:[DiaSemana]],R$18,EvolucionIncidencia[[Area_Sanitaria]:[Area_Sanitaria]],$K26,EvolucionIncidencia[[Fecha]:[Fecha]],"&gt;=" &amp; $P$16,EvolucionIncidencia[[Fecha]:[Fecha]],"&lt;=" &amp; $R$16)</f>
        <v>17183.75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696D90-14C1-4BC3-8E00-751FBD4DD7C2}">
  <dimension ref="B24:D79"/>
  <sheetViews>
    <sheetView showGridLines="0" workbookViewId="0">
      <selection activeCell="S19" sqref="S18:S19"/>
    </sheetView>
  </sheetViews>
  <sheetFormatPr defaultRowHeight="14.4" x14ac:dyDescent="0.3"/>
  <cols>
    <col min="2" max="2" width="12.77734375" bestFit="1" customWidth="1"/>
    <col min="3" max="3" width="15.5546875" bestFit="1" customWidth="1"/>
    <col min="4" max="4" width="16.5546875" bestFit="1" customWidth="1"/>
  </cols>
  <sheetData>
    <row r="24" spans="2:4" x14ac:dyDescent="0.3">
      <c r="B24" s="11" t="s">
        <v>0</v>
      </c>
      <c r="C24" t="s">
        <v>471</v>
      </c>
    </row>
    <row r="26" spans="2:4" x14ac:dyDescent="0.3">
      <c r="B26" s="11" t="s">
        <v>341</v>
      </c>
      <c r="C26" t="s">
        <v>469</v>
      </c>
      <c r="D26" t="s">
        <v>468</v>
      </c>
    </row>
    <row r="27" spans="2:4" x14ac:dyDescent="0.3">
      <c r="B27" s="12" t="s">
        <v>382</v>
      </c>
      <c r="C27" s="2">
        <v>0.11916750587445452</v>
      </c>
      <c r="D27" s="2">
        <v>0.1230457973146956</v>
      </c>
    </row>
    <row r="28" spans="2:4" x14ac:dyDescent="0.3">
      <c r="B28" s="12" t="s">
        <v>383</v>
      </c>
      <c r="C28" s="2">
        <v>0.12755958375293722</v>
      </c>
      <c r="D28" s="2">
        <v>0.12801177119735149</v>
      </c>
    </row>
    <row r="29" spans="2:4" x14ac:dyDescent="0.3">
      <c r="B29" s="12" t="s">
        <v>384</v>
      </c>
      <c r="C29" s="2">
        <v>0.12353138637126553</v>
      </c>
      <c r="D29" s="2">
        <v>0.12801177119735149</v>
      </c>
    </row>
    <row r="30" spans="2:4" x14ac:dyDescent="0.3">
      <c r="B30" s="12" t="s">
        <v>385</v>
      </c>
      <c r="C30" s="2">
        <v>0.12420275260154415</v>
      </c>
      <c r="D30" s="2">
        <v>0.12543682177671511</v>
      </c>
    </row>
    <row r="31" spans="2:4" x14ac:dyDescent="0.3">
      <c r="B31" s="12" t="s">
        <v>386</v>
      </c>
      <c r="C31" s="2">
        <v>0.130580731789191</v>
      </c>
      <c r="D31" s="2">
        <v>0.12856354607320214</v>
      </c>
    </row>
    <row r="32" spans="2:4" x14ac:dyDescent="0.3">
      <c r="B32" s="12" t="s">
        <v>367</v>
      </c>
      <c r="C32" s="2">
        <v>0.13024504867405171</v>
      </c>
      <c r="D32" s="2">
        <v>0.13169027036968917</v>
      </c>
    </row>
    <row r="33" spans="2:4" x14ac:dyDescent="0.3">
      <c r="B33" s="12" t="s">
        <v>343</v>
      </c>
      <c r="C33" s="2">
        <v>0.1379657603222558</v>
      </c>
      <c r="D33" s="2">
        <v>0.1361044693764944</v>
      </c>
    </row>
    <row r="34" spans="2:4" x14ac:dyDescent="0.3">
      <c r="B34" s="12" t="s">
        <v>344</v>
      </c>
      <c r="C34" s="2">
        <v>0.13192346424974824</v>
      </c>
      <c r="D34" s="2">
        <v>0.13757586904542946</v>
      </c>
    </row>
    <row r="35" spans="2:4" x14ac:dyDescent="0.3">
      <c r="B35" s="12" t="s">
        <v>345</v>
      </c>
      <c r="C35" s="2">
        <v>0.12151728768042967</v>
      </c>
      <c r="D35" s="2">
        <v>0.13647231929372816</v>
      </c>
    </row>
    <row r="36" spans="2:4" x14ac:dyDescent="0.3">
      <c r="B36" s="12" t="s">
        <v>346</v>
      </c>
      <c r="C36" s="2">
        <v>0.11983887210473314</v>
      </c>
      <c r="D36" s="2">
        <v>0.13334559499724113</v>
      </c>
    </row>
    <row r="37" spans="2:4" x14ac:dyDescent="0.3">
      <c r="B37" s="12" t="s">
        <v>347</v>
      </c>
      <c r="C37" s="2">
        <v>0.13024504867405171</v>
      </c>
      <c r="D37" s="2">
        <v>0.13941511863159831</v>
      </c>
    </row>
    <row r="38" spans="2:4" x14ac:dyDescent="0.3">
      <c r="B38" s="12" t="s">
        <v>348</v>
      </c>
      <c r="C38" s="2">
        <v>0.14937898623699228</v>
      </c>
      <c r="D38" s="2">
        <v>0.15339341548648153</v>
      </c>
    </row>
    <row r="39" spans="2:4" x14ac:dyDescent="0.3">
      <c r="B39" s="12" t="s">
        <v>349</v>
      </c>
      <c r="C39" s="2">
        <v>0.17421953675730112</v>
      </c>
      <c r="D39" s="2">
        <v>0.16681993746551407</v>
      </c>
    </row>
    <row r="40" spans="2:4" x14ac:dyDescent="0.3">
      <c r="B40" s="12" t="s">
        <v>350</v>
      </c>
      <c r="C40" s="2">
        <v>0.18764686136287345</v>
      </c>
      <c r="D40" s="2">
        <v>0.17840720985837777</v>
      </c>
    </row>
    <row r="41" spans="2:4" x14ac:dyDescent="0.3">
      <c r="B41" s="12" t="s">
        <v>351</v>
      </c>
      <c r="C41" s="2">
        <v>0.20745216515609266</v>
      </c>
      <c r="D41" s="2">
        <v>0.18594813316167003</v>
      </c>
    </row>
    <row r="42" spans="2:4" x14ac:dyDescent="0.3">
      <c r="B42" s="12" t="s">
        <v>352</v>
      </c>
      <c r="C42" s="2">
        <v>0.21080899630748573</v>
      </c>
      <c r="D42" s="2">
        <v>0.18208570903071547</v>
      </c>
    </row>
    <row r="43" spans="2:4" x14ac:dyDescent="0.3">
      <c r="B43" s="12" t="s">
        <v>353</v>
      </c>
      <c r="C43" s="2">
        <v>0.23430681436723733</v>
      </c>
      <c r="D43" s="2">
        <v>0.19404083134081296</v>
      </c>
    </row>
    <row r="44" spans="2:4" x14ac:dyDescent="0.3">
      <c r="B44" s="12" t="s">
        <v>354</v>
      </c>
      <c r="C44" s="2">
        <v>0.2450486740516952</v>
      </c>
      <c r="D44" s="2">
        <v>0.20562810373367665</v>
      </c>
    </row>
    <row r="45" spans="2:4" x14ac:dyDescent="0.3">
      <c r="B45" s="12" t="s">
        <v>355</v>
      </c>
      <c r="C45" s="2">
        <v>0.26720375965088955</v>
      </c>
      <c r="D45" s="2">
        <v>0.22825087364355343</v>
      </c>
    </row>
    <row r="46" spans="2:4" x14ac:dyDescent="0.3">
      <c r="B46" s="12" t="s">
        <v>356</v>
      </c>
      <c r="C46" s="2">
        <v>0.27526015441423296</v>
      </c>
      <c r="D46" s="2">
        <v>0.24627551958800808</v>
      </c>
    </row>
    <row r="47" spans="2:4" x14ac:dyDescent="0.3">
      <c r="B47" s="12" t="s">
        <v>387</v>
      </c>
      <c r="C47" s="2">
        <v>0.29003021148036257</v>
      </c>
      <c r="D47" s="2">
        <v>0.26172521611182636</v>
      </c>
    </row>
    <row r="48" spans="2:4" x14ac:dyDescent="0.3">
      <c r="B48" s="12" t="s">
        <v>398</v>
      </c>
      <c r="C48" s="2">
        <v>0.31722054380664655</v>
      </c>
      <c r="D48" s="2">
        <v>0.28747471031819016</v>
      </c>
    </row>
    <row r="49" spans="2:4" x14ac:dyDescent="0.3">
      <c r="B49" s="12" t="s">
        <v>399</v>
      </c>
      <c r="C49" s="2">
        <v>0.36354481369587111</v>
      </c>
      <c r="D49" s="2">
        <v>0.31469560419348908</v>
      </c>
    </row>
    <row r="50" spans="2:4" x14ac:dyDescent="0.3">
      <c r="B50" s="12" t="s">
        <v>400</v>
      </c>
      <c r="C50" s="2">
        <v>0.37697213830144344</v>
      </c>
      <c r="D50" s="2">
        <v>0.33492734964134635</v>
      </c>
    </row>
    <row r="51" spans="2:4" x14ac:dyDescent="0.3">
      <c r="B51" s="12" t="s">
        <v>401</v>
      </c>
      <c r="C51" s="2">
        <v>0.40819066800939913</v>
      </c>
      <c r="D51" s="2">
        <v>0.35791796946845689</v>
      </c>
    </row>
    <row r="52" spans="2:4" x14ac:dyDescent="0.3">
      <c r="B52" s="12" t="s">
        <v>403</v>
      </c>
      <c r="C52" s="2">
        <v>0.43135280295401141</v>
      </c>
      <c r="D52" s="2">
        <v>0.38274783888173625</v>
      </c>
    </row>
    <row r="53" spans="2:4" x14ac:dyDescent="0.3">
      <c r="B53" s="12" t="s">
        <v>404</v>
      </c>
      <c r="C53" s="2">
        <v>0.4783484390735146</v>
      </c>
      <c r="D53" s="2">
        <v>0.41291153209490528</v>
      </c>
    </row>
    <row r="54" spans="2:4" x14ac:dyDescent="0.3">
      <c r="B54" s="12" t="s">
        <v>405</v>
      </c>
      <c r="C54" s="2">
        <v>0.52668680765357501</v>
      </c>
      <c r="D54" s="2">
        <v>0.44748942431487954</v>
      </c>
    </row>
    <row r="55" spans="2:4" x14ac:dyDescent="0.3">
      <c r="B55" s="12" t="s">
        <v>406</v>
      </c>
      <c r="C55" s="2">
        <v>0.57066129573682445</v>
      </c>
      <c r="D55" s="2">
        <v>0.48648151554165903</v>
      </c>
    </row>
    <row r="56" spans="2:4" x14ac:dyDescent="0.3">
      <c r="B56" s="12" t="s">
        <v>407</v>
      </c>
      <c r="C56" s="2">
        <v>0.62974152400134276</v>
      </c>
      <c r="D56" s="2">
        <v>0.54423395254736062</v>
      </c>
    </row>
    <row r="57" spans="2:4" x14ac:dyDescent="0.3">
      <c r="B57" s="12" t="s">
        <v>408</v>
      </c>
      <c r="C57" s="2">
        <v>0.67136623027861697</v>
      </c>
      <c r="D57" s="2">
        <v>0.57439764576052965</v>
      </c>
    </row>
    <row r="58" spans="2:4" x14ac:dyDescent="0.3">
      <c r="B58" s="12" t="s">
        <v>409</v>
      </c>
      <c r="C58" s="2">
        <v>0.70426317556226925</v>
      </c>
      <c r="D58" s="2">
        <v>0.60952731285635464</v>
      </c>
    </row>
    <row r="59" spans="2:4" x14ac:dyDescent="0.3">
      <c r="B59" s="12" t="s">
        <v>410</v>
      </c>
      <c r="C59" s="2">
        <v>0.7643504531722054</v>
      </c>
      <c r="D59" s="2">
        <v>0.65514070259334189</v>
      </c>
    </row>
    <row r="60" spans="2:4" x14ac:dyDescent="0.3">
      <c r="B60" s="12" t="s">
        <v>411</v>
      </c>
      <c r="C60" s="2">
        <v>0.81268882175226587</v>
      </c>
      <c r="D60" s="2">
        <v>0.70737539084053702</v>
      </c>
    </row>
    <row r="61" spans="2:4" x14ac:dyDescent="0.3">
      <c r="B61" s="12" t="s">
        <v>422</v>
      </c>
      <c r="C61" s="2">
        <v>0.86337697213830145</v>
      </c>
      <c r="D61" s="2">
        <v>0.76163325363251788</v>
      </c>
    </row>
    <row r="62" spans="2:4" x14ac:dyDescent="0.3">
      <c r="B62" s="12" t="s">
        <v>441</v>
      </c>
      <c r="C62" s="2">
        <v>0.93689157435380999</v>
      </c>
      <c r="D62" s="2">
        <v>0.82600698914842741</v>
      </c>
    </row>
    <row r="63" spans="2:4" x14ac:dyDescent="0.3">
      <c r="B63" s="12" t="s">
        <v>442</v>
      </c>
      <c r="C63" s="2">
        <v>0.96676737160120851</v>
      </c>
      <c r="D63" s="2">
        <v>0.87474710318190174</v>
      </c>
    </row>
    <row r="64" spans="2:4" x14ac:dyDescent="0.3">
      <c r="B64" s="12" t="s">
        <v>461</v>
      </c>
      <c r="C64" s="2">
        <v>0.97280966767371602</v>
      </c>
      <c r="D64" s="2">
        <v>0.90086444730549931</v>
      </c>
    </row>
    <row r="65" spans="2:4" x14ac:dyDescent="0.3">
      <c r="B65" s="12" t="s">
        <v>462</v>
      </c>
      <c r="C65" s="2">
        <v>0.99630748573346761</v>
      </c>
      <c r="D65" s="2">
        <v>0.93176384035313597</v>
      </c>
    </row>
    <row r="66" spans="2:4" x14ac:dyDescent="0.3">
      <c r="B66" s="12" t="s">
        <v>463</v>
      </c>
      <c r="C66" s="2">
        <v>1</v>
      </c>
      <c r="D66" s="2">
        <v>0.96670958249034389</v>
      </c>
    </row>
    <row r="67" spans="2:4" x14ac:dyDescent="0.3">
      <c r="B67" s="12" t="s">
        <v>470</v>
      </c>
      <c r="C67" s="2">
        <v>0.98892245720040284</v>
      </c>
      <c r="D67" s="2">
        <v>0.98712525289681807</v>
      </c>
    </row>
    <row r="68" spans="2:4" x14ac:dyDescent="0.3">
      <c r="B68" s="12" t="s">
        <v>472</v>
      </c>
      <c r="C68" s="2">
        <v>0.96173212487411885</v>
      </c>
      <c r="D68" s="2">
        <v>1</v>
      </c>
    </row>
    <row r="69" spans="2:4" x14ac:dyDescent="0.3">
      <c r="B69" s="12" t="s">
        <v>473</v>
      </c>
      <c r="C69" s="2">
        <v>0.88486069150721713</v>
      </c>
      <c r="D69" s="2">
        <v>0.99816075041383112</v>
      </c>
    </row>
    <row r="70" spans="2:4" x14ac:dyDescent="0.3">
      <c r="B70" s="12" t="s">
        <v>474</v>
      </c>
      <c r="C70" s="2">
        <v>0.84793554884189326</v>
      </c>
      <c r="D70" s="2">
        <v>0.99429832628287662</v>
      </c>
    </row>
    <row r="71" spans="2:4" x14ac:dyDescent="0.3">
      <c r="B71" s="12" t="s">
        <v>475</v>
      </c>
      <c r="C71" s="2">
        <v>0.81906680093991269</v>
      </c>
      <c r="D71" s="2">
        <v>0.9817914290969284</v>
      </c>
    </row>
    <row r="72" spans="2:4" x14ac:dyDescent="0.3">
      <c r="B72" s="12" t="s">
        <v>479</v>
      </c>
      <c r="C72" s="2">
        <v>0.78046324269889222</v>
      </c>
      <c r="D72" s="2">
        <v>0.97351480595916862</v>
      </c>
    </row>
    <row r="73" spans="2:4" x14ac:dyDescent="0.3">
      <c r="B73" s="12" t="s">
        <v>480</v>
      </c>
      <c r="C73" s="2">
        <v>0.72910372608257801</v>
      </c>
      <c r="D73" s="2">
        <v>0.94739746183557105</v>
      </c>
    </row>
    <row r="74" spans="2:4" x14ac:dyDescent="0.3">
      <c r="B74" s="12" t="s">
        <v>481</v>
      </c>
      <c r="C74" s="2">
        <v>0.6915072171869755</v>
      </c>
      <c r="D74" s="2">
        <v>0.92072834283612282</v>
      </c>
    </row>
    <row r="75" spans="2:4" x14ac:dyDescent="0.3">
      <c r="B75" s="12" t="s">
        <v>482</v>
      </c>
      <c r="C75" s="2">
        <v>0.65592480698220879</v>
      </c>
      <c r="D75" s="2">
        <v>0.88633437557476547</v>
      </c>
    </row>
    <row r="76" spans="2:4" x14ac:dyDescent="0.3">
      <c r="B76" s="12" t="s">
        <v>483</v>
      </c>
      <c r="C76" s="2">
        <v>0.63611950318898958</v>
      </c>
      <c r="D76" s="2">
        <v>0.83336398749310281</v>
      </c>
    </row>
    <row r="77" spans="2:4" x14ac:dyDescent="0.3">
      <c r="B77" s="12" t="s">
        <v>484</v>
      </c>
      <c r="C77" s="2">
        <v>0.61799261497146696</v>
      </c>
      <c r="D77" s="2">
        <v>0.80320029427993378</v>
      </c>
    </row>
    <row r="78" spans="2:4" x14ac:dyDescent="0.3">
      <c r="B78" s="12" t="s">
        <v>485</v>
      </c>
      <c r="C78" s="2">
        <v>0.60557233971131252</v>
      </c>
      <c r="D78" s="2">
        <v>0.78057752437005701</v>
      </c>
    </row>
    <row r="79" spans="2:4" x14ac:dyDescent="0.3">
      <c r="B79" s="12" t="s">
        <v>342</v>
      </c>
      <c r="C79" s="2">
        <v>25.64887546156428</v>
      </c>
      <c r="D79" s="2">
        <v>25.933787014897923</v>
      </c>
    </row>
  </sheetData>
  <pageMargins left="0.7" right="0.7" top="0.75" bottom="0.75" header="0.3" footer="0.3"/>
  <drawing r:id="rId2"/>
  <extLst>
    <ext xmlns:x14="http://schemas.microsoft.com/office/spreadsheetml/2009/9/main" uri="{A8765BA9-456A-4dab-B4F3-ACF838C121DE}">
      <x14:slicerList>
        <x14:slicer r:id="rId3"/>
      </x14:slicerList>
    </ext>
    <ext xmlns:x15="http://schemas.microsoft.com/office/spreadsheetml/2010/11/main" uri="{7E03D99C-DC04-49d9-9315-930204A7B6E9}">
      <x15:timelineRefs>
        <x15:timelineRef r:id="rId4"/>
      </x15:timelineRef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D59D01-FA18-4D58-A3D5-68E2847082D6}">
  <dimension ref="A1:AC526"/>
  <sheetViews>
    <sheetView showGridLines="0" topLeftCell="N94" workbookViewId="0">
      <selection activeCell="Y454" sqref="Y454"/>
    </sheetView>
  </sheetViews>
  <sheetFormatPr defaultRowHeight="14.4" x14ac:dyDescent="0.3"/>
  <cols>
    <col min="1" max="1" width="10.5546875" bestFit="1" customWidth="1"/>
    <col min="2" max="2" width="31.6640625" bestFit="1" customWidth="1"/>
    <col min="3" max="3" width="14.109375" style="15" bestFit="1" customWidth="1"/>
    <col min="4" max="4" width="19.88671875" style="15" bestFit="1" customWidth="1"/>
    <col min="5" max="5" width="20.5546875" style="15" bestFit="1" customWidth="1"/>
    <col min="6" max="6" width="23" bestFit="1" customWidth="1"/>
    <col min="7" max="7" width="22.33203125" bestFit="1" customWidth="1"/>
    <col min="8" max="8" width="23.77734375" style="15" bestFit="1" customWidth="1"/>
    <col min="9" max="9" width="16.77734375" style="15" bestFit="1" customWidth="1"/>
    <col min="10" max="10" width="28.44140625" style="15" bestFit="1" customWidth="1"/>
    <col min="11" max="11" width="14.5546875" style="15" bestFit="1" customWidth="1"/>
    <col min="12" max="12" width="19.6640625" bestFit="1" customWidth="1"/>
    <col min="13" max="13" width="27.44140625" bestFit="1" customWidth="1"/>
    <col min="14" max="14" width="25" bestFit="1" customWidth="1"/>
    <col min="15" max="15" width="10.21875" style="15" bestFit="1" customWidth="1"/>
    <col min="16" max="16" width="16.77734375" style="15" bestFit="1" customWidth="1"/>
    <col min="17" max="17" width="13.88671875" style="15" bestFit="1" customWidth="1"/>
    <col min="18" max="18" width="24.33203125" bestFit="1" customWidth="1"/>
    <col min="19" max="19" width="13.88671875" style="15" bestFit="1" customWidth="1"/>
    <col min="20" max="20" width="11.33203125" bestFit="1" customWidth="1"/>
    <col min="21" max="21" width="12.77734375" bestFit="1" customWidth="1"/>
    <col min="22" max="22" width="21.77734375" style="19" bestFit="1" customWidth="1"/>
    <col min="23" max="23" width="16.109375" bestFit="1" customWidth="1"/>
    <col min="24" max="24" width="12.6640625" bestFit="1" customWidth="1"/>
    <col min="25" max="25" width="15.109375" bestFit="1" customWidth="1"/>
    <col min="26" max="26" width="16.109375" bestFit="1" customWidth="1"/>
    <col min="27" max="27" width="12" style="27" bestFit="1" customWidth="1"/>
    <col min="28" max="28" width="12.21875" bestFit="1" customWidth="1"/>
  </cols>
  <sheetData>
    <row r="1" spans="1:29" x14ac:dyDescent="0.3">
      <c r="A1" t="s">
        <v>0</v>
      </c>
      <c r="B1" t="s">
        <v>1</v>
      </c>
      <c r="C1" s="15" t="s">
        <v>357</v>
      </c>
      <c r="D1" s="15" t="s">
        <v>359</v>
      </c>
      <c r="E1" s="15" t="s">
        <v>360</v>
      </c>
      <c r="F1" t="s">
        <v>361</v>
      </c>
      <c r="G1" t="s">
        <v>362</v>
      </c>
      <c r="H1" s="15" t="s">
        <v>363</v>
      </c>
      <c r="I1" s="15" t="s">
        <v>423</v>
      </c>
      <c r="J1" s="15" t="s">
        <v>364</v>
      </c>
      <c r="K1" s="15" t="s">
        <v>425</v>
      </c>
      <c r="L1" t="s">
        <v>390</v>
      </c>
      <c r="M1" t="s">
        <v>426</v>
      </c>
      <c r="N1" t="s">
        <v>427</v>
      </c>
      <c r="O1" s="15" t="s">
        <v>391</v>
      </c>
      <c r="P1" s="15" t="s">
        <v>392</v>
      </c>
      <c r="Q1" s="15" t="s">
        <v>393</v>
      </c>
      <c r="R1" t="s">
        <v>420</v>
      </c>
      <c r="S1" s="15" t="s">
        <v>443</v>
      </c>
      <c r="T1" t="s">
        <v>421</v>
      </c>
      <c r="U1" t="s">
        <v>444</v>
      </c>
      <c r="V1" s="19" t="s">
        <v>458</v>
      </c>
      <c r="W1" t="s">
        <v>459</v>
      </c>
      <c r="X1" t="s">
        <v>460</v>
      </c>
      <c r="Y1" t="s">
        <v>464</v>
      </c>
      <c r="Z1" t="s">
        <v>465</v>
      </c>
      <c r="AA1" s="27" t="s">
        <v>466</v>
      </c>
      <c r="AB1" t="s">
        <v>467</v>
      </c>
      <c r="AC1">
        <v>20</v>
      </c>
    </row>
    <row r="2" spans="1:29" hidden="1" x14ac:dyDescent="0.3">
      <c r="A2" s="1">
        <v>44170</v>
      </c>
      <c r="B2" s="2" t="s">
        <v>4</v>
      </c>
      <c r="C2" s="15">
        <v>12254</v>
      </c>
      <c r="D2" s="15">
        <v>1376</v>
      </c>
      <c r="E2" s="15">
        <v>10591</v>
      </c>
      <c r="F2">
        <v>97</v>
      </c>
      <c r="G2">
        <v>23</v>
      </c>
      <c r="H2" s="15">
        <v>205739</v>
      </c>
      <c r="I2" s="15">
        <v>291</v>
      </c>
      <c r="J2" s="15">
        <v>73340</v>
      </c>
      <c r="K2" s="15">
        <v>40</v>
      </c>
      <c r="L2">
        <v>-54</v>
      </c>
      <c r="M2">
        <v>-6</v>
      </c>
      <c r="N2">
        <v>1</v>
      </c>
      <c r="O2" s="15">
        <v>1034</v>
      </c>
      <c r="P2" s="15">
        <v>80</v>
      </c>
      <c r="Q2" s="15">
        <v>1114</v>
      </c>
      <c r="R2">
        <v>0.96223776223776225</v>
      </c>
      <c r="S2" s="15">
        <v>94</v>
      </c>
      <c r="T2" t="s">
        <v>369</v>
      </c>
      <c r="U2" s="15" t="str">
        <f>TEXT(EvolucionIncidencia[[#This Row],[Fecha]],"DDDD")</f>
        <v>sábado</v>
      </c>
      <c r="V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 s="2" t="str">
        <f>IF(EvolucionIncidencia[[#This Row],[Fecha]]&lt;=MIN(EvolucionIncidencia[Fecha])+14,"",EvolucionIncidencia[[#This Row],[NuevasAltas]]-EvolucionIncidencia[[#This Row],[Previsión Altas]])</f>
        <v/>
      </c>
      <c r="Y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 s="2" t="str">
        <f>IF(LEN(EvolucionIncidencia[[#This Row],[Nuevos 7 dias]])=0,"",EvolucionIncidencia[[#This Row],[Nuevos 7 dias]]/_xlfn.MAXIFS(EvolucionIncidencia[Nuevos 7 dias],EvolucionIncidencia[Area_Sanitaria],EvolucionIncidencia[[#This Row],[Area_Sanitaria]]))</f>
        <v/>
      </c>
      <c r="AB2" s="2" t="str">
        <f>IF(LEN(EvolucionIncidencia[[#This Row],[Nuevos 14 dias]])=0,"",EvolucionIncidencia[[#This Row],[Nuevos 14 dias]]/_xlfn.MAXIFS(EvolucionIncidencia[Nuevos 14 dias],EvolucionIncidencia[Area_Sanitaria],EvolucionIncidencia[[#This Row],[Area_Sanitaria]]))</f>
        <v/>
      </c>
    </row>
    <row r="3" spans="1:29" hidden="1" x14ac:dyDescent="0.3">
      <c r="A3" s="1">
        <v>44170</v>
      </c>
      <c r="B3" s="2" t="s">
        <v>5</v>
      </c>
      <c r="C3" s="15">
        <v>3430</v>
      </c>
      <c r="D3" s="15">
        <v>586</v>
      </c>
      <c r="E3" s="15">
        <v>2764</v>
      </c>
      <c r="F3">
        <v>27</v>
      </c>
      <c r="G3">
        <v>8</v>
      </c>
      <c r="H3" s="15">
        <v>64784</v>
      </c>
      <c r="I3" s="15">
        <v>78</v>
      </c>
      <c r="J3" s="15">
        <v>29150</v>
      </c>
      <c r="K3" s="15">
        <v>23</v>
      </c>
      <c r="L3">
        <v>-10</v>
      </c>
      <c r="M3">
        <v>-2</v>
      </c>
      <c r="N3">
        <v>2</v>
      </c>
      <c r="O3" s="15">
        <v>360</v>
      </c>
      <c r="P3" s="15">
        <v>31</v>
      </c>
      <c r="Q3" s="15">
        <v>391</v>
      </c>
      <c r="R3">
        <v>0.98322147651006708</v>
      </c>
      <c r="S3" s="15">
        <v>33</v>
      </c>
      <c r="T3" t="s">
        <v>369</v>
      </c>
      <c r="U3" s="15" t="str">
        <f>TEXT(EvolucionIncidencia[[#This Row],[Fecha]],"DDDD")</f>
        <v>sábado</v>
      </c>
      <c r="V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 s="2" t="str">
        <f>IF(EvolucionIncidencia[[#This Row],[Fecha]]&lt;=MIN(EvolucionIncidencia[Fecha])+14,"",EvolucionIncidencia[[#This Row],[NuevasAltas]]-EvolucionIncidencia[[#This Row],[Previsión Altas]])</f>
        <v/>
      </c>
      <c r="Y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 s="2" t="str">
        <f>IF(LEN(EvolucionIncidencia[[#This Row],[Nuevos 7 dias]])=0,"",EvolucionIncidencia[[#This Row],[Nuevos 7 dias]]/_xlfn.MAXIFS(EvolucionIncidencia[Nuevos 7 dias],EvolucionIncidencia[Area_Sanitaria],EvolucionIncidencia[[#This Row],[Area_Sanitaria]]))</f>
        <v/>
      </c>
      <c r="AB3" s="2" t="str">
        <f>IF(LEN(EvolucionIncidencia[[#This Row],[Nuevos 14 dias]])=0,"",EvolucionIncidencia[[#This Row],[Nuevos 14 dias]]/_xlfn.MAXIFS(EvolucionIncidencia[Nuevos 14 dias],EvolucionIncidencia[Area_Sanitaria],EvolucionIncidencia[[#This Row],[Area_Sanitaria]]))</f>
        <v/>
      </c>
    </row>
    <row r="4" spans="1:29" hidden="1" x14ac:dyDescent="0.3">
      <c r="A4" s="1">
        <v>44170</v>
      </c>
      <c r="B4" s="2" t="s">
        <v>8</v>
      </c>
      <c r="C4" s="15">
        <v>6455</v>
      </c>
      <c r="D4" s="15">
        <v>788</v>
      </c>
      <c r="E4" s="15">
        <v>5534</v>
      </c>
      <c r="F4">
        <v>31</v>
      </c>
      <c r="G4">
        <v>1</v>
      </c>
      <c r="H4" s="15">
        <v>106669</v>
      </c>
      <c r="I4" s="15">
        <v>132</v>
      </c>
      <c r="J4" s="15">
        <v>72582</v>
      </c>
      <c r="K4" s="15">
        <v>31</v>
      </c>
      <c r="L4">
        <v>-41</v>
      </c>
      <c r="M4">
        <v>5</v>
      </c>
      <c r="N4">
        <v>0</v>
      </c>
      <c r="O4" s="15">
        <v>463</v>
      </c>
      <c r="P4" s="15">
        <v>51</v>
      </c>
      <c r="Q4" s="15">
        <v>514</v>
      </c>
      <c r="R4">
        <v>0.95054282267792523</v>
      </c>
      <c r="S4" s="15">
        <v>70</v>
      </c>
      <c r="T4" t="s">
        <v>369</v>
      </c>
      <c r="U4" s="15" t="str">
        <f>TEXT(EvolucionIncidencia[[#This Row],[Fecha]],"DDDD")</f>
        <v>sábado</v>
      </c>
      <c r="V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 s="2" t="str">
        <f>IF(EvolucionIncidencia[[#This Row],[Fecha]]&lt;=MIN(EvolucionIncidencia[Fecha])+14,"",EvolucionIncidencia[[#This Row],[NuevasAltas]]-EvolucionIncidencia[[#This Row],[Previsión Altas]])</f>
        <v/>
      </c>
      <c r="Y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 s="2" t="str">
        <f>IF(LEN(EvolucionIncidencia[[#This Row],[Nuevos 7 dias]])=0,"",EvolucionIncidencia[[#This Row],[Nuevos 7 dias]]/_xlfn.MAXIFS(EvolucionIncidencia[Nuevos 7 dias],EvolucionIncidencia[Area_Sanitaria],EvolucionIncidencia[[#This Row],[Area_Sanitaria]]))</f>
        <v/>
      </c>
      <c r="AB4" s="2" t="str">
        <f>IF(LEN(EvolucionIncidencia[[#This Row],[Nuevos 14 dias]])=0,"",EvolucionIncidencia[[#This Row],[Nuevos 14 dias]]/_xlfn.MAXIFS(EvolucionIncidencia[Nuevos 14 dias],EvolucionIncidencia[Area_Sanitaria],EvolucionIncidencia[[#This Row],[Area_Sanitaria]]))</f>
        <v/>
      </c>
    </row>
    <row r="5" spans="1:29" hidden="1" x14ac:dyDescent="0.3">
      <c r="A5" s="1">
        <v>44170</v>
      </c>
      <c r="B5" s="2" t="s">
        <v>9</v>
      </c>
      <c r="C5" s="15">
        <v>7673</v>
      </c>
      <c r="D5" s="15">
        <v>402</v>
      </c>
      <c r="E5" s="15">
        <v>6975</v>
      </c>
      <c r="F5">
        <v>37</v>
      </c>
      <c r="G5">
        <v>5</v>
      </c>
      <c r="H5" s="15">
        <v>118177</v>
      </c>
      <c r="I5" s="15">
        <v>295</v>
      </c>
      <c r="J5" s="15">
        <v>65231</v>
      </c>
      <c r="K5" s="15">
        <v>22</v>
      </c>
      <c r="L5">
        <v>-17</v>
      </c>
      <c r="M5">
        <v>1</v>
      </c>
      <c r="N5">
        <v>0</v>
      </c>
      <c r="O5" s="15">
        <v>754</v>
      </c>
      <c r="P5" s="15">
        <v>60</v>
      </c>
      <c r="Q5" s="15">
        <v>814</v>
      </c>
      <c r="R5">
        <v>0.95942720763723155</v>
      </c>
      <c r="S5" s="15">
        <v>38</v>
      </c>
      <c r="T5" t="s">
        <v>369</v>
      </c>
      <c r="U5" s="15" t="str">
        <f>TEXT(EvolucionIncidencia[[#This Row],[Fecha]],"DDDD")</f>
        <v>sábado</v>
      </c>
      <c r="V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 s="2" t="str">
        <f>IF(EvolucionIncidencia[[#This Row],[Fecha]]&lt;=MIN(EvolucionIncidencia[Fecha])+14,"",EvolucionIncidencia[[#This Row],[NuevasAltas]]-EvolucionIncidencia[[#This Row],[Previsión Altas]])</f>
        <v/>
      </c>
      <c r="Y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 s="2" t="str">
        <f>IF(LEN(EvolucionIncidencia[[#This Row],[Nuevos 7 dias]])=0,"",EvolucionIncidencia[[#This Row],[Nuevos 7 dias]]/_xlfn.MAXIFS(EvolucionIncidencia[Nuevos 7 dias],EvolucionIncidencia[Area_Sanitaria],EvolucionIncidencia[[#This Row],[Area_Sanitaria]]))</f>
        <v/>
      </c>
      <c r="AB5" s="2" t="str">
        <f>IF(LEN(EvolucionIncidencia[[#This Row],[Nuevos 14 dias]])=0,"",EvolucionIncidencia[[#This Row],[Nuevos 14 dias]]/_xlfn.MAXIFS(EvolucionIncidencia[Nuevos 14 dias],EvolucionIncidencia[Area_Sanitaria],EvolucionIncidencia[[#This Row],[Area_Sanitaria]]))</f>
        <v/>
      </c>
    </row>
    <row r="6" spans="1:29" x14ac:dyDescent="0.3">
      <c r="A6" s="1">
        <v>44170</v>
      </c>
      <c r="B6" s="2" t="s">
        <v>6</v>
      </c>
      <c r="C6" s="15">
        <v>5705</v>
      </c>
      <c r="D6" s="15">
        <v>990</v>
      </c>
      <c r="E6" s="15">
        <v>4656</v>
      </c>
      <c r="F6">
        <v>42</v>
      </c>
      <c r="G6">
        <v>9</v>
      </c>
      <c r="H6" s="15">
        <v>95314</v>
      </c>
      <c r="I6" s="15">
        <v>60</v>
      </c>
      <c r="J6" s="15">
        <v>43719</v>
      </c>
      <c r="K6" s="15">
        <v>37</v>
      </c>
      <c r="L6">
        <v>-35</v>
      </c>
      <c r="M6">
        <v>0</v>
      </c>
      <c r="N6">
        <v>0</v>
      </c>
      <c r="O6" s="15">
        <v>852</v>
      </c>
      <c r="P6" s="15">
        <v>51</v>
      </c>
      <c r="Q6" s="15">
        <v>903</v>
      </c>
      <c r="R6">
        <v>0.96585365853658534</v>
      </c>
      <c r="S6" s="15">
        <v>71</v>
      </c>
      <c r="T6" t="s">
        <v>369</v>
      </c>
      <c r="U6" s="15" t="str">
        <f>TEXT(EvolucionIncidencia[[#This Row],[Fecha]],"DDDD")</f>
        <v>sábado</v>
      </c>
      <c r="V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 s="2" t="str">
        <f>IF(EvolucionIncidencia[[#This Row],[Fecha]]&lt;=MIN(EvolucionIncidencia[Fecha])+14,"",EvolucionIncidencia[[#This Row],[NuevasAltas]]-EvolucionIncidencia[[#This Row],[Previsión Altas]])</f>
        <v/>
      </c>
      <c r="Y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 s="2" t="str">
        <f>IF(LEN(EvolucionIncidencia[[#This Row],[Nuevos 7 dias]])=0,"",EvolucionIncidencia[[#This Row],[Nuevos 7 dias]]/_xlfn.MAXIFS(EvolucionIncidencia[Nuevos 7 dias],EvolucionIncidencia[Area_Sanitaria],EvolucionIncidencia[[#This Row],[Area_Sanitaria]]))</f>
        <v/>
      </c>
      <c r="AB6" s="2" t="str">
        <f>IF(LEN(EvolucionIncidencia[[#This Row],[Nuevos 14 dias]])=0,"",EvolucionIncidencia[[#This Row],[Nuevos 14 dias]]/_xlfn.MAXIFS(EvolucionIncidencia[Nuevos 14 dias],EvolucionIncidencia[Area_Sanitaria],EvolucionIncidencia[[#This Row],[Area_Sanitaria]]))</f>
        <v/>
      </c>
    </row>
    <row r="7" spans="1:29" hidden="1" x14ac:dyDescent="0.3">
      <c r="A7" s="1">
        <v>44170</v>
      </c>
      <c r="B7" s="2" t="s">
        <v>7</v>
      </c>
      <c r="C7" s="15">
        <v>8104</v>
      </c>
      <c r="D7" s="15">
        <v>784</v>
      </c>
      <c r="E7" s="15">
        <v>7151</v>
      </c>
      <c r="F7">
        <v>43</v>
      </c>
      <c r="G7">
        <v>6</v>
      </c>
      <c r="H7" s="15">
        <v>150645</v>
      </c>
      <c r="I7" s="15">
        <v>170</v>
      </c>
      <c r="J7" s="15">
        <v>87849</v>
      </c>
      <c r="K7" s="15">
        <v>52</v>
      </c>
      <c r="L7">
        <v>-23</v>
      </c>
      <c r="M7">
        <v>7</v>
      </c>
      <c r="N7">
        <v>0</v>
      </c>
      <c r="O7" s="15">
        <v>1418</v>
      </c>
      <c r="P7" s="15">
        <v>93</v>
      </c>
      <c r="Q7" s="15">
        <v>1511</v>
      </c>
      <c r="R7">
        <v>0.97149938042131345</v>
      </c>
      <c r="S7" s="15">
        <v>75</v>
      </c>
      <c r="T7" t="s">
        <v>369</v>
      </c>
      <c r="U7" s="15" t="str">
        <f>TEXT(EvolucionIncidencia[[#This Row],[Fecha]],"DDDD")</f>
        <v>sábado</v>
      </c>
      <c r="V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 s="2" t="str">
        <f>IF(EvolucionIncidencia[[#This Row],[Fecha]]&lt;=MIN(EvolucionIncidencia[Fecha])+14,"",EvolucionIncidencia[[#This Row],[NuevasAltas]]-EvolucionIncidencia[[#This Row],[Previsión Altas]])</f>
        <v/>
      </c>
      <c r="Y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 s="2" t="str">
        <f>IF(LEN(EvolucionIncidencia[[#This Row],[Nuevos 7 dias]])=0,"",EvolucionIncidencia[[#This Row],[Nuevos 7 dias]]/_xlfn.MAXIFS(EvolucionIncidencia[Nuevos 7 dias],EvolucionIncidencia[Area_Sanitaria],EvolucionIncidencia[[#This Row],[Area_Sanitaria]]))</f>
        <v/>
      </c>
      <c r="AB7" s="2" t="str">
        <f>IF(LEN(EvolucionIncidencia[[#This Row],[Nuevos 14 dias]])=0,"",EvolucionIncidencia[[#This Row],[Nuevos 14 dias]]/_xlfn.MAXIFS(EvolucionIncidencia[Nuevos 14 dias],EvolucionIncidencia[Area_Sanitaria],EvolucionIncidencia[[#This Row],[Area_Sanitaria]]))</f>
        <v/>
      </c>
    </row>
    <row r="8" spans="1:29" hidden="1" x14ac:dyDescent="0.3">
      <c r="A8" s="1">
        <v>44170</v>
      </c>
      <c r="B8" s="2" t="s">
        <v>2</v>
      </c>
      <c r="C8" s="15">
        <v>10578</v>
      </c>
      <c r="D8" s="15">
        <v>1800</v>
      </c>
      <c r="E8" s="15">
        <v>8555</v>
      </c>
      <c r="F8">
        <v>65</v>
      </c>
      <c r="G8">
        <v>12</v>
      </c>
      <c r="H8" s="15">
        <v>193204</v>
      </c>
      <c r="I8" s="15">
        <v>224</v>
      </c>
      <c r="J8" s="15">
        <v>56312</v>
      </c>
      <c r="K8" s="15">
        <v>91</v>
      </c>
      <c r="L8">
        <v>-42</v>
      </c>
      <c r="M8">
        <v>0</v>
      </c>
      <c r="N8">
        <v>0</v>
      </c>
      <c r="O8" s="15">
        <v>1818</v>
      </c>
      <c r="P8" s="15">
        <v>21</v>
      </c>
      <c r="Q8" s="15">
        <v>1839</v>
      </c>
      <c r="R8">
        <v>0.9771986970684039</v>
      </c>
      <c r="S8" s="15">
        <v>133</v>
      </c>
      <c r="T8" t="s">
        <v>369</v>
      </c>
      <c r="U8" s="15" t="str">
        <f>TEXT(EvolucionIncidencia[[#This Row],[Fecha]],"DDDD")</f>
        <v>sábado</v>
      </c>
      <c r="V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 s="2" t="str">
        <f>IF(EvolucionIncidencia[[#This Row],[Fecha]]&lt;=MIN(EvolucionIncidencia[Fecha])+14,"",EvolucionIncidencia[[#This Row],[NuevasAltas]]-EvolucionIncidencia[[#This Row],[Previsión Altas]])</f>
        <v/>
      </c>
      <c r="Y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 s="2" t="str">
        <f>IF(LEN(EvolucionIncidencia[[#This Row],[Nuevos 7 dias]])=0,"",EvolucionIncidencia[[#This Row],[Nuevos 7 dias]]/_xlfn.MAXIFS(EvolucionIncidencia[Nuevos 7 dias],EvolucionIncidencia[Area_Sanitaria],EvolucionIncidencia[[#This Row],[Area_Sanitaria]]))</f>
        <v/>
      </c>
      <c r="AB8" s="2" t="str">
        <f>IF(LEN(EvolucionIncidencia[[#This Row],[Nuevos 14 dias]])=0,"",EvolucionIncidencia[[#This Row],[Nuevos 14 dias]]/_xlfn.MAXIFS(EvolucionIncidencia[Nuevos 14 dias],EvolucionIncidencia[Area_Sanitaria],EvolucionIncidencia[[#This Row],[Area_Sanitaria]]))</f>
        <v/>
      </c>
    </row>
    <row r="9" spans="1:29" hidden="1" x14ac:dyDescent="0.3">
      <c r="A9" s="1">
        <v>44170</v>
      </c>
      <c r="B9" s="2" t="s">
        <v>3</v>
      </c>
      <c r="C9" s="15">
        <v>54199</v>
      </c>
      <c r="D9" s="15">
        <v>6726</v>
      </c>
      <c r="E9" s="15">
        <v>46226</v>
      </c>
      <c r="F9">
        <v>342</v>
      </c>
      <c r="G9">
        <v>64</v>
      </c>
      <c r="H9" s="15">
        <v>934532</v>
      </c>
      <c r="I9" s="15">
        <v>1250</v>
      </c>
      <c r="J9" s="15">
        <v>428183</v>
      </c>
      <c r="K9" s="15">
        <v>296</v>
      </c>
      <c r="L9">
        <v>-222</v>
      </c>
      <c r="M9">
        <v>5</v>
      </c>
      <c r="N9">
        <v>3</v>
      </c>
      <c r="O9" s="15">
        <v>6699</v>
      </c>
      <c r="P9" s="15">
        <v>387</v>
      </c>
      <c r="Q9" s="15">
        <v>7086</v>
      </c>
      <c r="R9">
        <v>0.96804835924006905</v>
      </c>
      <c r="S9" s="15">
        <v>514</v>
      </c>
      <c r="T9" t="s">
        <v>369</v>
      </c>
      <c r="U9" s="15" t="str">
        <f>TEXT(EvolucionIncidencia[[#This Row],[Fecha]],"DDDD")</f>
        <v>sábado</v>
      </c>
      <c r="V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 s="2" t="str">
        <f>IF(EvolucionIncidencia[[#This Row],[Fecha]]&lt;=MIN(EvolucionIncidencia[Fecha])+14,"",EvolucionIncidencia[[#This Row],[NuevasAltas]]-EvolucionIncidencia[[#This Row],[Previsión Altas]])</f>
        <v/>
      </c>
      <c r="Y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 s="2" t="str">
        <f>IF(LEN(EvolucionIncidencia[[#This Row],[Nuevos 7 dias]])=0,"",EvolucionIncidencia[[#This Row],[Nuevos 7 dias]]/_xlfn.MAXIFS(EvolucionIncidencia[Nuevos 7 dias],EvolucionIncidencia[Area_Sanitaria],EvolucionIncidencia[[#This Row],[Area_Sanitaria]]))</f>
        <v/>
      </c>
      <c r="AB9" s="2" t="str">
        <f>IF(LEN(EvolucionIncidencia[[#This Row],[Nuevos 14 dias]])=0,"",EvolucionIncidencia[[#This Row],[Nuevos 14 dias]]/_xlfn.MAXIFS(EvolucionIncidencia[Nuevos 14 dias],EvolucionIncidencia[Area_Sanitaria],EvolucionIncidencia[[#This Row],[Area_Sanitaria]]))</f>
        <v/>
      </c>
    </row>
    <row r="10" spans="1:29" hidden="1" x14ac:dyDescent="0.3">
      <c r="A10" s="1">
        <v>44171</v>
      </c>
      <c r="B10" s="2" t="s">
        <v>4</v>
      </c>
      <c r="C10" s="15">
        <v>12307</v>
      </c>
      <c r="D10" s="15">
        <v>1349</v>
      </c>
      <c r="E10" s="15">
        <v>10671</v>
      </c>
      <c r="F10">
        <v>98</v>
      </c>
      <c r="G10">
        <v>22</v>
      </c>
      <c r="H10" s="15">
        <v>206505</v>
      </c>
      <c r="I10" s="15">
        <v>291</v>
      </c>
      <c r="J10" s="15">
        <v>73398</v>
      </c>
      <c r="K10" s="15">
        <v>53</v>
      </c>
      <c r="L10">
        <v>-27</v>
      </c>
      <c r="M10">
        <v>1</v>
      </c>
      <c r="N10">
        <v>-1</v>
      </c>
      <c r="O10" s="15">
        <v>766</v>
      </c>
      <c r="P10" s="15">
        <v>58</v>
      </c>
      <c r="Q10" s="15">
        <v>824</v>
      </c>
      <c r="R10">
        <v>0.98037790697674421</v>
      </c>
      <c r="S10" s="15">
        <v>80</v>
      </c>
      <c r="T10" t="s">
        <v>370</v>
      </c>
      <c r="U10" s="15" t="str">
        <f>TEXT(EvolucionIncidencia[[#This Row],[Fecha]],"DDDD")</f>
        <v>domingo</v>
      </c>
      <c r="V1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 s="2" t="str">
        <f>IF(EvolucionIncidencia[[#This Row],[Fecha]]&lt;=MIN(EvolucionIncidencia[Fecha])+14,"",EvolucionIncidencia[[#This Row],[NuevasAltas]]-EvolucionIncidencia[[#This Row],[Previsión Altas]])</f>
        <v/>
      </c>
      <c r="Y1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 s="2" t="str">
        <f>IF(LEN(EvolucionIncidencia[[#This Row],[Nuevos 7 dias]])=0,"",EvolucionIncidencia[[#This Row],[Nuevos 7 dias]]/_xlfn.MAXIFS(EvolucionIncidencia[Nuevos 7 dias],EvolucionIncidencia[Area_Sanitaria],EvolucionIncidencia[[#This Row],[Area_Sanitaria]]))</f>
        <v/>
      </c>
      <c r="AB10" s="2" t="str">
        <f>IF(LEN(EvolucionIncidencia[[#This Row],[Nuevos 14 dias]])=0,"",EvolucionIncidencia[[#This Row],[Nuevos 14 dias]]/_xlfn.MAXIFS(EvolucionIncidencia[Nuevos 14 dias],EvolucionIncidencia[Area_Sanitaria],EvolucionIncidencia[[#This Row],[Area_Sanitaria]]))</f>
        <v/>
      </c>
    </row>
    <row r="11" spans="1:29" hidden="1" x14ac:dyDescent="0.3">
      <c r="A11" s="1">
        <v>44171</v>
      </c>
      <c r="B11" s="2" t="s">
        <v>5</v>
      </c>
      <c r="C11" s="15">
        <v>3466</v>
      </c>
      <c r="D11" s="15">
        <v>576</v>
      </c>
      <c r="E11" s="15">
        <v>2810</v>
      </c>
      <c r="F11">
        <v>30</v>
      </c>
      <c r="G11">
        <v>6</v>
      </c>
      <c r="H11" s="15">
        <v>65009</v>
      </c>
      <c r="I11" s="15">
        <v>78</v>
      </c>
      <c r="J11" s="15">
        <v>29240</v>
      </c>
      <c r="K11" s="15">
        <v>36</v>
      </c>
      <c r="L11">
        <v>-10</v>
      </c>
      <c r="M11">
        <v>3</v>
      </c>
      <c r="N11">
        <v>-2</v>
      </c>
      <c r="O11" s="15">
        <v>225</v>
      </c>
      <c r="P11" s="15">
        <v>90</v>
      </c>
      <c r="Q11" s="15">
        <v>315</v>
      </c>
      <c r="R11">
        <v>0.98293515358361772</v>
      </c>
      <c r="S11" s="15">
        <v>46</v>
      </c>
      <c r="T11" t="s">
        <v>370</v>
      </c>
      <c r="U11" s="15" t="str">
        <f>TEXT(EvolucionIncidencia[[#This Row],[Fecha]],"DDDD")</f>
        <v>domingo</v>
      </c>
      <c r="V1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 s="2" t="str">
        <f>IF(EvolucionIncidencia[[#This Row],[Fecha]]&lt;=MIN(EvolucionIncidencia[Fecha])+14,"",EvolucionIncidencia[[#This Row],[NuevasAltas]]-EvolucionIncidencia[[#This Row],[Previsión Altas]])</f>
        <v/>
      </c>
      <c r="Y1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1" s="2" t="str">
        <f>IF(LEN(EvolucionIncidencia[[#This Row],[Nuevos 7 dias]])=0,"",EvolucionIncidencia[[#This Row],[Nuevos 7 dias]]/_xlfn.MAXIFS(EvolucionIncidencia[Nuevos 7 dias],EvolucionIncidencia[Area_Sanitaria],EvolucionIncidencia[[#This Row],[Area_Sanitaria]]))</f>
        <v/>
      </c>
      <c r="AB11" s="2" t="str">
        <f>IF(LEN(EvolucionIncidencia[[#This Row],[Nuevos 14 dias]])=0,"",EvolucionIncidencia[[#This Row],[Nuevos 14 dias]]/_xlfn.MAXIFS(EvolucionIncidencia[Nuevos 14 dias],EvolucionIncidencia[Area_Sanitaria],EvolucionIncidencia[[#This Row],[Area_Sanitaria]]))</f>
        <v/>
      </c>
    </row>
    <row r="12" spans="1:29" hidden="1" x14ac:dyDescent="0.3">
      <c r="A12" s="1">
        <v>44171</v>
      </c>
      <c r="B12" s="2" t="s">
        <v>8</v>
      </c>
      <c r="C12" s="15">
        <v>6484</v>
      </c>
      <c r="D12" s="15">
        <v>771</v>
      </c>
      <c r="E12" s="15">
        <v>5579</v>
      </c>
      <c r="F12">
        <v>30</v>
      </c>
      <c r="G12">
        <v>1</v>
      </c>
      <c r="H12" s="15">
        <v>107103</v>
      </c>
      <c r="I12" s="15">
        <v>133</v>
      </c>
      <c r="J12" s="15">
        <v>72614</v>
      </c>
      <c r="K12" s="15">
        <v>29</v>
      </c>
      <c r="L12">
        <v>-17</v>
      </c>
      <c r="M12">
        <v>-1</v>
      </c>
      <c r="N12">
        <v>0</v>
      </c>
      <c r="O12" s="15">
        <v>434</v>
      </c>
      <c r="P12" s="15">
        <v>32</v>
      </c>
      <c r="Q12" s="15">
        <v>466</v>
      </c>
      <c r="R12">
        <v>0.97842639593908631</v>
      </c>
      <c r="S12" s="15">
        <v>45</v>
      </c>
      <c r="T12" t="s">
        <v>370</v>
      </c>
      <c r="U12" s="15" t="str">
        <f>TEXT(EvolucionIncidencia[[#This Row],[Fecha]],"DDDD")</f>
        <v>domingo</v>
      </c>
      <c r="V1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 s="2" t="str">
        <f>IF(EvolucionIncidencia[[#This Row],[Fecha]]&lt;=MIN(EvolucionIncidencia[Fecha])+14,"",EvolucionIncidencia[[#This Row],[NuevasAltas]]-EvolucionIncidencia[[#This Row],[Previsión Altas]])</f>
        <v/>
      </c>
      <c r="Y1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2" s="2" t="str">
        <f>IF(LEN(EvolucionIncidencia[[#This Row],[Nuevos 7 dias]])=0,"",EvolucionIncidencia[[#This Row],[Nuevos 7 dias]]/_xlfn.MAXIFS(EvolucionIncidencia[Nuevos 7 dias],EvolucionIncidencia[Area_Sanitaria],EvolucionIncidencia[[#This Row],[Area_Sanitaria]]))</f>
        <v/>
      </c>
      <c r="AB12" s="2" t="str">
        <f>IF(LEN(EvolucionIncidencia[[#This Row],[Nuevos 14 dias]])=0,"",EvolucionIncidencia[[#This Row],[Nuevos 14 dias]]/_xlfn.MAXIFS(EvolucionIncidencia[Nuevos 14 dias],EvolucionIncidencia[Area_Sanitaria],EvolucionIncidencia[[#This Row],[Area_Sanitaria]]))</f>
        <v/>
      </c>
    </row>
    <row r="13" spans="1:29" hidden="1" x14ac:dyDescent="0.3">
      <c r="A13" s="1">
        <v>44171</v>
      </c>
      <c r="B13" s="2" t="s">
        <v>9</v>
      </c>
      <c r="C13" s="15">
        <v>7696</v>
      </c>
      <c r="D13" s="15">
        <v>400</v>
      </c>
      <c r="E13" s="15">
        <v>6999</v>
      </c>
      <c r="F13">
        <v>39</v>
      </c>
      <c r="G13">
        <v>5</v>
      </c>
      <c r="H13" s="15">
        <v>118898</v>
      </c>
      <c r="I13" s="15">
        <v>296</v>
      </c>
      <c r="J13" s="15">
        <v>65275</v>
      </c>
      <c r="K13" s="15">
        <v>23</v>
      </c>
      <c r="L13">
        <v>-2</v>
      </c>
      <c r="M13">
        <v>2</v>
      </c>
      <c r="N13">
        <v>0</v>
      </c>
      <c r="O13" s="15">
        <v>721</v>
      </c>
      <c r="P13" s="15">
        <v>44</v>
      </c>
      <c r="Q13" s="15">
        <v>765</v>
      </c>
      <c r="R13">
        <v>0.99502487562189057</v>
      </c>
      <c r="S13" s="15">
        <v>24</v>
      </c>
      <c r="T13" t="s">
        <v>370</v>
      </c>
      <c r="U13" s="15" t="str">
        <f>TEXT(EvolucionIncidencia[[#This Row],[Fecha]],"DDDD")</f>
        <v>domingo</v>
      </c>
      <c r="V1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3" s="2" t="str">
        <f>IF(EvolucionIncidencia[[#This Row],[Fecha]]&lt;=MIN(EvolucionIncidencia[Fecha])+14,"",EvolucionIncidencia[[#This Row],[NuevasAltas]]-EvolucionIncidencia[[#This Row],[Previsión Altas]])</f>
        <v/>
      </c>
      <c r="Y1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3" s="2" t="str">
        <f>IF(LEN(EvolucionIncidencia[[#This Row],[Nuevos 7 dias]])=0,"",EvolucionIncidencia[[#This Row],[Nuevos 7 dias]]/_xlfn.MAXIFS(EvolucionIncidencia[Nuevos 7 dias],EvolucionIncidencia[Area_Sanitaria],EvolucionIncidencia[[#This Row],[Area_Sanitaria]]))</f>
        <v/>
      </c>
      <c r="AB13" s="2" t="str">
        <f>IF(LEN(EvolucionIncidencia[[#This Row],[Nuevos 14 dias]])=0,"",EvolucionIncidencia[[#This Row],[Nuevos 14 dias]]/_xlfn.MAXIFS(EvolucionIncidencia[Nuevos 14 dias],EvolucionIncidencia[Area_Sanitaria],EvolucionIncidencia[[#This Row],[Area_Sanitaria]]))</f>
        <v/>
      </c>
    </row>
    <row r="14" spans="1:29" x14ac:dyDescent="0.3">
      <c r="A14" s="1">
        <v>44171</v>
      </c>
      <c r="B14" s="2" t="s">
        <v>6</v>
      </c>
      <c r="C14" s="15">
        <v>5738</v>
      </c>
      <c r="D14" s="15">
        <v>971</v>
      </c>
      <c r="E14" s="15">
        <v>4708</v>
      </c>
      <c r="F14">
        <v>44</v>
      </c>
      <c r="G14">
        <v>9</v>
      </c>
      <c r="H14" s="15">
        <v>95971</v>
      </c>
      <c r="I14" s="15">
        <v>60</v>
      </c>
      <c r="J14" s="15">
        <v>43754</v>
      </c>
      <c r="K14" s="15">
        <v>33</v>
      </c>
      <c r="L14">
        <v>-19</v>
      </c>
      <c r="M14">
        <v>2</v>
      </c>
      <c r="N14">
        <v>0</v>
      </c>
      <c r="O14" s="15">
        <v>657</v>
      </c>
      <c r="P14" s="15">
        <v>35</v>
      </c>
      <c r="Q14" s="15">
        <v>692</v>
      </c>
      <c r="R14">
        <v>0.9808080808080808</v>
      </c>
      <c r="S14" s="15">
        <v>52</v>
      </c>
      <c r="T14" t="s">
        <v>370</v>
      </c>
      <c r="U14" s="15" t="str">
        <f>TEXT(EvolucionIncidencia[[#This Row],[Fecha]],"DDDD")</f>
        <v>domingo</v>
      </c>
      <c r="V1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4" s="2" t="str">
        <f>IF(EvolucionIncidencia[[#This Row],[Fecha]]&lt;=MIN(EvolucionIncidencia[Fecha])+14,"",EvolucionIncidencia[[#This Row],[NuevasAltas]]-EvolucionIncidencia[[#This Row],[Previsión Altas]])</f>
        <v/>
      </c>
      <c r="Y1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4" s="2" t="str">
        <f>IF(LEN(EvolucionIncidencia[[#This Row],[Nuevos 7 dias]])=0,"",EvolucionIncidencia[[#This Row],[Nuevos 7 dias]]/_xlfn.MAXIFS(EvolucionIncidencia[Nuevos 7 dias],EvolucionIncidencia[Area_Sanitaria],EvolucionIncidencia[[#This Row],[Area_Sanitaria]]))</f>
        <v/>
      </c>
      <c r="AB14" s="2" t="str">
        <f>IF(LEN(EvolucionIncidencia[[#This Row],[Nuevos 14 dias]])=0,"",EvolucionIncidencia[[#This Row],[Nuevos 14 dias]]/_xlfn.MAXIFS(EvolucionIncidencia[Nuevos 14 dias],EvolucionIncidencia[Area_Sanitaria],EvolucionIncidencia[[#This Row],[Area_Sanitaria]]))</f>
        <v/>
      </c>
    </row>
    <row r="15" spans="1:29" hidden="1" x14ac:dyDescent="0.3">
      <c r="A15" s="1">
        <v>44171</v>
      </c>
      <c r="B15" s="2" t="s">
        <v>7</v>
      </c>
      <c r="C15" s="15">
        <v>8151</v>
      </c>
      <c r="D15" s="15">
        <v>795</v>
      </c>
      <c r="E15" s="15">
        <v>7187</v>
      </c>
      <c r="F15">
        <v>45</v>
      </c>
      <c r="G15">
        <v>6</v>
      </c>
      <c r="H15" s="15">
        <v>151823</v>
      </c>
      <c r="I15" s="15">
        <v>170</v>
      </c>
      <c r="J15" s="15">
        <v>87906</v>
      </c>
      <c r="K15" s="15">
        <v>47</v>
      </c>
      <c r="L15">
        <v>11</v>
      </c>
      <c r="M15">
        <v>2</v>
      </c>
      <c r="N15">
        <v>0</v>
      </c>
      <c r="O15" s="15">
        <v>1178</v>
      </c>
      <c r="P15" s="15">
        <v>57</v>
      </c>
      <c r="Q15" s="15">
        <v>1235</v>
      </c>
      <c r="R15">
        <v>1.0140306122448979</v>
      </c>
      <c r="S15" s="15">
        <v>36</v>
      </c>
      <c r="T15" t="s">
        <v>370</v>
      </c>
      <c r="U15" s="15" t="str">
        <f>TEXT(EvolucionIncidencia[[#This Row],[Fecha]],"DDDD")</f>
        <v>domingo</v>
      </c>
      <c r="V1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5" s="2" t="str">
        <f>IF(EvolucionIncidencia[[#This Row],[Fecha]]&lt;=MIN(EvolucionIncidencia[Fecha])+14,"",EvolucionIncidencia[[#This Row],[NuevasAltas]]-EvolucionIncidencia[[#This Row],[Previsión Altas]])</f>
        <v/>
      </c>
      <c r="Y1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5" s="2" t="str">
        <f>IF(LEN(EvolucionIncidencia[[#This Row],[Nuevos 7 dias]])=0,"",EvolucionIncidencia[[#This Row],[Nuevos 7 dias]]/_xlfn.MAXIFS(EvolucionIncidencia[Nuevos 7 dias],EvolucionIncidencia[Area_Sanitaria],EvolucionIncidencia[[#This Row],[Area_Sanitaria]]))</f>
        <v/>
      </c>
      <c r="AB15" s="2" t="str">
        <f>IF(LEN(EvolucionIncidencia[[#This Row],[Nuevos 14 dias]])=0,"",EvolucionIncidencia[[#This Row],[Nuevos 14 dias]]/_xlfn.MAXIFS(EvolucionIncidencia[Nuevos 14 dias],EvolucionIncidencia[Area_Sanitaria],EvolucionIncidencia[[#This Row],[Area_Sanitaria]]))</f>
        <v/>
      </c>
    </row>
    <row r="16" spans="1:29" hidden="1" x14ac:dyDescent="0.3">
      <c r="A16" s="1">
        <v>44171</v>
      </c>
      <c r="B16" s="2" t="s">
        <v>2</v>
      </c>
      <c r="C16" s="15">
        <v>10631</v>
      </c>
      <c r="D16" s="15">
        <v>1782</v>
      </c>
      <c r="E16" s="15">
        <v>8621</v>
      </c>
      <c r="F16">
        <v>66</v>
      </c>
      <c r="G16">
        <v>11</v>
      </c>
      <c r="H16" s="15">
        <v>194587</v>
      </c>
      <c r="I16" s="15">
        <v>229</v>
      </c>
      <c r="J16" s="15">
        <v>56337</v>
      </c>
      <c r="K16" s="15">
        <v>53</v>
      </c>
      <c r="L16">
        <v>-18</v>
      </c>
      <c r="M16">
        <v>1</v>
      </c>
      <c r="N16">
        <v>-1</v>
      </c>
      <c r="O16" s="15">
        <v>1383</v>
      </c>
      <c r="P16" s="15">
        <v>25</v>
      </c>
      <c r="Q16" s="15">
        <v>1408</v>
      </c>
      <c r="R16">
        <v>0.99</v>
      </c>
      <c r="S16" s="15">
        <v>66</v>
      </c>
      <c r="T16" t="s">
        <v>370</v>
      </c>
      <c r="U16" s="15" t="str">
        <f>TEXT(EvolucionIncidencia[[#This Row],[Fecha]],"DDDD")</f>
        <v>domingo</v>
      </c>
      <c r="V1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6" s="2" t="str">
        <f>IF(EvolucionIncidencia[[#This Row],[Fecha]]&lt;=MIN(EvolucionIncidencia[Fecha])+14,"",EvolucionIncidencia[[#This Row],[NuevasAltas]]-EvolucionIncidencia[[#This Row],[Previsión Altas]])</f>
        <v/>
      </c>
      <c r="Y1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6" s="2" t="str">
        <f>IF(LEN(EvolucionIncidencia[[#This Row],[Nuevos 7 dias]])=0,"",EvolucionIncidencia[[#This Row],[Nuevos 7 dias]]/_xlfn.MAXIFS(EvolucionIncidencia[Nuevos 7 dias],EvolucionIncidencia[Area_Sanitaria],EvolucionIncidencia[[#This Row],[Area_Sanitaria]]))</f>
        <v/>
      </c>
      <c r="AB16" s="2" t="str">
        <f>IF(LEN(EvolucionIncidencia[[#This Row],[Nuevos 14 dias]])=0,"",EvolucionIncidencia[[#This Row],[Nuevos 14 dias]]/_xlfn.MAXIFS(EvolucionIncidencia[Nuevos 14 dias],EvolucionIncidencia[Area_Sanitaria],EvolucionIncidencia[[#This Row],[Area_Sanitaria]]))</f>
        <v/>
      </c>
    </row>
    <row r="17" spans="1:28" hidden="1" x14ac:dyDescent="0.3">
      <c r="A17" s="1">
        <v>44171</v>
      </c>
      <c r="B17" s="2" t="s">
        <v>3</v>
      </c>
      <c r="C17" s="15">
        <v>54473</v>
      </c>
      <c r="D17" s="15">
        <v>6644</v>
      </c>
      <c r="E17" s="15">
        <v>46575</v>
      </c>
      <c r="F17">
        <v>352</v>
      </c>
      <c r="G17">
        <v>60</v>
      </c>
      <c r="H17" s="15">
        <v>939896</v>
      </c>
      <c r="I17" s="15">
        <v>1257</v>
      </c>
      <c r="J17" s="15">
        <v>428524</v>
      </c>
      <c r="K17" s="15">
        <v>274</v>
      </c>
      <c r="L17">
        <v>-82</v>
      </c>
      <c r="M17">
        <v>10</v>
      </c>
      <c r="N17">
        <v>-4</v>
      </c>
      <c r="O17" s="15">
        <v>5364</v>
      </c>
      <c r="P17" s="15">
        <v>341</v>
      </c>
      <c r="Q17" s="15">
        <v>5705</v>
      </c>
      <c r="R17">
        <v>0.98780850431162648</v>
      </c>
      <c r="S17" s="15">
        <v>349</v>
      </c>
      <c r="T17" t="s">
        <v>370</v>
      </c>
      <c r="U17" s="15" t="str">
        <f>TEXT(EvolucionIncidencia[[#This Row],[Fecha]],"DDDD")</f>
        <v>domingo</v>
      </c>
      <c r="V1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7" s="2" t="str">
        <f>IF(EvolucionIncidencia[[#This Row],[Fecha]]&lt;=MIN(EvolucionIncidencia[Fecha])+14,"",EvolucionIncidencia[[#This Row],[NuevasAltas]]-EvolucionIncidencia[[#This Row],[Previsión Altas]])</f>
        <v/>
      </c>
      <c r="Y1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7" s="2" t="str">
        <f>IF(LEN(EvolucionIncidencia[[#This Row],[Nuevos 7 dias]])=0,"",EvolucionIncidencia[[#This Row],[Nuevos 7 dias]]/_xlfn.MAXIFS(EvolucionIncidencia[Nuevos 7 dias],EvolucionIncidencia[Area_Sanitaria],EvolucionIncidencia[[#This Row],[Area_Sanitaria]]))</f>
        <v/>
      </c>
      <c r="AB17" s="2" t="str">
        <f>IF(LEN(EvolucionIncidencia[[#This Row],[Nuevos 14 dias]])=0,"",EvolucionIncidencia[[#This Row],[Nuevos 14 dias]]/_xlfn.MAXIFS(EvolucionIncidencia[Nuevos 14 dias],EvolucionIncidencia[Area_Sanitaria],EvolucionIncidencia[[#This Row],[Area_Sanitaria]]))</f>
        <v/>
      </c>
    </row>
    <row r="18" spans="1:28" hidden="1" x14ac:dyDescent="0.3">
      <c r="A18" s="1">
        <v>44172</v>
      </c>
      <c r="B18" s="2" t="s">
        <v>4</v>
      </c>
      <c r="C18" s="15">
        <v>12344</v>
      </c>
      <c r="D18" s="15">
        <v>1244</v>
      </c>
      <c r="E18" s="15">
        <v>10811</v>
      </c>
      <c r="F18">
        <v>87</v>
      </c>
      <c r="G18">
        <v>17</v>
      </c>
      <c r="H18" s="15">
        <v>206951</v>
      </c>
      <c r="I18" s="15">
        <v>293</v>
      </c>
      <c r="J18" s="15">
        <v>73566</v>
      </c>
      <c r="K18" s="15">
        <v>37</v>
      </c>
      <c r="L18">
        <v>-105</v>
      </c>
      <c r="M18">
        <v>-11</v>
      </c>
      <c r="N18">
        <v>-5</v>
      </c>
      <c r="O18" s="15">
        <v>446</v>
      </c>
      <c r="P18" s="15">
        <v>168</v>
      </c>
      <c r="Q18" s="15">
        <v>614</v>
      </c>
      <c r="R18">
        <v>0.92216456634544108</v>
      </c>
      <c r="S18" s="15">
        <v>140</v>
      </c>
      <c r="T18" t="s">
        <v>371</v>
      </c>
      <c r="U18" s="15" t="str">
        <f>TEXT(EvolucionIncidencia[[#This Row],[Fecha]],"DDDD")</f>
        <v>lunes</v>
      </c>
      <c r="V1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8" s="2" t="str">
        <f>IF(EvolucionIncidencia[[#This Row],[Fecha]]&lt;=MIN(EvolucionIncidencia[Fecha])+14,"",EvolucionIncidencia[[#This Row],[NuevasAltas]]-EvolucionIncidencia[[#This Row],[Previsión Altas]])</f>
        <v/>
      </c>
      <c r="Y1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8" s="2" t="str">
        <f>IF(LEN(EvolucionIncidencia[[#This Row],[Nuevos 7 dias]])=0,"",EvolucionIncidencia[[#This Row],[Nuevos 7 dias]]/_xlfn.MAXIFS(EvolucionIncidencia[Nuevos 7 dias],EvolucionIncidencia[Area_Sanitaria],EvolucionIncidencia[[#This Row],[Area_Sanitaria]]))</f>
        <v/>
      </c>
      <c r="AB18" s="2" t="str">
        <f>IF(LEN(EvolucionIncidencia[[#This Row],[Nuevos 14 dias]])=0,"",EvolucionIncidencia[[#This Row],[Nuevos 14 dias]]/_xlfn.MAXIFS(EvolucionIncidencia[Nuevos 14 dias],EvolucionIncidencia[Area_Sanitaria],EvolucionIncidencia[[#This Row],[Area_Sanitaria]]))</f>
        <v/>
      </c>
    </row>
    <row r="19" spans="1:28" hidden="1" x14ac:dyDescent="0.3">
      <c r="A19" s="1">
        <v>44172</v>
      </c>
      <c r="B19" s="2" t="s">
        <v>5</v>
      </c>
      <c r="C19" s="15">
        <v>3482</v>
      </c>
      <c r="D19" s="15">
        <v>552</v>
      </c>
      <c r="E19" s="15">
        <v>2849</v>
      </c>
      <c r="F19">
        <v>29</v>
      </c>
      <c r="G19">
        <v>4</v>
      </c>
      <c r="H19" s="15">
        <v>65342</v>
      </c>
      <c r="I19" s="15">
        <v>79</v>
      </c>
      <c r="J19" s="15">
        <v>29311</v>
      </c>
      <c r="K19" s="15">
        <v>16</v>
      </c>
      <c r="L19">
        <v>-24</v>
      </c>
      <c r="M19">
        <v>-1</v>
      </c>
      <c r="N19">
        <v>-2</v>
      </c>
      <c r="O19" s="15">
        <v>333</v>
      </c>
      <c r="P19" s="15">
        <v>71</v>
      </c>
      <c r="Q19" s="15">
        <v>404</v>
      </c>
      <c r="R19">
        <v>0.95833333333333337</v>
      </c>
      <c r="S19" s="15">
        <v>39</v>
      </c>
      <c r="T19" t="s">
        <v>371</v>
      </c>
      <c r="U19" s="15" t="str">
        <f>TEXT(EvolucionIncidencia[[#This Row],[Fecha]],"DDDD")</f>
        <v>lunes</v>
      </c>
      <c r="V1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9" s="2" t="str">
        <f>IF(EvolucionIncidencia[[#This Row],[Fecha]]&lt;=MIN(EvolucionIncidencia[Fecha])+14,"",EvolucionIncidencia[[#This Row],[NuevasAltas]]-EvolucionIncidencia[[#This Row],[Previsión Altas]])</f>
        <v/>
      </c>
      <c r="Y1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9" s="2" t="str">
        <f>IF(LEN(EvolucionIncidencia[[#This Row],[Nuevos 7 dias]])=0,"",EvolucionIncidencia[[#This Row],[Nuevos 7 dias]]/_xlfn.MAXIFS(EvolucionIncidencia[Nuevos 7 dias],EvolucionIncidencia[Area_Sanitaria],EvolucionIncidencia[[#This Row],[Area_Sanitaria]]))</f>
        <v/>
      </c>
      <c r="AB19" s="2" t="str">
        <f>IF(LEN(EvolucionIncidencia[[#This Row],[Nuevos 14 dias]])=0,"",EvolucionIncidencia[[#This Row],[Nuevos 14 dias]]/_xlfn.MAXIFS(EvolucionIncidencia[Nuevos 14 dias],EvolucionIncidencia[Area_Sanitaria],EvolucionIncidencia[[#This Row],[Area_Sanitaria]]))</f>
        <v/>
      </c>
    </row>
    <row r="20" spans="1:28" hidden="1" x14ac:dyDescent="0.3">
      <c r="A20" s="1">
        <v>44172</v>
      </c>
      <c r="B20" s="2" t="s">
        <v>8</v>
      </c>
      <c r="C20" s="15">
        <v>6502</v>
      </c>
      <c r="D20" s="15">
        <v>624</v>
      </c>
      <c r="E20" s="15">
        <v>5741</v>
      </c>
      <c r="F20">
        <v>23</v>
      </c>
      <c r="G20">
        <v>2</v>
      </c>
      <c r="H20" s="15">
        <v>107557</v>
      </c>
      <c r="I20" s="15">
        <v>136</v>
      </c>
      <c r="J20" s="15">
        <v>72701</v>
      </c>
      <c r="K20" s="15">
        <v>18</v>
      </c>
      <c r="L20">
        <v>-147</v>
      </c>
      <c r="M20">
        <v>-7</v>
      </c>
      <c r="N20">
        <v>1</v>
      </c>
      <c r="O20" s="15">
        <v>454</v>
      </c>
      <c r="P20" s="15">
        <v>87</v>
      </c>
      <c r="Q20" s="15">
        <v>541</v>
      </c>
      <c r="R20">
        <v>0.80933852140077822</v>
      </c>
      <c r="S20" s="15">
        <v>162</v>
      </c>
      <c r="T20" t="s">
        <v>371</v>
      </c>
      <c r="U20" s="15" t="str">
        <f>TEXT(EvolucionIncidencia[[#This Row],[Fecha]],"DDDD")</f>
        <v>lunes</v>
      </c>
      <c r="V2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0" s="2" t="str">
        <f>IF(EvolucionIncidencia[[#This Row],[Fecha]]&lt;=MIN(EvolucionIncidencia[Fecha])+14,"",EvolucionIncidencia[[#This Row],[NuevasAltas]]-EvolucionIncidencia[[#This Row],[Previsión Altas]])</f>
        <v/>
      </c>
      <c r="Y2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0" s="2" t="str">
        <f>IF(LEN(EvolucionIncidencia[[#This Row],[Nuevos 7 dias]])=0,"",EvolucionIncidencia[[#This Row],[Nuevos 7 dias]]/_xlfn.MAXIFS(EvolucionIncidencia[Nuevos 7 dias],EvolucionIncidencia[Area_Sanitaria],EvolucionIncidencia[[#This Row],[Area_Sanitaria]]))</f>
        <v/>
      </c>
      <c r="AB20" s="2" t="str">
        <f>IF(LEN(EvolucionIncidencia[[#This Row],[Nuevos 14 dias]])=0,"",EvolucionIncidencia[[#This Row],[Nuevos 14 dias]]/_xlfn.MAXIFS(EvolucionIncidencia[Nuevos 14 dias],EvolucionIncidencia[Area_Sanitaria],EvolucionIncidencia[[#This Row],[Area_Sanitaria]]))</f>
        <v/>
      </c>
    </row>
    <row r="21" spans="1:28" hidden="1" x14ac:dyDescent="0.3">
      <c r="A21" s="1">
        <v>44172</v>
      </c>
      <c r="B21" s="2" t="s">
        <v>9</v>
      </c>
      <c r="C21" s="15">
        <v>7718</v>
      </c>
      <c r="D21" s="15">
        <v>377</v>
      </c>
      <c r="E21" s="15">
        <v>7044</v>
      </c>
      <c r="F21">
        <v>33</v>
      </c>
      <c r="G21">
        <v>3</v>
      </c>
      <c r="H21" s="15">
        <v>119598</v>
      </c>
      <c r="I21" s="15">
        <v>296</v>
      </c>
      <c r="J21" s="15">
        <v>65354</v>
      </c>
      <c r="K21" s="15">
        <v>22</v>
      </c>
      <c r="L21">
        <v>-23</v>
      </c>
      <c r="M21">
        <v>-6</v>
      </c>
      <c r="N21">
        <v>-2</v>
      </c>
      <c r="O21" s="15">
        <v>700</v>
      </c>
      <c r="P21" s="15">
        <v>79</v>
      </c>
      <c r="Q21" s="15">
        <v>779</v>
      </c>
      <c r="R21">
        <v>0.9425</v>
      </c>
      <c r="S21" s="15">
        <v>45</v>
      </c>
      <c r="T21" t="s">
        <v>371</v>
      </c>
      <c r="U21" s="15" t="str">
        <f>TEXT(EvolucionIncidencia[[#This Row],[Fecha]],"DDDD")</f>
        <v>lunes</v>
      </c>
      <c r="V2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1" s="2" t="str">
        <f>IF(EvolucionIncidencia[[#This Row],[Fecha]]&lt;=MIN(EvolucionIncidencia[Fecha])+14,"",EvolucionIncidencia[[#This Row],[NuevasAltas]]-EvolucionIncidencia[[#This Row],[Previsión Altas]])</f>
        <v/>
      </c>
      <c r="Y2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1" s="2" t="str">
        <f>IF(LEN(EvolucionIncidencia[[#This Row],[Nuevos 7 dias]])=0,"",EvolucionIncidencia[[#This Row],[Nuevos 7 dias]]/_xlfn.MAXIFS(EvolucionIncidencia[Nuevos 7 dias],EvolucionIncidencia[Area_Sanitaria],EvolucionIncidencia[[#This Row],[Area_Sanitaria]]))</f>
        <v/>
      </c>
      <c r="AB21" s="2" t="str">
        <f>IF(LEN(EvolucionIncidencia[[#This Row],[Nuevos 14 dias]])=0,"",EvolucionIncidencia[[#This Row],[Nuevos 14 dias]]/_xlfn.MAXIFS(EvolucionIncidencia[Nuevos 14 dias],EvolucionIncidencia[Area_Sanitaria],EvolucionIncidencia[[#This Row],[Area_Sanitaria]]))</f>
        <v/>
      </c>
    </row>
    <row r="22" spans="1:28" x14ac:dyDescent="0.3">
      <c r="A22" s="1">
        <v>44172</v>
      </c>
      <c r="B22" s="2" t="s">
        <v>6</v>
      </c>
      <c r="C22" s="15">
        <v>5782</v>
      </c>
      <c r="D22" s="15">
        <v>899</v>
      </c>
      <c r="E22" s="15">
        <v>4822</v>
      </c>
      <c r="F22">
        <v>40</v>
      </c>
      <c r="G22">
        <v>9</v>
      </c>
      <c r="H22" s="15">
        <v>96546</v>
      </c>
      <c r="I22" s="15">
        <v>62</v>
      </c>
      <c r="J22" s="15">
        <v>43847</v>
      </c>
      <c r="K22" s="15">
        <v>44</v>
      </c>
      <c r="L22">
        <v>-72</v>
      </c>
      <c r="M22">
        <v>-4</v>
      </c>
      <c r="N22">
        <v>0</v>
      </c>
      <c r="O22" s="15">
        <v>575</v>
      </c>
      <c r="P22" s="15">
        <v>93</v>
      </c>
      <c r="Q22" s="15">
        <v>668</v>
      </c>
      <c r="R22">
        <v>0.92584963954685895</v>
      </c>
      <c r="S22" s="15">
        <v>114</v>
      </c>
      <c r="T22" t="s">
        <v>371</v>
      </c>
      <c r="U22" s="15" t="str">
        <f>TEXT(EvolucionIncidencia[[#This Row],[Fecha]],"DDDD")</f>
        <v>lunes</v>
      </c>
      <c r="V2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2" s="2" t="str">
        <f>IF(EvolucionIncidencia[[#This Row],[Fecha]]&lt;=MIN(EvolucionIncidencia[Fecha])+14,"",EvolucionIncidencia[[#This Row],[NuevasAltas]]-EvolucionIncidencia[[#This Row],[Previsión Altas]])</f>
        <v/>
      </c>
      <c r="Y2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2" s="2" t="str">
        <f>IF(LEN(EvolucionIncidencia[[#This Row],[Nuevos 7 dias]])=0,"",EvolucionIncidencia[[#This Row],[Nuevos 7 dias]]/_xlfn.MAXIFS(EvolucionIncidencia[Nuevos 7 dias],EvolucionIncidencia[Area_Sanitaria],EvolucionIncidencia[[#This Row],[Area_Sanitaria]]))</f>
        <v/>
      </c>
      <c r="AB22" s="2" t="str">
        <f>IF(LEN(EvolucionIncidencia[[#This Row],[Nuevos 14 dias]])=0,"",EvolucionIncidencia[[#This Row],[Nuevos 14 dias]]/_xlfn.MAXIFS(EvolucionIncidencia[Nuevos 14 dias],EvolucionIncidencia[Area_Sanitaria],EvolucionIncidencia[[#This Row],[Area_Sanitaria]]))</f>
        <v/>
      </c>
    </row>
    <row r="23" spans="1:28" hidden="1" x14ac:dyDescent="0.3">
      <c r="A23" s="1">
        <v>44172</v>
      </c>
      <c r="B23" s="2" t="s">
        <v>7</v>
      </c>
      <c r="C23" s="15">
        <v>8216</v>
      </c>
      <c r="D23" s="15">
        <v>783</v>
      </c>
      <c r="E23" s="15">
        <v>7264</v>
      </c>
      <c r="F23">
        <v>51</v>
      </c>
      <c r="G23">
        <v>6</v>
      </c>
      <c r="H23" s="15">
        <v>153607</v>
      </c>
      <c r="I23" s="15">
        <v>170</v>
      </c>
      <c r="J23" s="15">
        <v>88087</v>
      </c>
      <c r="K23" s="15">
        <v>65</v>
      </c>
      <c r="L23">
        <v>-12</v>
      </c>
      <c r="M23">
        <v>6</v>
      </c>
      <c r="N23">
        <v>0</v>
      </c>
      <c r="O23" s="15">
        <v>1784</v>
      </c>
      <c r="P23" s="15">
        <v>181</v>
      </c>
      <c r="Q23" s="15">
        <v>1965</v>
      </c>
      <c r="R23">
        <v>0.98490566037735849</v>
      </c>
      <c r="S23" s="15">
        <v>77</v>
      </c>
      <c r="T23" t="s">
        <v>371</v>
      </c>
      <c r="U23" s="15" t="str">
        <f>TEXT(EvolucionIncidencia[[#This Row],[Fecha]],"DDDD")</f>
        <v>lunes</v>
      </c>
      <c r="V2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3" s="2" t="str">
        <f>IF(EvolucionIncidencia[[#This Row],[Fecha]]&lt;=MIN(EvolucionIncidencia[Fecha])+14,"",EvolucionIncidencia[[#This Row],[NuevasAltas]]-EvolucionIncidencia[[#This Row],[Previsión Altas]])</f>
        <v/>
      </c>
      <c r="Y2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3" s="2" t="str">
        <f>IF(LEN(EvolucionIncidencia[[#This Row],[Nuevos 7 dias]])=0,"",EvolucionIncidencia[[#This Row],[Nuevos 7 dias]]/_xlfn.MAXIFS(EvolucionIncidencia[Nuevos 7 dias],EvolucionIncidencia[Area_Sanitaria],EvolucionIncidencia[[#This Row],[Area_Sanitaria]]))</f>
        <v/>
      </c>
      <c r="AB23" s="2" t="str">
        <f>IF(LEN(EvolucionIncidencia[[#This Row],[Nuevos 14 dias]])=0,"",EvolucionIncidencia[[#This Row],[Nuevos 14 dias]]/_xlfn.MAXIFS(EvolucionIncidencia[Nuevos 14 dias],EvolucionIncidencia[Area_Sanitaria],EvolucionIncidencia[[#This Row],[Area_Sanitaria]]))</f>
        <v/>
      </c>
    </row>
    <row r="24" spans="1:28" hidden="1" x14ac:dyDescent="0.3">
      <c r="A24" s="1">
        <v>44172</v>
      </c>
      <c r="B24" s="2" t="s">
        <v>2</v>
      </c>
      <c r="C24" s="15">
        <v>10691</v>
      </c>
      <c r="D24" s="15">
        <v>1517</v>
      </c>
      <c r="E24" s="15">
        <v>8938</v>
      </c>
      <c r="F24">
        <v>59</v>
      </c>
      <c r="G24">
        <v>9</v>
      </c>
      <c r="H24" s="15">
        <v>195913</v>
      </c>
      <c r="I24" s="15">
        <v>237</v>
      </c>
      <c r="J24" s="15">
        <v>56394</v>
      </c>
      <c r="K24" s="15">
        <v>60</v>
      </c>
      <c r="L24">
        <v>-265</v>
      </c>
      <c r="M24">
        <v>-7</v>
      </c>
      <c r="N24">
        <v>-2</v>
      </c>
      <c r="O24" s="15">
        <v>1326</v>
      </c>
      <c r="P24" s="15">
        <v>57</v>
      </c>
      <c r="Q24" s="15">
        <v>1383</v>
      </c>
      <c r="R24">
        <v>0.85129068462401791</v>
      </c>
      <c r="S24" s="15">
        <v>317</v>
      </c>
      <c r="T24" t="s">
        <v>371</v>
      </c>
      <c r="U24" s="15" t="str">
        <f>TEXT(EvolucionIncidencia[[#This Row],[Fecha]],"DDDD")</f>
        <v>lunes</v>
      </c>
      <c r="V2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4" s="2" t="str">
        <f>IF(EvolucionIncidencia[[#This Row],[Fecha]]&lt;=MIN(EvolucionIncidencia[Fecha])+14,"",EvolucionIncidencia[[#This Row],[NuevasAltas]]-EvolucionIncidencia[[#This Row],[Previsión Altas]])</f>
        <v/>
      </c>
      <c r="Y2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4" s="2" t="str">
        <f>IF(LEN(EvolucionIncidencia[[#This Row],[Nuevos 7 dias]])=0,"",EvolucionIncidencia[[#This Row],[Nuevos 7 dias]]/_xlfn.MAXIFS(EvolucionIncidencia[Nuevos 7 dias],EvolucionIncidencia[Area_Sanitaria],EvolucionIncidencia[[#This Row],[Area_Sanitaria]]))</f>
        <v/>
      </c>
      <c r="AB24" s="2" t="str">
        <f>IF(LEN(EvolucionIncidencia[[#This Row],[Nuevos 14 dias]])=0,"",EvolucionIncidencia[[#This Row],[Nuevos 14 dias]]/_xlfn.MAXIFS(EvolucionIncidencia[Nuevos 14 dias],EvolucionIncidencia[Area_Sanitaria],EvolucionIncidencia[[#This Row],[Area_Sanitaria]]))</f>
        <v/>
      </c>
    </row>
    <row r="25" spans="1:28" hidden="1" x14ac:dyDescent="0.3">
      <c r="A25" s="1">
        <v>44172</v>
      </c>
      <c r="B25" s="2" t="s">
        <v>3</v>
      </c>
      <c r="C25" s="15">
        <v>54735</v>
      </c>
      <c r="D25" s="15">
        <v>5996</v>
      </c>
      <c r="E25" s="15">
        <v>47469</v>
      </c>
      <c r="F25">
        <v>322</v>
      </c>
      <c r="G25">
        <v>50</v>
      </c>
      <c r="H25" s="15">
        <v>945514</v>
      </c>
      <c r="I25" s="15">
        <v>1273</v>
      </c>
      <c r="J25" s="15">
        <v>429260</v>
      </c>
      <c r="K25" s="15">
        <v>262</v>
      </c>
      <c r="L25">
        <v>-648</v>
      </c>
      <c r="M25">
        <v>-30</v>
      </c>
      <c r="N25">
        <v>-10</v>
      </c>
      <c r="O25" s="15">
        <v>5618</v>
      </c>
      <c r="P25" s="15">
        <v>736</v>
      </c>
      <c r="Q25" s="15">
        <v>6354</v>
      </c>
      <c r="R25">
        <v>0.90246839253461775</v>
      </c>
      <c r="S25" s="15">
        <v>894</v>
      </c>
      <c r="T25" t="s">
        <v>371</v>
      </c>
      <c r="U25" s="15" t="str">
        <f>TEXT(EvolucionIncidencia[[#This Row],[Fecha]],"DDDD")</f>
        <v>lunes</v>
      </c>
      <c r="V2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5" s="2" t="str">
        <f>IF(EvolucionIncidencia[[#This Row],[Fecha]]&lt;=MIN(EvolucionIncidencia[Fecha])+14,"",EvolucionIncidencia[[#This Row],[NuevasAltas]]-EvolucionIncidencia[[#This Row],[Previsión Altas]])</f>
        <v/>
      </c>
      <c r="Y2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5" s="2" t="str">
        <f>IF(LEN(EvolucionIncidencia[[#This Row],[Nuevos 7 dias]])=0,"",EvolucionIncidencia[[#This Row],[Nuevos 7 dias]]/_xlfn.MAXIFS(EvolucionIncidencia[Nuevos 7 dias],EvolucionIncidencia[Area_Sanitaria],EvolucionIncidencia[[#This Row],[Area_Sanitaria]]))</f>
        <v/>
      </c>
      <c r="AB25" s="2" t="str">
        <f>IF(LEN(EvolucionIncidencia[[#This Row],[Nuevos 14 dias]])=0,"",EvolucionIncidencia[[#This Row],[Nuevos 14 dias]]/_xlfn.MAXIFS(EvolucionIncidencia[Nuevos 14 dias],EvolucionIncidencia[Area_Sanitaria],EvolucionIncidencia[[#This Row],[Area_Sanitaria]]))</f>
        <v/>
      </c>
    </row>
    <row r="26" spans="1:28" hidden="1" x14ac:dyDescent="0.3">
      <c r="A26" s="1">
        <v>44173</v>
      </c>
      <c r="B26" s="2" t="s">
        <v>4</v>
      </c>
      <c r="C26" s="15">
        <v>12391</v>
      </c>
      <c r="D26" s="15">
        <v>1193</v>
      </c>
      <c r="E26" s="15">
        <v>10909</v>
      </c>
      <c r="F26">
        <v>84</v>
      </c>
      <c r="G26">
        <v>16</v>
      </c>
      <c r="H26" s="15">
        <v>208362</v>
      </c>
      <c r="I26" s="15">
        <v>293</v>
      </c>
      <c r="J26" s="15">
        <v>73636</v>
      </c>
      <c r="K26" s="15">
        <v>47</v>
      </c>
      <c r="L26">
        <v>-51</v>
      </c>
      <c r="M26">
        <v>-3</v>
      </c>
      <c r="N26">
        <v>-1</v>
      </c>
      <c r="O26" s="15">
        <v>1411</v>
      </c>
      <c r="P26" s="15">
        <v>70</v>
      </c>
      <c r="Q26" s="15">
        <v>1481</v>
      </c>
      <c r="R26">
        <v>0.95900321543408362</v>
      </c>
      <c r="S26" s="15">
        <v>98</v>
      </c>
      <c r="T26" t="s">
        <v>372</v>
      </c>
      <c r="U26" s="15" t="str">
        <f>TEXT(EvolucionIncidencia[[#This Row],[Fecha]],"DDDD")</f>
        <v>martes</v>
      </c>
      <c r="V2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6" s="2" t="str">
        <f>IF(EvolucionIncidencia[[#This Row],[Fecha]]&lt;=MIN(EvolucionIncidencia[Fecha])+14,"",EvolucionIncidencia[[#This Row],[NuevasAltas]]-EvolucionIncidencia[[#This Row],[Previsión Altas]])</f>
        <v/>
      </c>
      <c r="Y2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6" s="2" t="str">
        <f>IF(LEN(EvolucionIncidencia[[#This Row],[Nuevos 7 dias]])=0,"",EvolucionIncidencia[[#This Row],[Nuevos 7 dias]]/_xlfn.MAXIFS(EvolucionIncidencia[Nuevos 7 dias],EvolucionIncidencia[Area_Sanitaria],EvolucionIncidencia[[#This Row],[Area_Sanitaria]]))</f>
        <v/>
      </c>
      <c r="AB26" s="2" t="str">
        <f>IF(LEN(EvolucionIncidencia[[#This Row],[Nuevos 14 dias]])=0,"",EvolucionIncidencia[[#This Row],[Nuevos 14 dias]]/_xlfn.MAXIFS(EvolucionIncidencia[Nuevos 14 dias],EvolucionIncidencia[Area_Sanitaria],EvolucionIncidencia[[#This Row],[Area_Sanitaria]]))</f>
        <v/>
      </c>
    </row>
    <row r="27" spans="1:28" hidden="1" x14ac:dyDescent="0.3">
      <c r="A27" s="1">
        <v>44173</v>
      </c>
      <c r="B27" s="2" t="s">
        <v>5</v>
      </c>
      <c r="C27" s="15">
        <v>3533</v>
      </c>
      <c r="D27" s="15">
        <v>596</v>
      </c>
      <c r="E27" s="15">
        <v>2855</v>
      </c>
      <c r="F27">
        <v>28</v>
      </c>
      <c r="G27">
        <v>4</v>
      </c>
      <c r="H27" s="15">
        <v>65972</v>
      </c>
      <c r="I27" s="15">
        <v>80</v>
      </c>
      <c r="J27" s="15">
        <v>29341</v>
      </c>
      <c r="K27" s="15">
        <v>51</v>
      </c>
      <c r="L27">
        <v>44</v>
      </c>
      <c r="M27">
        <v>-1</v>
      </c>
      <c r="N27">
        <v>0</v>
      </c>
      <c r="O27" s="15">
        <v>630</v>
      </c>
      <c r="P27" s="15">
        <v>30</v>
      </c>
      <c r="Q27" s="15">
        <v>660</v>
      </c>
      <c r="R27">
        <v>1.0797101449275361</v>
      </c>
      <c r="S27" s="15">
        <v>6</v>
      </c>
      <c r="T27" t="s">
        <v>372</v>
      </c>
      <c r="U27" s="15" t="str">
        <f>TEXT(EvolucionIncidencia[[#This Row],[Fecha]],"DDDD")</f>
        <v>martes</v>
      </c>
      <c r="V2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7" s="2" t="str">
        <f>IF(EvolucionIncidencia[[#This Row],[Fecha]]&lt;=MIN(EvolucionIncidencia[Fecha])+14,"",EvolucionIncidencia[[#This Row],[NuevasAltas]]-EvolucionIncidencia[[#This Row],[Previsión Altas]])</f>
        <v/>
      </c>
      <c r="Y2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7" s="2" t="str">
        <f>IF(LEN(EvolucionIncidencia[[#This Row],[Nuevos 7 dias]])=0,"",EvolucionIncidencia[[#This Row],[Nuevos 7 dias]]/_xlfn.MAXIFS(EvolucionIncidencia[Nuevos 7 dias],EvolucionIncidencia[Area_Sanitaria],EvolucionIncidencia[[#This Row],[Area_Sanitaria]]))</f>
        <v/>
      </c>
      <c r="AB27" s="2" t="str">
        <f>IF(LEN(EvolucionIncidencia[[#This Row],[Nuevos 14 dias]])=0,"",EvolucionIncidencia[[#This Row],[Nuevos 14 dias]]/_xlfn.MAXIFS(EvolucionIncidencia[Nuevos 14 dias],EvolucionIncidencia[Area_Sanitaria],EvolucionIncidencia[[#This Row],[Area_Sanitaria]]))</f>
        <v/>
      </c>
    </row>
    <row r="28" spans="1:28" hidden="1" x14ac:dyDescent="0.3">
      <c r="A28" s="1">
        <v>44173</v>
      </c>
      <c r="B28" s="2" t="s">
        <v>8</v>
      </c>
      <c r="C28" s="15">
        <v>6532</v>
      </c>
      <c r="D28" s="15">
        <v>606</v>
      </c>
      <c r="E28" s="15">
        <v>5788</v>
      </c>
      <c r="F28">
        <v>27</v>
      </c>
      <c r="G28">
        <v>3</v>
      </c>
      <c r="H28" s="15">
        <v>108268</v>
      </c>
      <c r="I28" s="15">
        <v>137</v>
      </c>
      <c r="J28" s="15">
        <v>72750</v>
      </c>
      <c r="K28" s="15">
        <v>30</v>
      </c>
      <c r="L28">
        <v>-18</v>
      </c>
      <c r="M28">
        <v>4</v>
      </c>
      <c r="N28">
        <v>1</v>
      </c>
      <c r="O28" s="15">
        <v>711</v>
      </c>
      <c r="P28" s="15">
        <v>49</v>
      </c>
      <c r="Q28" s="15">
        <v>760</v>
      </c>
      <c r="R28">
        <v>0.97115384615384615</v>
      </c>
      <c r="S28" s="15">
        <v>47</v>
      </c>
      <c r="T28" t="s">
        <v>372</v>
      </c>
      <c r="U28" s="15" t="str">
        <f>TEXT(EvolucionIncidencia[[#This Row],[Fecha]],"DDDD")</f>
        <v>martes</v>
      </c>
      <c r="V2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8" s="2" t="str">
        <f>IF(EvolucionIncidencia[[#This Row],[Fecha]]&lt;=MIN(EvolucionIncidencia[Fecha])+14,"",EvolucionIncidencia[[#This Row],[NuevasAltas]]-EvolucionIncidencia[[#This Row],[Previsión Altas]])</f>
        <v/>
      </c>
      <c r="Y2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8" s="2" t="str">
        <f>IF(LEN(EvolucionIncidencia[[#This Row],[Nuevos 7 dias]])=0,"",EvolucionIncidencia[[#This Row],[Nuevos 7 dias]]/_xlfn.MAXIFS(EvolucionIncidencia[Nuevos 7 dias],EvolucionIncidencia[Area_Sanitaria],EvolucionIncidencia[[#This Row],[Area_Sanitaria]]))</f>
        <v/>
      </c>
      <c r="AB28" s="2" t="str">
        <f>IF(LEN(EvolucionIncidencia[[#This Row],[Nuevos 14 dias]])=0,"",EvolucionIncidencia[[#This Row],[Nuevos 14 dias]]/_xlfn.MAXIFS(EvolucionIncidencia[Nuevos 14 dias],EvolucionIncidencia[Area_Sanitaria],EvolucionIncidencia[[#This Row],[Area_Sanitaria]]))</f>
        <v/>
      </c>
    </row>
    <row r="29" spans="1:28" hidden="1" x14ac:dyDescent="0.3">
      <c r="A29" s="1">
        <v>44173</v>
      </c>
      <c r="B29" s="2" t="s">
        <v>9</v>
      </c>
      <c r="C29" s="15">
        <v>7752</v>
      </c>
      <c r="D29" s="15">
        <v>377</v>
      </c>
      <c r="E29" s="15">
        <v>7077</v>
      </c>
      <c r="F29">
        <v>33</v>
      </c>
      <c r="G29">
        <v>3</v>
      </c>
      <c r="H29" s="15">
        <v>120257</v>
      </c>
      <c r="I29" s="15">
        <v>297</v>
      </c>
      <c r="J29" s="15">
        <v>65400</v>
      </c>
      <c r="K29" s="15">
        <v>34</v>
      </c>
      <c r="L29">
        <v>0</v>
      </c>
      <c r="M29">
        <v>0</v>
      </c>
      <c r="N29">
        <v>0</v>
      </c>
      <c r="O29" s="15">
        <v>659</v>
      </c>
      <c r="P29" s="15">
        <v>46</v>
      </c>
      <c r="Q29" s="15">
        <v>705</v>
      </c>
      <c r="R29">
        <v>1</v>
      </c>
      <c r="S29" s="15">
        <v>33</v>
      </c>
      <c r="T29" t="s">
        <v>372</v>
      </c>
      <c r="U29" s="15" t="str">
        <f>TEXT(EvolucionIncidencia[[#This Row],[Fecha]],"DDDD")</f>
        <v>martes</v>
      </c>
      <c r="V2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9" s="2" t="str">
        <f>IF(EvolucionIncidencia[[#This Row],[Fecha]]&lt;=MIN(EvolucionIncidencia[Fecha])+14,"",EvolucionIncidencia[[#This Row],[NuevasAltas]]-EvolucionIncidencia[[#This Row],[Previsión Altas]])</f>
        <v/>
      </c>
      <c r="Y2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9" s="2" t="str">
        <f>IF(LEN(EvolucionIncidencia[[#This Row],[Nuevos 7 dias]])=0,"",EvolucionIncidencia[[#This Row],[Nuevos 7 dias]]/_xlfn.MAXIFS(EvolucionIncidencia[Nuevos 7 dias],EvolucionIncidencia[Area_Sanitaria],EvolucionIncidencia[[#This Row],[Area_Sanitaria]]))</f>
        <v/>
      </c>
      <c r="AB29" s="2" t="str">
        <f>IF(LEN(EvolucionIncidencia[[#This Row],[Nuevos 14 dias]])=0,"",EvolucionIncidencia[[#This Row],[Nuevos 14 dias]]/_xlfn.MAXIFS(EvolucionIncidencia[Nuevos 14 dias],EvolucionIncidencia[Area_Sanitaria],EvolucionIncidencia[[#This Row],[Area_Sanitaria]]))</f>
        <v/>
      </c>
    </row>
    <row r="30" spans="1:28" x14ac:dyDescent="0.3">
      <c r="A30" s="1">
        <v>44173</v>
      </c>
      <c r="B30" s="2" t="s">
        <v>6</v>
      </c>
      <c r="C30" s="15">
        <v>5830</v>
      </c>
      <c r="D30" s="15">
        <v>871</v>
      </c>
      <c r="E30" s="15">
        <v>4895</v>
      </c>
      <c r="F30">
        <v>41</v>
      </c>
      <c r="G30">
        <v>9</v>
      </c>
      <c r="H30" s="15">
        <v>97341</v>
      </c>
      <c r="I30" s="15">
        <v>65</v>
      </c>
      <c r="J30" s="15">
        <v>43922</v>
      </c>
      <c r="K30" s="15">
        <v>48</v>
      </c>
      <c r="L30">
        <v>-28</v>
      </c>
      <c r="M30">
        <v>1</v>
      </c>
      <c r="N30">
        <v>0</v>
      </c>
      <c r="O30" s="15">
        <v>795</v>
      </c>
      <c r="P30" s="15">
        <v>75</v>
      </c>
      <c r="Q30" s="15">
        <v>870</v>
      </c>
      <c r="R30">
        <v>0.96885428253615125</v>
      </c>
      <c r="S30" s="15">
        <v>73</v>
      </c>
      <c r="T30" t="s">
        <v>372</v>
      </c>
      <c r="U30" s="15" t="str">
        <f>TEXT(EvolucionIncidencia[[#This Row],[Fecha]],"DDDD")</f>
        <v>martes</v>
      </c>
      <c r="V3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0" s="2" t="str">
        <f>IF(EvolucionIncidencia[[#This Row],[Fecha]]&lt;=MIN(EvolucionIncidencia[Fecha])+14,"",EvolucionIncidencia[[#This Row],[NuevasAltas]]-EvolucionIncidencia[[#This Row],[Previsión Altas]])</f>
        <v/>
      </c>
      <c r="Y3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0" s="2" t="str">
        <f>IF(LEN(EvolucionIncidencia[[#This Row],[Nuevos 7 dias]])=0,"",EvolucionIncidencia[[#This Row],[Nuevos 7 dias]]/_xlfn.MAXIFS(EvolucionIncidencia[Nuevos 7 dias],EvolucionIncidencia[Area_Sanitaria],EvolucionIncidencia[[#This Row],[Area_Sanitaria]]))</f>
        <v/>
      </c>
      <c r="AB30" s="2" t="str">
        <f>IF(LEN(EvolucionIncidencia[[#This Row],[Nuevos 14 dias]])=0,"",EvolucionIncidencia[[#This Row],[Nuevos 14 dias]]/_xlfn.MAXIFS(EvolucionIncidencia[Nuevos 14 dias],EvolucionIncidencia[Area_Sanitaria],EvolucionIncidencia[[#This Row],[Area_Sanitaria]]))</f>
        <v/>
      </c>
    </row>
    <row r="31" spans="1:28" hidden="1" x14ac:dyDescent="0.3">
      <c r="A31" s="1">
        <v>44173</v>
      </c>
      <c r="B31" s="2" t="s">
        <v>7</v>
      </c>
      <c r="C31" s="15">
        <v>8269</v>
      </c>
      <c r="D31" s="15">
        <v>785</v>
      </c>
      <c r="E31" s="15">
        <v>7313</v>
      </c>
      <c r="F31">
        <v>52</v>
      </c>
      <c r="G31">
        <v>6</v>
      </c>
      <c r="H31" s="15">
        <v>154486</v>
      </c>
      <c r="I31" s="15">
        <v>172</v>
      </c>
      <c r="J31" s="15">
        <v>88185</v>
      </c>
      <c r="K31" s="15">
        <v>53</v>
      </c>
      <c r="L31">
        <v>2</v>
      </c>
      <c r="M31">
        <v>1</v>
      </c>
      <c r="N31">
        <v>0</v>
      </c>
      <c r="O31" s="15">
        <v>879</v>
      </c>
      <c r="P31" s="15">
        <v>98</v>
      </c>
      <c r="Q31" s="15">
        <v>977</v>
      </c>
      <c r="R31">
        <v>1.0025542784163475</v>
      </c>
      <c r="S31" s="15">
        <v>49</v>
      </c>
      <c r="T31" t="s">
        <v>372</v>
      </c>
      <c r="U31" s="15" t="str">
        <f>TEXT(EvolucionIncidencia[[#This Row],[Fecha]],"DDDD")</f>
        <v>martes</v>
      </c>
      <c r="V3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1" s="2" t="str">
        <f>IF(EvolucionIncidencia[[#This Row],[Fecha]]&lt;=MIN(EvolucionIncidencia[Fecha])+14,"",EvolucionIncidencia[[#This Row],[NuevasAltas]]-EvolucionIncidencia[[#This Row],[Previsión Altas]])</f>
        <v/>
      </c>
      <c r="Y3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1" s="2" t="str">
        <f>IF(LEN(EvolucionIncidencia[[#This Row],[Nuevos 7 dias]])=0,"",EvolucionIncidencia[[#This Row],[Nuevos 7 dias]]/_xlfn.MAXIFS(EvolucionIncidencia[Nuevos 7 dias],EvolucionIncidencia[Area_Sanitaria],EvolucionIncidencia[[#This Row],[Area_Sanitaria]]))</f>
        <v/>
      </c>
      <c r="AB31" s="2" t="str">
        <f>IF(LEN(EvolucionIncidencia[[#This Row],[Nuevos 14 dias]])=0,"",EvolucionIncidencia[[#This Row],[Nuevos 14 dias]]/_xlfn.MAXIFS(EvolucionIncidencia[Nuevos 14 dias],EvolucionIncidencia[Area_Sanitaria],EvolucionIncidencia[[#This Row],[Area_Sanitaria]]))</f>
        <v/>
      </c>
    </row>
    <row r="32" spans="1:28" hidden="1" x14ac:dyDescent="0.3">
      <c r="A32" s="1">
        <v>44173</v>
      </c>
      <c r="B32" s="2" t="s">
        <v>2</v>
      </c>
      <c r="C32" s="15">
        <v>10770</v>
      </c>
      <c r="D32" s="15">
        <v>1499</v>
      </c>
      <c r="E32" s="15">
        <v>9035</v>
      </c>
      <c r="F32">
        <v>59</v>
      </c>
      <c r="G32">
        <v>10</v>
      </c>
      <c r="H32" s="15">
        <v>197487</v>
      </c>
      <c r="I32" s="15">
        <v>237</v>
      </c>
      <c r="J32" s="15">
        <v>56429</v>
      </c>
      <c r="K32" s="15">
        <v>79</v>
      </c>
      <c r="L32">
        <v>-18</v>
      </c>
      <c r="M32">
        <v>0</v>
      </c>
      <c r="N32">
        <v>1</v>
      </c>
      <c r="O32" s="15">
        <v>1574</v>
      </c>
      <c r="P32" s="15">
        <v>35</v>
      </c>
      <c r="Q32" s="15">
        <v>1609</v>
      </c>
      <c r="R32">
        <v>0.988134475939354</v>
      </c>
      <c r="S32" s="15">
        <v>97</v>
      </c>
      <c r="T32" t="s">
        <v>372</v>
      </c>
      <c r="U32" s="15" t="str">
        <f>TEXT(EvolucionIncidencia[[#This Row],[Fecha]],"DDDD")</f>
        <v>martes</v>
      </c>
      <c r="V3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2" s="2" t="str">
        <f>IF(EvolucionIncidencia[[#This Row],[Fecha]]&lt;=MIN(EvolucionIncidencia[Fecha])+14,"",EvolucionIncidencia[[#This Row],[NuevasAltas]]-EvolucionIncidencia[[#This Row],[Previsión Altas]])</f>
        <v/>
      </c>
      <c r="Y3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2" s="2" t="str">
        <f>IF(LEN(EvolucionIncidencia[[#This Row],[Nuevos 7 dias]])=0,"",EvolucionIncidencia[[#This Row],[Nuevos 7 dias]]/_xlfn.MAXIFS(EvolucionIncidencia[Nuevos 7 dias],EvolucionIncidencia[Area_Sanitaria],EvolucionIncidencia[[#This Row],[Area_Sanitaria]]))</f>
        <v/>
      </c>
      <c r="AB32" s="2" t="str">
        <f>IF(LEN(EvolucionIncidencia[[#This Row],[Nuevos 14 dias]])=0,"",EvolucionIncidencia[[#This Row],[Nuevos 14 dias]]/_xlfn.MAXIFS(EvolucionIncidencia[Nuevos 14 dias],EvolucionIncidencia[Area_Sanitaria],EvolucionIncidencia[[#This Row],[Area_Sanitaria]]))</f>
        <v/>
      </c>
    </row>
    <row r="33" spans="1:28" hidden="1" x14ac:dyDescent="0.3">
      <c r="A33" s="1">
        <v>44173</v>
      </c>
      <c r="B33" s="2" t="s">
        <v>3</v>
      </c>
      <c r="C33" s="15">
        <v>55077</v>
      </c>
      <c r="D33" s="15">
        <v>5927</v>
      </c>
      <c r="E33" s="15">
        <v>47872</v>
      </c>
      <c r="F33">
        <v>324</v>
      </c>
      <c r="G33">
        <v>51</v>
      </c>
      <c r="H33" s="15">
        <v>952173</v>
      </c>
      <c r="I33" s="15">
        <v>1281</v>
      </c>
      <c r="J33" s="15">
        <v>429663</v>
      </c>
      <c r="K33" s="15">
        <v>342</v>
      </c>
      <c r="L33">
        <v>-69</v>
      </c>
      <c r="M33">
        <v>2</v>
      </c>
      <c r="N33">
        <v>1</v>
      </c>
      <c r="O33" s="15">
        <v>6659</v>
      </c>
      <c r="P33" s="15">
        <v>403</v>
      </c>
      <c r="Q33" s="15">
        <v>7062</v>
      </c>
      <c r="R33">
        <v>0.9884923282188125</v>
      </c>
      <c r="S33" s="15">
        <v>403</v>
      </c>
      <c r="T33" t="s">
        <v>372</v>
      </c>
      <c r="U33" s="15" t="str">
        <f>TEXT(EvolucionIncidencia[[#This Row],[Fecha]],"DDDD")</f>
        <v>martes</v>
      </c>
      <c r="V3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3" s="2" t="str">
        <f>IF(EvolucionIncidencia[[#This Row],[Fecha]]&lt;=MIN(EvolucionIncidencia[Fecha])+14,"",EvolucionIncidencia[[#This Row],[NuevasAltas]]-EvolucionIncidencia[[#This Row],[Previsión Altas]])</f>
        <v/>
      </c>
      <c r="Y3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3" s="2" t="str">
        <f>IF(LEN(EvolucionIncidencia[[#This Row],[Nuevos 7 dias]])=0,"",EvolucionIncidencia[[#This Row],[Nuevos 7 dias]]/_xlfn.MAXIFS(EvolucionIncidencia[Nuevos 7 dias],EvolucionIncidencia[Area_Sanitaria],EvolucionIncidencia[[#This Row],[Area_Sanitaria]]))</f>
        <v/>
      </c>
      <c r="AB33" s="2" t="str">
        <f>IF(LEN(EvolucionIncidencia[[#This Row],[Nuevos 14 dias]])=0,"",EvolucionIncidencia[[#This Row],[Nuevos 14 dias]]/_xlfn.MAXIFS(EvolucionIncidencia[Nuevos 14 dias],EvolucionIncidencia[Area_Sanitaria],EvolucionIncidencia[[#This Row],[Area_Sanitaria]]))</f>
        <v/>
      </c>
    </row>
    <row r="34" spans="1:28" hidden="1" x14ac:dyDescent="0.3">
      <c r="A34" s="1">
        <v>44174</v>
      </c>
      <c r="B34" s="2" t="s">
        <v>4</v>
      </c>
      <c r="C34" s="15">
        <v>12434</v>
      </c>
      <c r="D34" s="15">
        <v>1146</v>
      </c>
      <c r="E34" s="15">
        <v>10999</v>
      </c>
      <c r="F34">
        <v>76</v>
      </c>
      <c r="G34">
        <v>14</v>
      </c>
      <c r="H34" s="15">
        <v>209050</v>
      </c>
      <c r="I34" s="15">
        <v>293</v>
      </c>
      <c r="J34" s="15">
        <v>73846</v>
      </c>
      <c r="K34" s="15">
        <v>43</v>
      </c>
      <c r="L34">
        <v>-47</v>
      </c>
      <c r="M34">
        <v>-8</v>
      </c>
      <c r="N34">
        <v>-2</v>
      </c>
      <c r="O34" s="15">
        <v>688</v>
      </c>
      <c r="P34" s="15">
        <v>210</v>
      </c>
      <c r="Q34" s="15">
        <v>898</v>
      </c>
      <c r="R34">
        <v>0.9606035205364627</v>
      </c>
      <c r="S34" s="15">
        <v>90</v>
      </c>
      <c r="T34" t="s">
        <v>373</v>
      </c>
      <c r="U34" s="15" t="str">
        <f>TEXT(EvolucionIncidencia[[#This Row],[Fecha]],"DDDD")</f>
        <v>miércoles</v>
      </c>
      <c r="V3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4" s="2" t="str">
        <f>IF(EvolucionIncidencia[[#This Row],[Fecha]]&lt;=MIN(EvolucionIncidencia[Fecha])+14,"",EvolucionIncidencia[[#This Row],[NuevasAltas]]-EvolucionIncidencia[[#This Row],[Previsión Altas]])</f>
        <v/>
      </c>
      <c r="Y3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4" s="2" t="str">
        <f>IF(LEN(EvolucionIncidencia[[#This Row],[Nuevos 7 dias]])=0,"",EvolucionIncidencia[[#This Row],[Nuevos 7 dias]]/_xlfn.MAXIFS(EvolucionIncidencia[Nuevos 7 dias],EvolucionIncidencia[Area_Sanitaria],EvolucionIncidencia[[#This Row],[Area_Sanitaria]]))</f>
        <v/>
      </c>
      <c r="AB34" s="2" t="str">
        <f>IF(LEN(EvolucionIncidencia[[#This Row],[Nuevos 14 dias]])=0,"",EvolucionIncidencia[[#This Row],[Nuevos 14 dias]]/_xlfn.MAXIFS(EvolucionIncidencia[Nuevos 14 dias],EvolucionIncidencia[Area_Sanitaria],EvolucionIncidencia[[#This Row],[Area_Sanitaria]]))</f>
        <v/>
      </c>
    </row>
    <row r="35" spans="1:28" hidden="1" x14ac:dyDescent="0.3">
      <c r="A35" s="1">
        <v>44174</v>
      </c>
      <c r="B35" s="2" t="s">
        <v>5</v>
      </c>
      <c r="C35" s="15">
        <v>3557</v>
      </c>
      <c r="D35" s="15">
        <v>596</v>
      </c>
      <c r="E35" s="15">
        <v>2878</v>
      </c>
      <c r="F35">
        <v>27</v>
      </c>
      <c r="G35">
        <v>3</v>
      </c>
      <c r="H35" s="15">
        <v>66283</v>
      </c>
      <c r="I35" s="15">
        <v>81</v>
      </c>
      <c r="J35" s="15">
        <v>29384</v>
      </c>
      <c r="K35" s="15">
        <v>24</v>
      </c>
      <c r="L35">
        <v>0</v>
      </c>
      <c r="M35">
        <v>-1</v>
      </c>
      <c r="N35">
        <v>-1</v>
      </c>
      <c r="O35" s="15">
        <v>311</v>
      </c>
      <c r="P35" s="15">
        <v>43</v>
      </c>
      <c r="Q35" s="15">
        <v>354</v>
      </c>
      <c r="R35">
        <v>1</v>
      </c>
      <c r="S35" s="15">
        <v>23</v>
      </c>
      <c r="T35" t="s">
        <v>373</v>
      </c>
      <c r="U35" s="15" t="str">
        <f>TEXT(EvolucionIncidencia[[#This Row],[Fecha]],"DDDD")</f>
        <v>miércoles</v>
      </c>
      <c r="V3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5" s="2" t="str">
        <f>IF(EvolucionIncidencia[[#This Row],[Fecha]]&lt;=MIN(EvolucionIncidencia[Fecha])+14,"",EvolucionIncidencia[[#This Row],[NuevasAltas]]-EvolucionIncidencia[[#This Row],[Previsión Altas]])</f>
        <v/>
      </c>
      <c r="Y3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5" s="2" t="str">
        <f>IF(LEN(EvolucionIncidencia[[#This Row],[Nuevos 7 dias]])=0,"",EvolucionIncidencia[[#This Row],[Nuevos 7 dias]]/_xlfn.MAXIFS(EvolucionIncidencia[Nuevos 7 dias],EvolucionIncidencia[Area_Sanitaria],EvolucionIncidencia[[#This Row],[Area_Sanitaria]]))</f>
        <v/>
      </c>
      <c r="AB35" s="2" t="str">
        <f>IF(LEN(EvolucionIncidencia[[#This Row],[Nuevos 14 dias]])=0,"",EvolucionIncidencia[[#This Row],[Nuevos 14 dias]]/_xlfn.MAXIFS(EvolucionIncidencia[Nuevos 14 dias],EvolucionIncidencia[Area_Sanitaria],EvolucionIncidencia[[#This Row],[Area_Sanitaria]]))</f>
        <v/>
      </c>
    </row>
    <row r="36" spans="1:28" hidden="1" x14ac:dyDescent="0.3">
      <c r="A36" s="1">
        <v>44174</v>
      </c>
      <c r="B36" s="2" t="s">
        <v>8</v>
      </c>
      <c r="C36" s="15">
        <v>6552</v>
      </c>
      <c r="D36" s="15">
        <v>591</v>
      </c>
      <c r="E36" s="15">
        <v>5823</v>
      </c>
      <c r="F36">
        <v>27</v>
      </c>
      <c r="G36">
        <v>4</v>
      </c>
      <c r="H36" s="15">
        <v>109134</v>
      </c>
      <c r="I36" s="15">
        <v>137</v>
      </c>
      <c r="J36" s="15">
        <v>72849</v>
      </c>
      <c r="K36" s="15">
        <v>20</v>
      </c>
      <c r="L36">
        <v>-15</v>
      </c>
      <c r="M36">
        <v>0</v>
      </c>
      <c r="N36">
        <v>1</v>
      </c>
      <c r="O36" s="15">
        <v>866</v>
      </c>
      <c r="P36" s="15">
        <v>99</v>
      </c>
      <c r="Q36" s="15">
        <v>965</v>
      </c>
      <c r="R36">
        <v>0.97524752475247523</v>
      </c>
      <c r="S36" s="15">
        <v>35</v>
      </c>
      <c r="T36" t="s">
        <v>373</v>
      </c>
      <c r="U36" s="15" t="str">
        <f>TEXT(EvolucionIncidencia[[#This Row],[Fecha]],"DDDD")</f>
        <v>miércoles</v>
      </c>
      <c r="V3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6" s="2" t="str">
        <f>IF(EvolucionIncidencia[[#This Row],[Fecha]]&lt;=MIN(EvolucionIncidencia[Fecha])+14,"",EvolucionIncidencia[[#This Row],[NuevasAltas]]-EvolucionIncidencia[[#This Row],[Previsión Altas]])</f>
        <v/>
      </c>
      <c r="Y3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6" s="2" t="str">
        <f>IF(LEN(EvolucionIncidencia[[#This Row],[Nuevos 7 dias]])=0,"",EvolucionIncidencia[[#This Row],[Nuevos 7 dias]]/_xlfn.MAXIFS(EvolucionIncidencia[Nuevos 7 dias],EvolucionIncidencia[Area_Sanitaria],EvolucionIncidencia[[#This Row],[Area_Sanitaria]]))</f>
        <v/>
      </c>
      <c r="AB36" s="2" t="str">
        <f>IF(LEN(EvolucionIncidencia[[#This Row],[Nuevos 14 dias]])=0,"",EvolucionIncidencia[[#This Row],[Nuevos 14 dias]]/_xlfn.MAXIFS(EvolucionIncidencia[Nuevos 14 dias],EvolucionIncidencia[Area_Sanitaria],EvolucionIncidencia[[#This Row],[Area_Sanitaria]]))</f>
        <v/>
      </c>
    </row>
    <row r="37" spans="1:28" hidden="1" x14ac:dyDescent="0.3">
      <c r="A37" s="1">
        <v>44174</v>
      </c>
      <c r="B37" s="2" t="s">
        <v>9</v>
      </c>
      <c r="C37" s="15">
        <v>7783</v>
      </c>
      <c r="D37" s="15">
        <v>364</v>
      </c>
      <c r="E37" s="15">
        <v>7118</v>
      </c>
      <c r="F37">
        <v>34</v>
      </c>
      <c r="G37">
        <v>3</v>
      </c>
      <c r="H37" s="15">
        <v>121180</v>
      </c>
      <c r="I37" s="15">
        <v>300</v>
      </c>
      <c r="J37" s="15">
        <v>65480</v>
      </c>
      <c r="K37" s="15">
        <v>31</v>
      </c>
      <c r="L37">
        <v>-13</v>
      </c>
      <c r="M37">
        <v>1</v>
      </c>
      <c r="N37">
        <v>0</v>
      </c>
      <c r="O37" s="15">
        <v>923</v>
      </c>
      <c r="P37" s="15">
        <v>80</v>
      </c>
      <c r="Q37" s="15">
        <v>1003</v>
      </c>
      <c r="R37">
        <v>0.96551724137931039</v>
      </c>
      <c r="S37" s="15">
        <v>41</v>
      </c>
      <c r="T37" t="s">
        <v>373</v>
      </c>
      <c r="U37" s="15" t="str">
        <f>TEXT(EvolucionIncidencia[[#This Row],[Fecha]],"DDDD")</f>
        <v>miércoles</v>
      </c>
      <c r="V3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7" s="2" t="str">
        <f>IF(EvolucionIncidencia[[#This Row],[Fecha]]&lt;=MIN(EvolucionIncidencia[Fecha])+14,"",EvolucionIncidencia[[#This Row],[NuevasAltas]]-EvolucionIncidencia[[#This Row],[Previsión Altas]])</f>
        <v/>
      </c>
      <c r="Y3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7" s="2" t="str">
        <f>IF(LEN(EvolucionIncidencia[[#This Row],[Nuevos 7 dias]])=0,"",EvolucionIncidencia[[#This Row],[Nuevos 7 dias]]/_xlfn.MAXIFS(EvolucionIncidencia[Nuevos 7 dias],EvolucionIncidencia[Area_Sanitaria],EvolucionIncidencia[[#This Row],[Area_Sanitaria]]))</f>
        <v/>
      </c>
      <c r="AB37" s="2" t="str">
        <f>IF(LEN(EvolucionIncidencia[[#This Row],[Nuevos 14 dias]])=0,"",EvolucionIncidencia[[#This Row],[Nuevos 14 dias]]/_xlfn.MAXIFS(EvolucionIncidencia[Nuevos 14 dias],EvolucionIncidencia[Area_Sanitaria],EvolucionIncidencia[[#This Row],[Area_Sanitaria]]))</f>
        <v/>
      </c>
    </row>
    <row r="38" spans="1:28" x14ac:dyDescent="0.3">
      <c r="A38" s="1">
        <v>44174</v>
      </c>
      <c r="B38" s="2" t="s">
        <v>6</v>
      </c>
      <c r="C38" s="15">
        <v>5869</v>
      </c>
      <c r="D38" s="15">
        <v>856</v>
      </c>
      <c r="E38" s="15">
        <v>4948</v>
      </c>
      <c r="F38">
        <v>42</v>
      </c>
      <c r="G38">
        <v>9</v>
      </c>
      <c r="H38" s="15">
        <v>97911</v>
      </c>
      <c r="I38" s="15">
        <v>67</v>
      </c>
      <c r="J38" s="15">
        <v>44010</v>
      </c>
      <c r="K38" s="15">
        <v>39</v>
      </c>
      <c r="L38">
        <v>-15</v>
      </c>
      <c r="M38">
        <v>1</v>
      </c>
      <c r="N38">
        <v>0</v>
      </c>
      <c r="O38" s="15">
        <v>570</v>
      </c>
      <c r="P38" s="15">
        <v>88</v>
      </c>
      <c r="Q38" s="15">
        <v>658</v>
      </c>
      <c r="R38">
        <v>0.98277841561423651</v>
      </c>
      <c r="S38" s="15">
        <v>53</v>
      </c>
      <c r="T38" t="s">
        <v>373</v>
      </c>
      <c r="U38" s="15" t="str">
        <f>TEXT(EvolucionIncidencia[[#This Row],[Fecha]],"DDDD")</f>
        <v>miércoles</v>
      </c>
      <c r="V3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8" s="2" t="str">
        <f>IF(EvolucionIncidencia[[#This Row],[Fecha]]&lt;=MIN(EvolucionIncidencia[Fecha])+14,"",EvolucionIncidencia[[#This Row],[NuevasAltas]]-EvolucionIncidencia[[#This Row],[Previsión Altas]])</f>
        <v/>
      </c>
      <c r="Y3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8" s="2" t="str">
        <f>IF(LEN(EvolucionIncidencia[[#This Row],[Nuevos 7 dias]])=0,"",EvolucionIncidencia[[#This Row],[Nuevos 7 dias]]/_xlfn.MAXIFS(EvolucionIncidencia[Nuevos 7 dias],EvolucionIncidencia[Area_Sanitaria],EvolucionIncidencia[[#This Row],[Area_Sanitaria]]))</f>
        <v/>
      </c>
      <c r="AB38" s="2" t="str">
        <f>IF(LEN(EvolucionIncidencia[[#This Row],[Nuevos 14 dias]])=0,"",EvolucionIncidencia[[#This Row],[Nuevos 14 dias]]/_xlfn.MAXIFS(EvolucionIncidencia[Nuevos 14 dias],EvolucionIncidencia[Area_Sanitaria],EvolucionIncidencia[[#This Row],[Area_Sanitaria]]))</f>
        <v/>
      </c>
    </row>
    <row r="39" spans="1:28" hidden="1" x14ac:dyDescent="0.3">
      <c r="A39" s="1">
        <v>44174</v>
      </c>
      <c r="B39" s="2" t="s">
        <v>7</v>
      </c>
      <c r="C39" s="15">
        <v>8346</v>
      </c>
      <c r="D39" s="15">
        <v>817</v>
      </c>
      <c r="E39" s="15">
        <v>7358</v>
      </c>
      <c r="F39">
        <v>53</v>
      </c>
      <c r="G39">
        <v>6</v>
      </c>
      <c r="H39" s="15">
        <v>156448</v>
      </c>
      <c r="I39" s="15">
        <v>172</v>
      </c>
      <c r="J39" s="15">
        <v>88354</v>
      </c>
      <c r="K39" s="15">
        <v>77</v>
      </c>
      <c r="L39">
        <v>32</v>
      </c>
      <c r="M39">
        <v>1</v>
      </c>
      <c r="N39">
        <v>0</v>
      </c>
      <c r="O39" s="15">
        <v>1962</v>
      </c>
      <c r="P39" s="15">
        <v>169</v>
      </c>
      <c r="Q39" s="15">
        <v>2131</v>
      </c>
      <c r="R39">
        <v>1.0407643312101911</v>
      </c>
      <c r="S39" s="15">
        <v>45</v>
      </c>
      <c r="T39" t="s">
        <v>373</v>
      </c>
      <c r="U39" s="15" t="str">
        <f>TEXT(EvolucionIncidencia[[#This Row],[Fecha]],"DDDD")</f>
        <v>miércoles</v>
      </c>
      <c r="V3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9" s="2" t="str">
        <f>IF(EvolucionIncidencia[[#This Row],[Fecha]]&lt;=MIN(EvolucionIncidencia[Fecha])+14,"",EvolucionIncidencia[[#This Row],[NuevasAltas]]-EvolucionIncidencia[[#This Row],[Previsión Altas]])</f>
        <v/>
      </c>
      <c r="Y3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9" s="2" t="str">
        <f>IF(LEN(EvolucionIncidencia[[#This Row],[Nuevos 7 dias]])=0,"",EvolucionIncidencia[[#This Row],[Nuevos 7 dias]]/_xlfn.MAXIFS(EvolucionIncidencia[Nuevos 7 dias],EvolucionIncidencia[Area_Sanitaria],EvolucionIncidencia[[#This Row],[Area_Sanitaria]]))</f>
        <v/>
      </c>
      <c r="AB39" s="2" t="str">
        <f>IF(LEN(EvolucionIncidencia[[#This Row],[Nuevos 14 dias]])=0,"",EvolucionIncidencia[[#This Row],[Nuevos 14 dias]]/_xlfn.MAXIFS(EvolucionIncidencia[Nuevos 14 dias],EvolucionIncidencia[Area_Sanitaria],EvolucionIncidencia[[#This Row],[Area_Sanitaria]]))</f>
        <v/>
      </c>
    </row>
    <row r="40" spans="1:28" hidden="1" x14ac:dyDescent="0.3">
      <c r="A40" s="1">
        <v>44174</v>
      </c>
      <c r="B40" s="2" t="s">
        <v>2</v>
      </c>
      <c r="C40" s="15">
        <v>10822</v>
      </c>
      <c r="D40" s="15">
        <v>1425</v>
      </c>
      <c r="E40" s="15">
        <v>9161</v>
      </c>
      <c r="F40">
        <v>62</v>
      </c>
      <c r="G40">
        <v>11</v>
      </c>
      <c r="H40" s="15">
        <v>200137</v>
      </c>
      <c r="I40" s="15">
        <v>237</v>
      </c>
      <c r="J40" s="15">
        <v>56504</v>
      </c>
      <c r="K40" s="15">
        <v>52</v>
      </c>
      <c r="L40">
        <v>-74</v>
      </c>
      <c r="M40">
        <v>3</v>
      </c>
      <c r="N40">
        <v>1</v>
      </c>
      <c r="O40" s="15">
        <v>2650</v>
      </c>
      <c r="P40" s="15">
        <v>75</v>
      </c>
      <c r="Q40" s="15">
        <v>2725</v>
      </c>
      <c r="R40">
        <v>0.95063375583722487</v>
      </c>
      <c r="S40" s="15">
        <v>126</v>
      </c>
      <c r="T40" t="s">
        <v>373</v>
      </c>
      <c r="U40" s="15" t="str">
        <f>TEXT(EvolucionIncidencia[[#This Row],[Fecha]],"DDDD")</f>
        <v>miércoles</v>
      </c>
      <c r="V4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0" s="2" t="str">
        <f>IF(EvolucionIncidencia[[#This Row],[Fecha]]&lt;=MIN(EvolucionIncidencia[Fecha])+14,"",EvolucionIncidencia[[#This Row],[NuevasAltas]]-EvolucionIncidencia[[#This Row],[Previsión Altas]])</f>
        <v/>
      </c>
      <c r="Y4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0" s="2" t="str">
        <f>IF(LEN(EvolucionIncidencia[[#This Row],[Nuevos 7 dias]])=0,"",EvolucionIncidencia[[#This Row],[Nuevos 7 dias]]/_xlfn.MAXIFS(EvolucionIncidencia[Nuevos 7 dias],EvolucionIncidencia[Area_Sanitaria],EvolucionIncidencia[[#This Row],[Area_Sanitaria]]))</f>
        <v/>
      </c>
      <c r="AB40" s="2" t="str">
        <f>IF(LEN(EvolucionIncidencia[[#This Row],[Nuevos 14 dias]])=0,"",EvolucionIncidencia[[#This Row],[Nuevos 14 dias]]/_xlfn.MAXIFS(EvolucionIncidencia[Nuevos 14 dias],EvolucionIncidencia[Area_Sanitaria],EvolucionIncidencia[[#This Row],[Area_Sanitaria]]))</f>
        <v/>
      </c>
    </row>
    <row r="41" spans="1:28" hidden="1" x14ac:dyDescent="0.3">
      <c r="A41" s="1">
        <v>44174</v>
      </c>
      <c r="B41" s="2" t="s">
        <v>3</v>
      </c>
      <c r="C41" s="15">
        <v>55363</v>
      </c>
      <c r="D41" s="15">
        <v>5795</v>
      </c>
      <c r="E41" s="15">
        <v>48285</v>
      </c>
      <c r="F41">
        <v>321</v>
      </c>
      <c r="G41">
        <v>50</v>
      </c>
      <c r="H41" s="15">
        <v>960143</v>
      </c>
      <c r="I41" s="15">
        <v>1287</v>
      </c>
      <c r="J41" s="15">
        <v>430427</v>
      </c>
      <c r="K41" s="15">
        <v>286</v>
      </c>
      <c r="L41">
        <v>-132</v>
      </c>
      <c r="M41">
        <v>-3</v>
      </c>
      <c r="N41">
        <v>-1</v>
      </c>
      <c r="O41" s="15">
        <v>7970</v>
      </c>
      <c r="P41" s="15">
        <v>764</v>
      </c>
      <c r="Q41" s="15">
        <v>8734</v>
      </c>
      <c r="R41">
        <v>0.97772903661211408</v>
      </c>
      <c r="S41" s="15">
        <v>413</v>
      </c>
      <c r="T41" t="s">
        <v>373</v>
      </c>
      <c r="U41" s="15" t="str">
        <f>TEXT(EvolucionIncidencia[[#This Row],[Fecha]],"DDDD")</f>
        <v>miércoles</v>
      </c>
      <c r="V4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1" s="2" t="str">
        <f>IF(EvolucionIncidencia[[#This Row],[Fecha]]&lt;=MIN(EvolucionIncidencia[Fecha])+14,"",EvolucionIncidencia[[#This Row],[NuevasAltas]]-EvolucionIncidencia[[#This Row],[Previsión Altas]])</f>
        <v/>
      </c>
      <c r="Y4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1" s="2" t="str">
        <f>IF(LEN(EvolucionIncidencia[[#This Row],[Nuevos 7 dias]])=0,"",EvolucionIncidencia[[#This Row],[Nuevos 7 dias]]/_xlfn.MAXIFS(EvolucionIncidencia[Nuevos 7 dias],EvolucionIncidencia[Area_Sanitaria],EvolucionIncidencia[[#This Row],[Area_Sanitaria]]))</f>
        <v/>
      </c>
      <c r="AB41" s="2" t="str">
        <f>IF(LEN(EvolucionIncidencia[[#This Row],[Nuevos 14 dias]])=0,"",EvolucionIncidencia[[#This Row],[Nuevos 14 dias]]/_xlfn.MAXIFS(EvolucionIncidencia[Nuevos 14 dias],EvolucionIncidencia[Area_Sanitaria],EvolucionIncidencia[[#This Row],[Area_Sanitaria]]))</f>
        <v/>
      </c>
    </row>
    <row r="42" spans="1:28" hidden="1" x14ac:dyDescent="0.3">
      <c r="A42" s="1">
        <v>44175</v>
      </c>
      <c r="B42" s="2" t="s">
        <v>4</v>
      </c>
      <c r="C42" s="15">
        <v>12477</v>
      </c>
      <c r="D42" s="15">
        <v>1093</v>
      </c>
      <c r="E42" s="15">
        <v>11095</v>
      </c>
      <c r="F42">
        <v>78</v>
      </c>
      <c r="G42">
        <v>13</v>
      </c>
      <c r="H42" s="15">
        <v>210400</v>
      </c>
      <c r="I42" s="15">
        <v>293</v>
      </c>
      <c r="J42" s="15">
        <v>74050</v>
      </c>
      <c r="K42" s="15">
        <v>43</v>
      </c>
      <c r="L42">
        <v>-53</v>
      </c>
      <c r="M42">
        <v>2</v>
      </c>
      <c r="N42">
        <v>-1</v>
      </c>
      <c r="O42" s="15">
        <v>1350</v>
      </c>
      <c r="P42" s="15">
        <v>204</v>
      </c>
      <c r="Q42" s="15">
        <v>1554</v>
      </c>
      <c r="R42">
        <v>0.9537521815008726</v>
      </c>
      <c r="S42" s="15">
        <v>96</v>
      </c>
      <c r="T42" t="s">
        <v>374</v>
      </c>
      <c r="U42" s="15" t="str">
        <f>TEXT(EvolucionIncidencia[[#This Row],[Fecha]],"DDDD")</f>
        <v>jueves</v>
      </c>
      <c r="V4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2" s="2" t="str">
        <f>IF(EvolucionIncidencia[[#This Row],[Fecha]]&lt;=MIN(EvolucionIncidencia[Fecha])+14,"",EvolucionIncidencia[[#This Row],[NuevasAltas]]-EvolucionIncidencia[[#This Row],[Previsión Altas]])</f>
        <v/>
      </c>
      <c r="Y4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2" s="2" t="str">
        <f>IF(LEN(EvolucionIncidencia[[#This Row],[Nuevos 7 dias]])=0,"",EvolucionIncidencia[[#This Row],[Nuevos 7 dias]]/_xlfn.MAXIFS(EvolucionIncidencia[Nuevos 7 dias],EvolucionIncidencia[Area_Sanitaria],EvolucionIncidencia[[#This Row],[Area_Sanitaria]]))</f>
        <v/>
      </c>
      <c r="AB42" s="2" t="str">
        <f>IF(LEN(EvolucionIncidencia[[#This Row],[Nuevos 14 dias]])=0,"",EvolucionIncidencia[[#This Row],[Nuevos 14 dias]]/_xlfn.MAXIFS(EvolucionIncidencia[Nuevos 14 dias],EvolucionIncidencia[Area_Sanitaria],EvolucionIncidencia[[#This Row],[Area_Sanitaria]]))</f>
        <v/>
      </c>
    </row>
    <row r="43" spans="1:28" hidden="1" x14ac:dyDescent="0.3">
      <c r="A43" s="1">
        <v>44175</v>
      </c>
      <c r="B43" s="2" t="s">
        <v>5</v>
      </c>
      <c r="C43" s="15">
        <v>3580</v>
      </c>
      <c r="D43" s="15">
        <v>573</v>
      </c>
      <c r="E43" s="15">
        <v>2924</v>
      </c>
      <c r="F43">
        <v>28</v>
      </c>
      <c r="G43">
        <v>3</v>
      </c>
      <c r="H43" s="15">
        <v>66878</v>
      </c>
      <c r="I43" s="15">
        <v>81</v>
      </c>
      <c r="J43" s="15">
        <v>29423</v>
      </c>
      <c r="K43" s="15">
        <v>23</v>
      </c>
      <c r="L43">
        <v>-23</v>
      </c>
      <c r="M43">
        <v>1</v>
      </c>
      <c r="N43">
        <v>0</v>
      </c>
      <c r="O43" s="15">
        <v>595</v>
      </c>
      <c r="P43" s="15">
        <v>39</v>
      </c>
      <c r="Q43" s="15">
        <v>634</v>
      </c>
      <c r="R43">
        <v>0.96140939597315433</v>
      </c>
      <c r="S43" s="15">
        <v>46</v>
      </c>
      <c r="T43" t="s">
        <v>374</v>
      </c>
      <c r="U43" s="15" t="str">
        <f>TEXT(EvolucionIncidencia[[#This Row],[Fecha]],"DDDD")</f>
        <v>jueves</v>
      </c>
      <c r="V4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3" s="2" t="str">
        <f>IF(EvolucionIncidencia[[#This Row],[Fecha]]&lt;=MIN(EvolucionIncidencia[Fecha])+14,"",EvolucionIncidencia[[#This Row],[NuevasAltas]]-EvolucionIncidencia[[#This Row],[Previsión Altas]])</f>
        <v/>
      </c>
      <c r="Y4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3" s="2" t="str">
        <f>IF(LEN(EvolucionIncidencia[[#This Row],[Nuevos 7 dias]])=0,"",EvolucionIncidencia[[#This Row],[Nuevos 7 dias]]/_xlfn.MAXIFS(EvolucionIncidencia[Nuevos 7 dias],EvolucionIncidencia[Area_Sanitaria],EvolucionIncidencia[[#This Row],[Area_Sanitaria]]))</f>
        <v/>
      </c>
      <c r="AB43" s="2" t="str">
        <f>IF(LEN(EvolucionIncidencia[[#This Row],[Nuevos 14 dias]])=0,"",EvolucionIncidencia[[#This Row],[Nuevos 14 dias]]/_xlfn.MAXIFS(EvolucionIncidencia[Nuevos 14 dias],EvolucionIncidencia[Area_Sanitaria],EvolucionIncidencia[[#This Row],[Area_Sanitaria]]))</f>
        <v/>
      </c>
    </row>
    <row r="44" spans="1:28" hidden="1" x14ac:dyDescent="0.3">
      <c r="A44" s="1">
        <v>44175</v>
      </c>
      <c r="B44" s="2" t="s">
        <v>8</v>
      </c>
      <c r="C44" s="15">
        <v>6577</v>
      </c>
      <c r="D44" s="15">
        <v>571</v>
      </c>
      <c r="E44" s="15">
        <v>5866</v>
      </c>
      <c r="F44">
        <v>23</v>
      </c>
      <c r="G44">
        <v>4</v>
      </c>
      <c r="H44" s="15">
        <v>110098</v>
      </c>
      <c r="I44" s="15">
        <v>139</v>
      </c>
      <c r="J44" s="15">
        <v>72957</v>
      </c>
      <c r="K44" s="15">
        <v>25</v>
      </c>
      <c r="L44">
        <v>-20</v>
      </c>
      <c r="M44">
        <v>-4</v>
      </c>
      <c r="N44">
        <v>0</v>
      </c>
      <c r="O44" s="15">
        <v>964</v>
      </c>
      <c r="P44" s="15">
        <v>108</v>
      </c>
      <c r="Q44" s="15">
        <v>1072</v>
      </c>
      <c r="R44">
        <v>0.96615905245346867</v>
      </c>
      <c r="S44" s="15">
        <v>43</v>
      </c>
      <c r="T44" t="s">
        <v>374</v>
      </c>
      <c r="U44" s="15" t="str">
        <f>TEXT(EvolucionIncidencia[[#This Row],[Fecha]],"DDDD")</f>
        <v>jueves</v>
      </c>
      <c r="V4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4" s="2" t="str">
        <f>IF(EvolucionIncidencia[[#This Row],[Fecha]]&lt;=MIN(EvolucionIncidencia[Fecha])+14,"",EvolucionIncidencia[[#This Row],[NuevasAltas]]-EvolucionIncidencia[[#This Row],[Previsión Altas]])</f>
        <v/>
      </c>
      <c r="Y4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4" s="2" t="str">
        <f>IF(LEN(EvolucionIncidencia[[#This Row],[Nuevos 7 dias]])=0,"",EvolucionIncidencia[[#This Row],[Nuevos 7 dias]]/_xlfn.MAXIFS(EvolucionIncidencia[Nuevos 7 dias],EvolucionIncidencia[Area_Sanitaria],EvolucionIncidencia[[#This Row],[Area_Sanitaria]]))</f>
        <v/>
      </c>
      <c r="AB44" s="2" t="str">
        <f>IF(LEN(EvolucionIncidencia[[#This Row],[Nuevos 14 dias]])=0,"",EvolucionIncidencia[[#This Row],[Nuevos 14 dias]]/_xlfn.MAXIFS(EvolucionIncidencia[Nuevos 14 dias],EvolucionIncidencia[Area_Sanitaria],EvolucionIncidencia[[#This Row],[Area_Sanitaria]]))</f>
        <v/>
      </c>
    </row>
    <row r="45" spans="1:28" hidden="1" x14ac:dyDescent="0.3">
      <c r="A45" s="1">
        <v>44175</v>
      </c>
      <c r="B45" s="2" t="s">
        <v>9</v>
      </c>
      <c r="C45" s="15">
        <v>7820</v>
      </c>
      <c r="D45" s="15">
        <v>383</v>
      </c>
      <c r="E45" s="15">
        <v>7136</v>
      </c>
      <c r="F45">
        <v>26</v>
      </c>
      <c r="G45">
        <v>2</v>
      </c>
      <c r="H45" s="15">
        <v>122070</v>
      </c>
      <c r="I45" s="15">
        <v>300</v>
      </c>
      <c r="J45" s="15">
        <v>65621</v>
      </c>
      <c r="K45" s="15">
        <v>37</v>
      </c>
      <c r="L45">
        <v>19</v>
      </c>
      <c r="M45">
        <v>-8</v>
      </c>
      <c r="N45">
        <v>-1</v>
      </c>
      <c r="O45" s="15">
        <v>890</v>
      </c>
      <c r="P45" s="15">
        <v>141</v>
      </c>
      <c r="Q45" s="15">
        <v>1031</v>
      </c>
      <c r="R45">
        <v>1.0521978021978022</v>
      </c>
      <c r="S45" s="15">
        <v>18</v>
      </c>
      <c r="T45" t="s">
        <v>374</v>
      </c>
      <c r="U45" s="15" t="str">
        <f>TEXT(EvolucionIncidencia[[#This Row],[Fecha]],"DDDD")</f>
        <v>jueves</v>
      </c>
      <c r="V4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5" s="2" t="str">
        <f>IF(EvolucionIncidencia[[#This Row],[Fecha]]&lt;=MIN(EvolucionIncidencia[Fecha])+14,"",EvolucionIncidencia[[#This Row],[NuevasAltas]]-EvolucionIncidencia[[#This Row],[Previsión Altas]])</f>
        <v/>
      </c>
      <c r="Y4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5" s="2" t="str">
        <f>IF(LEN(EvolucionIncidencia[[#This Row],[Nuevos 7 dias]])=0,"",EvolucionIncidencia[[#This Row],[Nuevos 7 dias]]/_xlfn.MAXIFS(EvolucionIncidencia[Nuevos 7 dias],EvolucionIncidencia[Area_Sanitaria],EvolucionIncidencia[[#This Row],[Area_Sanitaria]]))</f>
        <v/>
      </c>
      <c r="AB45" s="2" t="str">
        <f>IF(LEN(EvolucionIncidencia[[#This Row],[Nuevos 14 dias]])=0,"",EvolucionIncidencia[[#This Row],[Nuevos 14 dias]]/_xlfn.MAXIFS(EvolucionIncidencia[Nuevos 14 dias],EvolucionIncidencia[Area_Sanitaria],EvolucionIncidencia[[#This Row],[Area_Sanitaria]]))</f>
        <v/>
      </c>
    </row>
    <row r="46" spans="1:28" x14ac:dyDescent="0.3">
      <c r="A46" s="1">
        <v>44175</v>
      </c>
      <c r="B46" s="2" t="s">
        <v>6</v>
      </c>
      <c r="C46" s="15">
        <v>5906</v>
      </c>
      <c r="D46" s="15">
        <v>839</v>
      </c>
      <c r="E46" s="15">
        <v>5001</v>
      </c>
      <c r="F46">
        <v>42</v>
      </c>
      <c r="G46">
        <v>10</v>
      </c>
      <c r="H46" s="15">
        <v>98762</v>
      </c>
      <c r="I46" s="15">
        <v>68</v>
      </c>
      <c r="J46" s="15">
        <v>44099</v>
      </c>
      <c r="K46" s="15">
        <v>37</v>
      </c>
      <c r="L46">
        <v>-17</v>
      </c>
      <c r="M46">
        <v>0</v>
      </c>
      <c r="N46">
        <v>1</v>
      </c>
      <c r="O46" s="15">
        <v>851</v>
      </c>
      <c r="P46" s="15">
        <v>89</v>
      </c>
      <c r="Q46" s="15">
        <v>940</v>
      </c>
      <c r="R46">
        <v>0.98014018691588789</v>
      </c>
      <c r="S46" s="15">
        <v>53</v>
      </c>
      <c r="T46" t="s">
        <v>374</v>
      </c>
      <c r="U46" s="15" t="str">
        <f>TEXT(EvolucionIncidencia[[#This Row],[Fecha]],"DDDD")</f>
        <v>jueves</v>
      </c>
      <c r="V4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6" s="2" t="str">
        <f>IF(EvolucionIncidencia[[#This Row],[Fecha]]&lt;=MIN(EvolucionIncidencia[Fecha])+14,"",EvolucionIncidencia[[#This Row],[NuevasAltas]]-EvolucionIncidencia[[#This Row],[Previsión Altas]])</f>
        <v/>
      </c>
      <c r="Y4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6" s="2" t="str">
        <f>IF(LEN(EvolucionIncidencia[[#This Row],[Nuevos 7 dias]])=0,"",EvolucionIncidencia[[#This Row],[Nuevos 7 dias]]/_xlfn.MAXIFS(EvolucionIncidencia[Nuevos 7 dias],EvolucionIncidencia[Area_Sanitaria],EvolucionIncidencia[[#This Row],[Area_Sanitaria]]))</f>
        <v/>
      </c>
      <c r="AB46" s="2" t="str">
        <f>IF(LEN(EvolucionIncidencia[[#This Row],[Nuevos 14 dias]])=0,"",EvolucionIncidencia[[#This Row],[Nuevos 14 dias]]/_xlfn.MAXIFS(EvolucionIncidencia[Nuevos 14 dias],EvolucionIncidencia[Area_Sanitaria],EvolucionIncidencia[[#This Row],[Area_Sanitaria]]))</f>
        <v/>
      </c>
    </row>
    <row r="47" spans="1:28" hidden="1" x14ac:dyDescent="0.3">
      <c r="A47" s="1">
        <v>44175</v>
      </c>
      <c r="B47" s="2" t="s">
        <v>7</v>
      </c>
      <c r="C47" s="15">
        <v>8412</v>
      </c>
      <c r="D47" s="15">
        <v>824</v>
      </c>
      <c r="E47" s="15">
        <v>7416</v>
      </c>
      <c r="F47">
        <v>52</v>
      </c>
      <c r="G47">
        <v>7</v>
      </c>
      <c r="H47" s="15">
        <v>157288</v>
      </c>
      <c r="I47" s="15">
        <v>173</v>
      </c>
      <c r="J47" s="15">
        <v>88546</v>
      </c>
      <c r="K47" s="15">
        <v>66</v>
      </c>
      <c r="L47">
        <v>7</v>
      </c>
      <c r="M47">
        <v>-1</v>
      </c>
      <c r="N47">
        <v>1</v>
      </c>
      <c r="O47" s="15">
        <v>840</v>
      </c>
      <c r="P47" s="15">
        <v>192</v>
      </c>
      <c r="Q47" s="15">
        <v>1032</v>
      </c>
      <c r="R47">
        <v>1.0085679314565483</v>
      </c>
      <c r="S47" s="15">
        <v>58</v>
      </c>
      <c r="T47" t="s">
        <v>374</v>
      </c>
      <c r="U47" s="15" t="str">
        <f>TEXT(EvolucionIncidencia[[#This Row],[Fecha]],"DDDD")</f>
        <v>jueves</v>
      </c>
      <c r="V4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7" s="2" t="str">
        <f>IF(EvolucionIncidencia[[#This Row],[Fecha]]&lt;=MIN(EvolucionIncidencia[Fecha])+14,"",EvolucionIncidencia[[#This Row],[NuevasAltas]]-EvolucionIncidencia[[#This Row],[Previsión Altas]])</f>
        <v/>
      </c>
      <c r="Y4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7" s="2" t="str">
        <f>IF(LEN(EvolucionIncidencia[[#This Row],[Nuevos 7 dias]])=0,"",EvolucionIncidencia[[#This Row],[Nuevos 7 dias]]/_xlfn.MAXIFS(EvolucionIncidencia[Nuevos 7 dias],EvolucionIncidencia[Area_Sanitaria],EvolucionIncidencia[[#This Row],[Area_Sanitaria]]))</f>
        <v/>
      </c>
      <c r="AB47" s="2" t="str">
        <f>IF(LEN(EvolucionIncidencia[[#This Row],[Nuevos 14 dias]])=0,"",EvolucionIncidencia[[#This Row],[Nuevos 14 dias]]/_xlfn.MAXIFS(EvolucionIncidencia[Nuevos 14 dias],EvolucionIncidencia[Area_Sanitaria],EvolucionIncidencia[[#This Row],[Area_Sanitaria]]))</f>
        <v/>
      </c>
    </row>
    <row r="48" spans="1:28" hidden="1" x14ac:dyDescent="0.3">
      <c r="A48" s="1">
        <v>44175</v>
      </c>
      <c r="B48" s="2" t="s">
        <v>2</v>
      </c>
      <c r="C48" s="15">
        <v>10949</v>
      </c>
      <c r="D48" s="15">
        <v>1401</v>
      </c>
      <c r="E48" s="15">
        <v>9310</v>
      </c>
      <c r="F48">
        <v>60</v>
      </c>
      <c r="G48">
        <v>12</v>
      </c>
      <c r="H48" s="15">
        <v>202118</v>
      </c>
      <c r="I48" s="15">
        <v>239</v>
      </c>
      <c r="J48" s="15">
        <v>56587</v>
      </c>
      <c r="K48" s="15">
        <v>127</v>
      </c>
      <c r="L48">
        <v>-24</v>
      </c>
      <c r="M48">
        <v>-2</v>
      </c>
      <c r="N48">
        <v>1</v>
      </c>
      <c r="O48" s="15">
        <v>1981</v>
      </c>
      <c r="P48" s="15">
        <v>83</v>
      </c>
      <c r="Q48" s="15">
        <v>2064</v>
      </c>
      <c r="R48">
        <v>0.98315789473684212</v>
      </c>
      <c r="S48" s="15">
        <v>149</v>
      </c>
      <c r="T48" t="s">
        <v>374</v>
      </c>
      <c r="U48" s="15" t="str">
        <f>TEXT(EvolucionIncidencia[[#This Row],[Fecha]],"DDDD")</f>
        <v>jueves</v>
      </c>
      <c r="V4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8" s="2" t="str">
        <f>IF(EvolucionIncidencia[[#This Row],[Fecha]]&lt;=MIN(EvolucionIncidencia[Fecha])+14,"",EvolucionIncidencia[[#This Row],[NuevasAltas]]-EvolucionIncidencia[[#This Row],[Previsión Altas]])</f>
        <v/>
      </c>
      <c r="Y4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8" s="2" t="str">
        <f>IF(LEN(EvolucionIncidencia[[#This Row],[Nuevos 7 dias]])=0,"",EvolucionIncidencia[[#This Row],[Nuevos 7 dias]]/_xlfn.MAXIFS(EvolucionIncidencia[Nuevos 7 dias],EvolucionIncidencia[Area_Sanitaria],EvolucionIncidencia[[#This Row],[Area_Sanitaria]]))</f>
        <v/>
      </c>
      <c r="AB48" s="2" t="str">
        <f>IF(LEN(EvolucionIncidencia[[#This Row],[Nuevos 14 dias]])=0,"",EvolucionIncidencia[[#This Row],[Nuevos 14 dias]]/_xlfn.MAXIFS(EvolucionIncidencia[Nuevos 14 dias],EvolucionIncidencia[Area_Sanitaria],EvolucionIncidencia[[#This Row],[Area_Sanitaria]]))</f>
        <v/>
      </c>
    </row>
    <row r="49" spans="1:28" hidden="1" x14ac:dyDescent="0.3">
      <c r="A49" s="1">
        <v>44175</v>
      </c>
      <c r="B49" s="2" t="s">
        <v>3</v>
      </c>
      <c r="C49" s="15">
        <v>55721</v>
      </c>
      <c r="D49" s="15">
        <v>5684</v>
      </c>
      <c r="E49" s="15">
        <v>48748</v>
      </c>
      <c r="F49">
        <v>309</v>
      </c>
      <c r="G49">
        <v>51</v>
      </c>
      <c r="H49" s="15">
        <v>967614</v>
      </c>
      <c r="I49" s="15">
        <v>1293</v>
      </c>
      <c r="J49" s="15">
        <v>431283</v>
      </c>
      <c r="K49" s="15">
        <v>358</v>
      </c>
      <c r="L49">
        <v>-111</v>
      </c>
      <c r="M49">
        <v>-12</v>
      </c>
      <c r="N49">
        <v>1</v>
      </c>
      <c r="O49" s="15">
        <v>7471</v>
      </c>
      <c r="P49" s="15">
        <v>856</v>
      </c>
      <c r="Q49" s="15">
        <v>8327</v>
      </c>
      <c r="R49">
        <v>0.98084555651423644</v>
      </c>
      <c r="S49" s="15">
        <v>463</v>
      </c>
      <c r="T49" t="s">
        <v>374</v>
      </c>
      <c r="U49" s="15" t="str">
        <f>TEXT(EvolucionIncidencia[[#This Row],[Fecha]],"DDDD")</f>
        <v>jueves</v>
      </c>
      <c r="V4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9" s="2" t="str">
        <f>IF(EvolucionIncidencia[[#This Row],[Fecha]]&lt;=MIN(EvolucionIncidencia[Fecha])+14,"",EvolucionIncidencia[[#This Row],[NuevasAltas]]-EvolucionIncidencia[[#This Row],[Previsión Altas]])</f>
        <v/>
      </c>
      <c r="Y4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9" s="2" t="str">
        <f>IF(LEN(EvolucionIncidencia[[#This Row],[Nuevos 7 dias]])=0,"",EvolucionIncidencia[[#This Row],[Nuevos 7 dias]]/_xlfn.MAXIFS(EvolucionIncidencia[Nuevos 7 dias],EvolucionIncidencia[Area_Sanitaria],EvolucionIncidencia[[#This Row],[Area_Sanitaria]]))</f>
        <v/>
      </c>
      <c r="AB49" s="2" t="str">
        <f>IF(LEN(EvolucionIncidencia[[#This Row],[Nuevos 14 dias]])=0,"",EvolucionIncidencia[[#This Row],[Nuevos 14 dias]]/_xlfn.MAXIFS(EvolucionIncidencia[Nuevos 14 dias],EvolucionIncidencia[Area_Sanitaria],EvolucionIncidencia[[#This Row],[Area_Sanitaria]]))</f>
        <v/>
      </c>
    </row>
    <row r="50" spans="1:28" hidden="1" x14ac:dyDescent="0.3">
      <c r="A50" s="1">
        <v>44176</v>
      </c>
      <c r="B50" s="2" t="s">
        <v>4</v>
      </c>
      <c r="C50" s="15">
        <v>12528</v>
      </c>
      <c r="D50" s="15">
        <v>1017</v>
      </c>
      <c r="E50" s="15">
        <v>11219</v>
      </c>
      <c r="F50">
        <v>74</v>
      </c>
      <c r="G50">
        <v>13</v>
      </c>
      <c r="H50" s="15">
        <v>211869</v>
      </c>
      <c r="I50" s="15">
        <v>296</v>
      </c>
      <c r="J50" s="15">
        <v>74253</v>
      </c>
      <c r="K50" s="15">
        <v>51</v>
      </c>
      <c r="L50">
        <v>-76</v>
      </c>
      <c r="M50">
        <v>-4</v>
      </c>
      <c r="N50">
        <v>0</v>
      </c>
      <c r="O50" s="15">
        <v>1469</v>
      </c>
      <c r="P50" s="15">
        <v>203</v>
      </c>
      <c r="Q50" s="15">
        <v>1672</v>
      </c>
      <c r="R50">
        <v>0.93046660567246109</v>
      </c>
      <c r="S50" s="15">
        <v>124</v>
      </c>
      <c r="T50" t="s">
        <v>375</v>
      </c>
      <c r="U50" s="15" t="str">
        <f>TEXT(EvolucionIncidencia[[#This Row],[Fecha]],"DDDD")</f>
        <v>viernes</v>
      </c>
      <c r="V5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0" s="2" t="str">
        <f>IF(EvolucionIncidencia[[#This Row],[Fecha]]&lt;=MIN(EvolucionIncidencia[Fecha])+14,"",EvolucionIncidencia[[#This Row],[NuevasAltas]]-EvolucionIncidencia[[#This Row],[Previsión Altas]])</f>
        <v/>
      </c>
      <c r="Y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314</v>
      </c>
      <c r="Z5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0" s="2">
        <f>IF(LEN(EvolucionIncidencia[[#This Row],[Nuevos 7 dias]])=0,"",EvolucionIncidencia[[#This Row],[Nuevos 7 dias]]/_xlfn.MAXIFS(EvolucionIncidencia[Nuevos 7 dias],EvolucionIncidencia[Area_Sanitaria],EvolucionIncidencia[[#This Row],[Area_Sanitaria]]))</f>
        <v>0.10540449815374286</v>
      </c>
      <c r="AB50" s="2" t="str">
        <f>IF(LEN(EvolucionIncidencia[[#This Row],[Nuevos 14 dias]])=0,"",EvolucionIncidencia[[#This Row],[Nuevos 14 dias]]/_xlfn.MAXIFS(EvolucionIncidencia[Nuevos 14 dias],EvolucionIncidencia[Area_Sanitaria],EvolucionIncidencia[[#This Row],[Area_Sanitaria]]))</f>
        <v/>
      </c>
    </row>
    <row r="51" spans="1:28" hidden="1" x14ac:dyDescent="0.3">
      <c r="A51" s="1">
        <v>44176</v>
      </c>
      <c r="B51" s="2" t="s">
        <v>5</v>
      </c>
      <c r="C51" s="15">
        <v>3611</v>
      </c>
      <c r="D51" s="15">
        <v>547</v>
      </c>
      <c r="E51" s="15">
        <v>2981</v>
      </c>
      <c r="F51">
        <v>29</v>
      </c>
      <c r="G51">
        <v>4</v>
      </c>
      <c r="H51" s="15">
        <v>67485</v>
      </c>
      <c r="I51" s="15">
        <v>81</v>
      </c>
      <c r="J51" s="15">
        <v>29469</v>
      </c>
      <c r="K51" s="15">
        <v>31</v>
      </c>
      <c r="L51">
        <v>-26</v>
      </c>
      <c r="M51">
        <v>1</v>
      </c>
      <c r="N51">
        <v>1</v>
      </c>
      <c r="O51" s="15">
        <v>607</v>
      </c>
      <c r="P51" s="15">
        <v>46</v>
      </c>
      <c r="Q51" s="15">
        <v>653</v>
      </c>
      <c r="R51">
        <v>0.95462478184991273</v>
      </c>
      <c r="S51" s="15">
        <v>57</v>
      </c>
      <c r="T51" t="s">
        <v>375</v>
      </c>
      <c r="U51" s="15" t="str">
        <f>TEXT(EvolucionIncidencia[[#This Row],[Fecha]],"DDDD")</f>
        <v>viernes</v>
      </c>
      <c r="V5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1" s="2" t="str">
        <f>IF(EvolucionIncidencia[[#This Row],[Fecha]]&lt;=MIN(EvolucionIncidencia[Fecha])+14,"",EvolucionIncidencia[[#This Row],[NuevasAltas]]-EvolucionIncidencia[[#This Row],[Previsión Altas]])</f>
        <v/>
      </c>
      <c r="Y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204</v>
      </c>
      <c r="Z5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1" s="2">
        <f>IF(LEN(EvolucionIncidencia[[#This Row],[Nuevos 7 dias]])=0,"",EvolucionIncidencia[[#This Row],[Nuevos 7 dias]]/_xlfn.MAXIFS(EvolucionIncidencia[Nuevos 7 dias],EvolucionIncidencia[Area_Sanitaria],EvolucionIncidencia[[#This Row],[Area_Sanitaria]]))</f>
        <v>0.24431137724550897</v>
      </c>
      <c r="AB51" s="2" t="str">
        <f>IF(LEN(EvolucionIncidencia[[#This Row],[Nuevos 14 dias]])=0,"",EvolucionIncidencia[[#This Row],[Nuevos 14 dias]]/_xlfn.MAXIFS(EvolucionIncidencia[Nuevos 14 dias],EvolucionIncidencia[Area_Sanitaria],EvolucionIncidencia[[#This Row],[Area_Sanitaria]]))</f>
        <v/>
      </c>
    </row>
    <row r="52" spans="1:28" hidden="1" x14ac:dyDescent="0.3">
      <c r="A52" s="1">
        <v>44176</v>
      </c>
      <c r="B52" s="2" t="s">
        <v>8</v>
      </c>
      <c r="C52" s="15">
        <v>6596</v>
      </c>
      <c r="D52" s="15">
        <v>545</v>
      </c>
      <c r="E52" s="15">
        <v>5911</v>
      </c>
      <c r="F52">
        <v>25</v>
      </c>
      <c r="G52">
        <v>4</v>
      </c>
      <c r="H52" s="15">
        <v>111111</v>
      </c>
      <c r="I52" s="15">
        <v>139</v>
      </c>
      <c r="J52" s="15">
        <v>73078</v>
      </c>
      <c r="K52" s="15">
        <v>19</v>
      </c>
      <c r="L52">
        <v>-26</v>
      </c>
      <c r="M52">
        <v>2</v>
      </c>
      <c r="N52">
        <v>0</v>
      </c>
      <c r="O52" s="15">
        <v>1013</v>
      </c>
      <c r="P52" s="15">
        <v>121</v>
      </c>
      <c r="Q52" s="15">
        <v>1134</v>
      </c>
      <c r="R52">
        <v>0.95446584938704027</v>
      </c>
      <c r="S52" s="15">
        <v>45</v>
      </c>
      <c r="T52" t="s">
        <v>375</v>
      </c>
      <c r="U52" s="15" t="str">
        <f>TEXT(EvolucionIncidencia[[#This Row],[Fecha]],"DDDD")</f>
        <v>viernes</v>
      </c>
      <c r="V5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2" s="2" t="str">
        <f>IF(EvolucionIncidencia[[#This Row],[Fecha]]&lt;=MIN(EvolucionIncidencia[Fecha])+14,"",EvolucionIncidencia[[#This Row],[NuevasAltas]]-EvolucionIncidencia[[#This Row],[Previsión Altas]])</f>
        <v/>
      </c>
      <c r="Y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172</v>
      </c>
      <c r="Z5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2" s="2">
        <f>IF(LEN(EvolucionIncidencia[[#This Row],[Nuevos 7 dias]])=0,"",EvolucionIncidencia[[#This Row],[Nuevos 7 dias]]/_xlfn.MAXIFS(EvolucionIncidencia[Nuevos 7 dias],EvolucionIncidencia[Area_Sanitaria],EvolucionIncidencia[[#This Row],[Area_Sanitaria]]))</f>
        <v>0.15551537070524413</v>
      </c>
      <c r="AB52" s="2" t="str">
        <f>IF(LEN(EvolucionIncidencia[[#This Row],[Nuevos 14 dias]])=0,"",EvolucionIncidencia[[#This Row],[Nuevos 14 dias]]/_xlfn.MAXIFS(EvolucionIncidencia[Nuevos 14 dias],EvolucionIncidencia[Area_Sanitaria],EvolucionIncidencia[[#This Row],[Area_Sanitaria]]))</f>
        <v/>
      </c>
    </row>
    <row r="53" spans="1:28" hidden="1" x14ac:dyDescent="0.3">
      <c r="A53" s="1">
        <v>44176</v>
      </c>
      <c r="B53" s="2" t="s">
        <v>9</v>
      </c>
      <c r="C53" s="15">
        <v>7851</v>
      </c>
      <c r="D53" s="15">
        <v>403</v>
      </c>
      <c r="E53" s="15">
        <v>7145</v>
      </c>
      <c r="F53">
        <v>30</v>
      </c>
      <c r="G53">
        <v>2</v>
      </c>
      <c r="H53" s="15">
        <v>122626</v>
      </c>
      <c r="I53" s="15">
        <v>301</v>
      </c>
      <c r="J53" s="15">
        <v>65754</v>
      </c>
      <c r="K53" s="15">
        <v>31</v>
      </c>
      <c r="L53">
        <v>20</v>
      </c>
      <c r="M53">
        <v>4</v>
      </c>
      <c r="N53">
        <v>0</v>
      </c>
      <c r="O53" s="15">
        <v>556</v>
      </c>
      <c r="P53" s="15">
        <v>133</v>
      </c>
      <c r="Q53" s="15">
        <v>689</v>
      </c>
      <c r="R53">
        <v>1.0522193211488251</v>
      </c>
      <c r="S53" s="15">
        <v>9</v>
      </c>
      <c r="T53" t="s">
        <v>375</v>
      </c>
      <c r="U53" s="15" t="str">
        <f>TEXT(EvolucionIncidencia[[#This Row],[Fecha]],"DDDD")</f>
        <v>viernes</v>
      </c>
      <c r="V5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3" s="2" t="str">
        <f>IF(EvolucionIncidencia[[#This Row],[Fecha]]&lt;=MIN(EvolucionIncidencia[Fecha])+14,"",EvolucionIncidencia[[#This Row],[NuevasAltas]]-EvolucionIncidencia[[#This Row],[Previsión Altas]])</f>
        <v/>
      </c>
      <c r="Y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200</v>
      </c>
      <c r="Z5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3" s="2">
        <f>IF(LEN(EvolucionIncidencia[[#This Row],[Nuevos 7 dias]])=0,"",EvolucionIncidencia[[#This Row],[Nuevos 7 dias]]/_xlfn.MAXIFS(EvolucionIncidencia[Nuevos 7 dias],EvolucionIncidencia[Area_Sanitaria],EvolucionIncidencia[[#This Row],[Area_Sanitaria]]))</f>
        <v>0.12746972594008923</v>
      </c>
      <c r="AB53" s="2" t="str">
        <f>IF(LEN(EvolucionIncidencia[[#This Row],[Nuevos 14 dias]])=0,"",EvolucionIncidencia[[#This Row],[Nuevos 14 dias]]/_xlfn.MAXIFS(EvolucionIncidencia[Nuevos 14 dias],EvolucionIncidencia[Area_Sanitaria],EvolucionIncidencia[[#This Row],[Area_Sanitaria]]))</f>
        <v/>
      </c>
    </row>
    <row r="54" spans="1:28" x14ac:dyDescent="0.3">
      <c r="A54" s="1">
        <v>44176</v>
      </c>
      <c r="B54" s="2" t="s">
        <v>6</v>
      </c>
      <c r="C54" s="15">
        <v>5970</v>
      </c>
      <c r="D54" s="15">
        <v>851</v>
      </c>
      <c r="E54" s="15">
        <v>5052</v>
      </c>
      <c r="F54">
        <v>39</v>
      </c>
      <c r="G54">
        <v>9</v>
      </c>
      <c r="H54" s="15">
        <v>99820</v>
      </c>
      <c r="I54" s="15">
        <v>69</v>
      </c>
      <c r="J54" s="15">
        <v>44231</v>
      </c>
      <c r="K54" s="15">
        <v>64</v>
      </c>
      <c r="L54">
        <v>12</v>
      </c>
      <c r="M54">
        <v>-3</v>
      </c>
      <c r="N54">
        <v>-1</v>
      </c>
      <c r="O54" s="15">
        <v>1058</v>
      </c>
      <c r="P54" s="15">
        <v>132</v>
      </c>
      <c r="Q54" s="15">
        <v>1190</v>
      </c>
      <c r="R54">
        <v>1.0143027413587604</v>
      </c>
      <c r="S54" s="15">
        <v>51</v>
      </c>
      <c r="T54" t="s">
        <v>375</v>
      </c>
      <c r="U54" s="15" t="str">
        <f>TEXT(EvolucionIncidencia[[#This Row],[Fecha]],"DDDD")</f>
        <v>viernes</v>
      </c>
      <c r="V5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4" s="2" t="str">
        <f>IF(EvolucionIncidencia[[#This Row],[Fecha]]&lt;=MIN(EvolucionIncidencia[Fecha])+14,"",EvolucionIncidencia[[#This Row],[NuevasAltas]]-EvolucionIncidencia[[#This Row],[Previsión Altas]])</f>
        <v/>
      </c>
      <c r="Y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302</v>
      </c>
      <c r="Z5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4" s="2">
        <f>IF(LEN(EvolucionIncidencia[[#This Row],[Nuevos 7 dias]])=0,"",EvolucionIncidencia[[#This Row],[Nuevos 7 dias]]/_xlfn.MAXIFS(EvolucionIncidencia[Nuevos 7 dias],EvolucionIncidencia[Area_Sanitaria],EvolucionIncidencia[[#This Row],[Area_Sanitaria]]))</f>
        <v>0.22965779467680608</v>
      </c>
      <c r="AB54" s="2" t="str">
        <f>IF(LEN(EvolucionIncidencia[[#This Row],[Nuevos 14 dias]])=0,"",EvolucionIncidencia[[#This Row],[Nuevos 14 dias]]/_xlfn.MAXIFS(EvolucionIncidencia[Nuevos 14 dias],EvolucionIncidencia[Area_Sanitaria],EvolucionIncidencia[[#This Row],[Area_Sanitaria]]))</f>
        <v/>
      </c>
    </row>
    <row r="55" spans="1:28" hidden="1" x14ac:dyDescent="0.3">
      <c r="A55" s="1">
        <v>44176</v>
      </c>
      <c r="B55" s="2" t="s">
        <v>7</v>
      </c>
      <c r="C55" s="15">
        <v>8503</v>
      </c>
      <c r="D55" s="15">
        <v>852</v>
      </c>
      <c r="E55" s="15">
        <v>7479</v>
      </c>
      <c r="F55">
        <v>50</v>
      </c>
      <c r="G55">
        <v>11</v>
      </c>
      <c r="H55" s="15">
        <v>158434</v>
      </c>
      <c r="I55" s="15">
        <v>174</v>
      </c>
      <c r="J55" s="15">
        <v>88803</v>
      </c>
      <c r="K55" s="15">
        <v>91</v>
      </c>
      <c r="L55">
        <v>28</v>
      </c>
      <c r="M55">
        <v>-2</v>
      </c>
      <c r="N55">
        <v>4</v>
      </c>
      <c r="O55" s="15">
        <v>1146</v>
      </c>
      <c r="P55" s="15">
        <v>257</v>
      </c>
      <c r="Q55" s="15">
        <v>1403</v>
      </c>
      <c r="R55">
        <v>1.0339805825242718</v>
      </c>
      <c r="S55" s="15">
        <v>63</v>
      </c>
      <c r="T55" t="s">
        <v>375</v>
      </c>
      <c r="U55" s="15" t="str">
        <f>TEXT(EvolucionIncidencia[[#This Row],[Fecha]],"DDDD")</f>
        <v>viernes</v>
      </c>
      <c r="V5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5" s="2" t="str">
        <f>IF(EvolucionIncidencia[[#This Row],[Fecha]]&lt;=MIN(EvolucionIncidencia[Fecha])+14,"",EvolucionIncidencia[[#This Row],[NuevasAltas]]-EvolucionIncidencia[[#This Row],[Previsión Altas]])</f>
        <v/>
      </c>
      <c r="Y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451</v>
      </c>
      <c r="Z5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5" s="2">
        <f>IF(LEN(EvolucionIncidencia[[#This Row],[Nuevos 7 dias]])=0,"",EvolucionIncidencia[[#This Row],[Nuevos 7 dias]]/_xlfn.MAXIFS(EvolucionIncidencia[Nuevos 7 dias],EvolucionIncidencia[Area_Sanitaria],EvolucionIncidencia[[#This Row],[Area_Sanitaria]]))</f>
        <v>0.26560659599528857</v>
      </c>
      <c r="AB55" s="2" t="str">
        <f>IF(LEN(EvolucionIncidencia[[#This Row],[Nuevos 14 dias]])=0,"",EvolucionIncidencia[[#This Row],[Nuevos 14 dias]]/_xlfn.MAXIFS(EvolucionIncidencia[Nuevos 14 dias],EvolucionIncidencia[Area_Sanitaria],EvolucionIncidencia[[#This Row],[Area_Sanitaria]]))</f>
        <v/>
      </c>
    </row>
    <row r="56" spans="1:28" hidden="1" x14ac:dyDescent="0.3">
      <c r="A56" s="1">
        <v>44176</v>
      </c>
      <c r="B56" s="2" t="s">
        <v>2</v>
      </c>
      <c r="C56" s="15">
        <v>11002</v>
      </c>
      <c r="D56" s="15">
        <v>1315</v>
      </c>
      <c r="E56" s="15">
        <v>9445</v>
      </c>
      <c r="F56">
        <v>51</v>
      </c>
      <c r="G56">
        <v>11</v>
      </c>
      <c r="H56" s="15">
        <v>203922</v>
      </c>
      <c r="I56" s="15">
        <v>243</v>
      </c>
      <c r="J56" s="15">
        <v>56659</v>
      </c>
      <c r="K56" s="15">
        <v>53</v>
      </c>
      <c r="L56">
        <v>-86</v>
      </c>
      <c r="M56">
        <v>-9</v>
      </c>
      <c r="N56">
        <v>-1</v>
      </c>
      <c r="O56" s="15">
        <v>1804</v>
      </c>
      <c r="P56" s="15">
        <v>72</v>
      </c>
      <c r="Q56" s="15">
        <v>1876</v>
      </c>
      <c r="R56">
        <v>0.93861527480371165</v>
      </c>
      <c r="S56" s="15">
        <v>135</v>
      </c>
      <c r="T56" t="s">
        <v>375</v>
      </c>
      <c r="U56" s="15" t="str">
        <f>TEXT(EvolucionIncidencia[[#This Row],[Fecha]],"DDDD")</f>
        <v>viernes</v>
      </c>
      <c r="V5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6" s="2" t="str">
        <f>IF(EvolucionIncidencia[[#This Row],[Fecha]]&lt;=MIN(EvolucionIncidencia[Fecha])+14,"",EvolucionIncidencia[[#This Row],[NuevasAltas]]-EvolucionIncidencia[[#This Row],[Previsión Altas]])</f>
        <v/>
      </c>
      <c r="Y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515</v>
      </c>
      <c r="Z5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6" s="2">
        <f>IF(LEN(EvolucionIncidencia[[#This Row],[Nuevos 7 dias]])=0,"",EvolucionIncidencia[[#This Row],[Nuevos 7 dias]]/_xlfn.MAXIFS(EvolucionIncidencia[Nuevos 7 dias],EvolucionIncidencia[Area_Sanitaria],EvolucionIncidencia[[#This Row],[Area_Sanitaria]]))</f>
        <v>0.26560082516761219</v>
      </c>
      <c r="AB56" s="2" t="str">
        <f>IF(LEN(EvolucionIncidencia[[#This Row],[Nuevos 14 dias]])=0,"",EvolucionIncidencia[[#This Row],[Nuevos 14 dias]]/_xlfn.MAXIFS(EvolucionIncidencia[Nuevos 14 dias],EvolucionIncidencia[Area_Sanitaria],EvolucionIncidencia[[#This Row],[Area_Sanitaria]]))</f>
        <v/>
      </c>
    </row>
    <row r="57" spans="1:28" hidden="1" x14ac:dyDescent="0.3">
      <c r="A57" s="1">
        <v>44176</v>
      </c>
      <c r="B57" s="2" t="s">
        <v>3</v>
      </c>
      <c r="C57" s="15">
        <v>56061</v>
      </c>
      <c r="D57" s="15">
        <v>5530</v>
      </c>
      <c r="E57" s="15">
        <v>49232</v>
      </c>
      <c r="F57">
        <v>298</v>
      </c>
      <c r="G57">
        <v>54</v>
      </c>
      <c r="H57" s="15">
        <v>975267</v>
      </c>
      <c r="I57" s="15">
        <v>1303</v>
      </c>
      <c r="J57" s="15">
        <v>432247</v>
      </c>
      <c r="K57" s="15">
        <v>340</v>
      </c>
      <c r="L57">
        <v>-154</v>
      </c>
      <c r="M57">
        <v>-11</v>
      </c>
      <c r="N57">
        <v>3</v>
      </c>
      <c r="O57" s="15">
        <v>7653</v>
      </c>
      <c r="P57" s="15">
        <v>964</v>
      </c>
      <c r="Q57" s="15">
        <v>8617</v>
      </c>
      <c r="R57">
        <v>0.97290640394088668</v>
      </c>
      <c r="S57" s="15">
        <v>484</v>
      </c>
      <c r="T57" t="s">
        <v>375</v>
      </c>
      <c r="U57" s="15" t="str">
        <f>TEXT(EvolucionIncidencia[[#This Row],[Fecha]],"DDDD")</f>
        <v>viernes</v>
      </c>
      <c r="V5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7" s="2" t="str">
        <f>IF(EvolucionIncidencia[[#This Row],[Fecha]]&lt;=MIN(EvolucionIncidencia[Fecha])+14,"",EvolucionIncidencia[[#This Row],[NuevasAltas]]-EvolucionIncidencia[[#This Row],[Previsión Altas]])</f>
        <v/>
      </c>
      <c r="Y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2158</v>
      </c>
      <c r="Z5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7" s="2">
        <f>IF(LEN(EvolucionIncidencia[[#This Row],[Nuevos 7 dias]])=0,"",EvolucionIncidencia[[#This Row],[Nuevos 7 dias]]/_xlfn.MAXIFS(EvolucionIncidencia[Nuevos 7 dias],EvolucionIncidencia[Area_Sanitaria],EvolucionIncidencia[[#This Row],[Area_Sanitaria]]))</f>
        <v>0.19023272214386461</v>
      </c>
      <c r="AB57" s="2" t="str">
        <f>IF(LEN(EvolucionIncidencia[[#This Row],[Nuevos 14 dias]])=0,"",EvolucionIncidencia[[#This Row],[Nuevos 14 dias]]/_xlfn.MAXIFS(EvolucionIncidencia[Nuevos 14 dias],EvolucionIncidencia[Area_Sanitaria],EvolucionIncidencia[[#This Row],[Area_Sanitaria]]))</f>
        <v/>
      </c>
    </row>
    <row r="58" spans="1:28" hidden="1" x14ac:dyDescent="0.3">
      <c r="A58" s="1">
        <v>44177</v>
      </c>
      <c r="B58" s="2" t="s">
        <v>4</v>
      </c>
      <c r="C58" s="15">
        <v>12570</v>
      </c>
      <c r="D58" s="15">
        <v>993</v>
      </c>
      <c r="E58" s="15">
        <v>11285</v>
      </c>
      <c r="F58">
        <v>74</v>
      </c>
      <c r="G58">
        <v>13</v>
      </c>
      <c r="H58" s="15">
        <v>213048</v>
      </c>
      <c r="I58" s="15">
        <v>296</v>
      </c>
      <c r="J58" s="15">
        <v>74334</v>
      </c>
      <c r="K58" s="15">
        <v>42</v>
      </c>
      <c r="L58">
        <v>-24</v>
      </c>
      <c r="M58">
        <v>0</v>
      </c>
      <c r="N58">
        <v>0</v>
      </c>
      <c r="O58" s="15">
        <v>1179</v>
      </c>
      <c r="P58" s="15">
        <v>81</v>
      </c>
      <c r="Q58" s="15">
        <v>1260</v>
      </c>
      <c r="R58">
        <v>0.97640117994100295</v>
      </c>
      <c r="S58" s="15">
        <v>66</v>
      </c>
      <c r="T58" t="s">
        <v>376</v>
      </c>
      <c r="U58" s="15" t="str">
        <f>TEXT(EvolucionIncidencia[[#This Row],[Fecha]],"DDDD")</f>
        <v>sábado</v>
      </c>
      <c r="V5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8" s="2" t="str">
        <f>IF(EvolucionIncidencia[[#This Row],[Fecha]]&lt;=MIN(EvolucionIncidencia[Fecha])+14,"",EvolucionIncidencia[[#This Row],[NuevasAltas]]-EvolucionIncidencia[[#This Row],[Previsión Altas]])</f>
        <v/>
      </c>
      <c r="Y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316</v>
      </c>
      <c r="Z5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8" s="2">
        <f>IF(LEN(EvolucionIncidencia[[#This Row],[Nuevos 7 dias]])=0,"",EvolucionIncidencia[[#This Row],[Nuevos 7 dias]]/_xlfn.MAXIFS(EvolucionIncidencia[Nuevos 7 dias],EvolucionIncidencia[Area_Sanitaria],EvolucionIncidencia[[#This Row],[Area_Sanitaria]]))</f>
        <v>0.10607586438402149</v>
      </c>
      <c r="AB58" s="2" t="str">
        <f>IF(LEN(EvolucionIncidencia[[#This Row],[Nuevos 14 dias]])=0,"",EvolucionIncidencia[[#This Row],[Nuevos 14 dias]]/_xlfn.MAXIFS(EvolucionIncidencia[Nuevos 14 dias],EvolucionIncidencia[Area_Sanitaria],EvolucionIncidencia[[#This Row],[Area_Sanitaria]]))</f>
        <v/>
      </c>
    </row>
    <row r="59" spans="1:28" hidden="1" x14ac:dyDescent="0.3">
      <c r="A59" s="1">
        <v>44177</v>
      </c>
      <c r="B59" s="2" t="s">
        <v>5</v>
      </c>
      <c r="C59" s="15">
        <v>3637</v>
      </c>
      <c r="D59" s="15">
        <v>533</v>
      </c>
      <c r="E59" s="15">
        <v>3020</v>
      </c>
      <c r="F59">
        <v>28</v>
      </c>
      <c r="G59">
        <v>4</v>
      </c>
      <c r="H59" s="15">
        <v>68004</v>
      </c>
      <c r="I59" s="15">
        <v>82</v>
      </c>
      <c r="J59" s="15">
        <v>29495</v>
      </c>
      <c r="K59" s="15">
        <v>26</v>
      </c>
      <c r="L59">
        <v>-14</v>
      </c>
      <c r="M59">
        <v>-1</v>
      </c>
      <c r="N59">
        <v>0</v>
      </c>
      <c r="O59" s="15">
        <v>519</v>
      </c>
      <c r="P59" s="15">
        <v>26</v>
      </c>
      <c r="Q59" s="15">
        <v>545</v>
      </c>
      <c r="R59">
        <v>0.97440585009140768</v>
      </c>
      <c r="S59" s="15">
        <v>39</v>
      </c>
      <c r="T59" t="s">
        <v>376</v>
      </c>
      <c r="U59" s="15" t="str">
        <f>TEXT(EvolucionIncidencia[[#This Row],[Fecha]],"DDDD")</f>
        <v>sábado</v>
      </c>
      <c r="V5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9" s="2" t="str">
        <f>IF(EvolucionIncidencia[[#This Row],[Fecha]]&lt;=MIN(EvolucionIncidencia[Fecha])+14,"",EvolucionIncidencia[[#This Row],[NuevasAltas]]-EvolucionIncidencia[[#This Row],[Previsión Altas]])</f>
        <v/>
      </c>
      <c r="Y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207</v>
      </c>
      <c r="Z5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9" s="2">
        <f>IF(LEN(EvolucionIncidencia[[#This Row],[Nuevos 7 dias]])=0,"",EvolucionIncidencia[[#This Row],[Nuevos 7 dias]]/_xlfn.MAXIFS(EvolucionIncidencia[Nuevos 7 dias],EvolucionIncidencia[Area_Sanitaria],EvolucionIncidencia[[#This Row],[Area_Sanitaria]]))</f>
        <v>0.24790419161676647</v>
      </c>
      <c r="AB59" s="2" t="str">
        <f>IF(LEN(EvolucionIncidencia[[#This Row],[Nuevos 14 dias]])=0,"",EvolucionIncidencia[[#This Row],[Nuevos 14 dias]]/_xlfn.MAXIFS(EvolucionIncidencia[Nuevos 14 dias],EvolucionIncidencia[Area_Sanitaria],EvolucionIncidencia[[#This Row],[Area_Sanitaria]]))</f>
        <v/>
      </c>
    </row>
    <row r="60" spans="1:28" hidden="1" x14ac:dyDescent="0.3">
      <c r="A60" s="1">
        <v>44177</v>
      </c>
      <c r="B60" s="2" t="s">
        <v>8</v>
      </c>
      <c r="C60" s="15">
        <v>6619</v>
      </c>
      <c r="D60" s="15">
        <v>498</v>
      </c>
      <c r="E60" s="15">
        <v>5981</v>
      </c>
      <c r="F60">
        <v>22</v>
      </c>
      <c r="G60">
        <v>4</v>
      </c>
      <c r="H60" s="15">
        <v>112035</v>
      </c>
      <c r="I60" s="15">
        <v>139</v>
      </c>
      <c r="J60" s="15">
        <v>73124</v>
      </c>
      <c r="K60" s="15">
        <v>23</v>
      </c>
      <c r="L60">
        <v>-47</v>
      </c>
      <c r="M60">
        <v>-3</v>
      </c>
      <c r="N60">
        <v>0</v>
      </c>
      <c r="O60" s="15">
        <v>924</v>
      </c>
      <c r="P60" s="15">
        <v>46</v>
      </c>
      <c r="Q60" s="15">
        <v>970</v>
      </c>
      <c r="R60">
        <v>0.91376146788990831</v>
      </c>
      <c r="S60" s="15">
        <v>70</v>
      </c>
      <c r="T60" t="s">
        <v>376</v>
      </c>
      <c r="U60" s="15" t="str">
        <f>TEXT(EvolucionIncidencia[[#This Row],[Fecha]],"DDDD")</f>
        <v>sábado</v>
      </c>
      <c r="V6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0" s="2" t="str">
        <f>IF(EvolucionIncidencia[[#This Row],[Fecha]]&lt;=MIN(EvolucionIncidencia[Fecha])+14,"",EvolucionIncidencia[[#This Row],[NuevasAltas]]-EvolucionIncidencia[[#This Row],[Previsión Altas]])</f>
        <v/>
      </c>
      <c r="Y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164</v>
      </c>
      <c r="Z6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0" s="2">
        <f>IF(LEN(EvolucionIncidencia[[#This Row],[Nuevos 7 dias]])=0,"",EvolucionIncidencia[[#This Row],[Nuevos 7 dias]]/_xlfn.MAXIFS(EvolucionIncidencia[Nuevos 7 dias],EvolucionIncidencia[Area_Sanitaria],EvolucionIncidencia[[#This Row],[Area_Sanitaria]]))</f>
        <v>0.14828209764918626</v>
      </c>
      <c r="AB60" s="2" t="str">
        <f>IF(LEN(EvolucionIncidencia[[#This Row],[Nuevos 14 dias]])=0,"",EvolucionIncidencia[[#This Row],[Nuevos 14 dias]]/_xlfn.MAXIFS(EvolucionIncidencia[Nuevos 14 dias],EvolucionIncidencia[Area_Sanitaria],EvolucionIncidencia[[#This Row],[Area_Sanitaria]]))</f>
        <v/>
      </c>
    </row>
    <row r="61" spans="1:28" hidden="1" x14ac:dyDescent="0.3">
      <c r="A61" s="1">
        <v>44177</v>
      </c>
      <c r="B61" s="2" t="s">
        <v>9</v>
      </c>
      <c r="C61" s="15">
        <v>7899</v>
      </c>
      <c r="D61" s="15">
        <v>424</v>
      </c>
      <c r="E61" s="15">
        <v>7172</v>
      </c>
      <c r="F61">
        <v>32</v>
      </c>
      <c r="G61">
        <v>2</v>
      </c>
      <c r="H61" s="15">
        <v>123121</v>
      </c>
      <c r="I61" s="15">
        <v>301</v>
      </c>
      <c r="J61" s="15">
        <v>65812</v>
      </c>
      <c r="K61" s="15">
        <v>48</v>
      </c>
      <c r="L61">
        <v>21</v>
      </c>
      <c r="M61">
        <v>2</v>
      </c>
      <c r="N61">
        <v>0</v>
      </c>
      <c r="O61" s="15">
        <v>495</v>
      </c>
      <c r="P61" s="15">
        <v>58</v>
      </c>
      <c r="Q61" s="15">
        <v>553</v>
      </c>
      <c r="R61">
        <v>1.0521091811414391</v>
      </c>
      <c r="S61" s="15">
        <v>27</v>
      </c>
      <c r="T61" t="s">
        <v>376</v>
      </c>
      <c r="U61" s="15" t="str">
        <f>TEXT(EvolucionIncidencia[[#This Row],[Fecha]],"DDDD")</f>
        <v>sábado</v>
      </c>
      <c r="V6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1" s="2" t="str">
        <f>IF(EvolucionIncidencia[[#This Row],[Fecha]]&lt;=MIN(EvolucionIncidencia[Fecha])+14,"",EvolucionIncidencia[[#This Row],[NuevasAltas]]-EvolucionIncidencia[[#This Row],[Previsión Altas]])</f>
        <v/>
      </c>
      <c r="Y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226</v>
      </c>
      <c r="Z6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1" s="2">
        <f>IF(LEN(EvolucionIncidencia[[#This Row],[Nuevos 7 dias]])=0,"",EvolucionIncidencia[[#This Row],[Nuevos 7 dias]]/_xlfn.MAXIFS(EvolucionIncidencia[Nuevos 7 dias],EvolucionIncidencia[Area_Sanitaria],EvolucionIncidencia[[#This Row],[Area_Sanitaria]]))</f>
        <v>0.14404079031230083</v>
      </c>
      <c r="AB61" s="2" t="str">
        <f>IF(LEN(EvolucionIncidencia[[#This Row],[Nuevos 14 dias]])=0,"",EvolucionIncidencia[[#This Row],[Nuevos 14 dias]]/_xlfn.MAXIFS(EvolucionIncidencia[Nuevos 14 dias],EvolucionIncidencia[Area_Sanitaria],EvolucionIncidencia[[#This Row],[Area_Sanitaria]]))</f>
        <v/>
      </c>
    </row>
    <row r="62" spans="1:28" x14ac:dyDescent="0.3">
      <c r="A62" s="1">
        <v>44177</v>
      </c>
      <c r="B62" s="2" t="s">
        <v>6</v>
      </c>
      <c r="C62" s="15">
        <v>6038</v>
      </c>
      <c r="D62" s="15">
        <v>851</v>
      </c>
      <c r="E62" s="15">
        <v>5119</v>
      </c>
      <c r="F62">
        <v>38</v>
      </c>
      <c r="G62">
        <v>8</v>
      </c>
      <c r="H62" s="15">
        <v>100802</v>
      </c>
      <c r="I62" s="15">
        <v>70</v>
      </c>
      <c r="J62" s="15">
        <v>44296</v>
      </c>
      <c r="K62" s="15">
        <v>68</v>
      </c>
      <c r="L62">
        <v>0</v>
      </c>
      <c r="M62">
        <v>-1</v>
      </c>
      <c r="N62">
        <v>-1</v>
      </c>
      <c r="O62" s="15">
        <v>982</v>
      </c>
      <c r="P62" s="15">
        <v>65</v>
      </c>
      <c r="Q62" s="15">
        <v>1047</v>
      </c>
      <c r="R62">
        <v>1</v>
      </c>
      <c r="S62" s="15">
        <v>67</v>
      </c>
      <c r="T62" t="s">
        <v>376</v>
      </c>
      <c r="U62" s="15" t="str">
        <f>TEXT(EvolucionIncidencia[[#This Row],[Fecha]],"DDDD")</f>
        <v>sábado</v>
      </c>
      <c r="V6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2" s="2" t="str">
        <f>IF(EvolucionIncidencia[[#This Row],[Fecha]]&lt;=MIN(EvolucionIncidencia[Fecha])+14,"",EvolucionIncidencia[[#This Row],[NuevasAltas]]-EvolucionIncidencia[[#This Row],[Previsión Altas]])</f>
        <v/>
      </c>
      <c r="Y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333</v>
      </c>
      <c r="Z6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2" s="2">
        <f>IF(LEN(EvolucionIncidencia[[#This Row],[Nuevos 7 dias]])=0,"",EvolucionIncidencia[[#This Row],[Nuevos 7 dias]]/_xlfn.MAXIFS(EvolucionIncidencia[Nuevos 7 dias],EvolucionIncidencia[Area_Sanitaria],EvolucionIncidencia[[#This Row],[Area_Sanitaria]]))</f>
        <v>0.25323193916349812</v>
      </c>
      <c r="AB62" s="2" t="str">
        <f>IF(LEN(EvolucionIncidencia[[#This Row],[Nuevos 14 dias]])=0,"",EvolucionIncidencia[[#This Row],[Nuevos 14 dias]]/_xlfn.MAXIFS(EvolucionIncidencia[Nuevos 14 dias],EvolucionIncidencia[Area_Sanitaria],EvolucionIncidencia[[#This Row],[Area_Sanitaria]]))</f>
        <v/>
      </c>
    </row>
    <row r="63" spans="1:28" hidden="1" x14ac:dyDescent="0.3">
      <c r="A63" s="1">
        <v>44177</v>
      </c>
      <c r="B63" s="2" t="s">
        <v>7</v>
      </c>
      <c r="C63" s="15">
        <v>8599</v>
      </c>
      <c r="D63" s="15">
        <v>905</v>
      </c>
      <c r="E63" s="15">
        <v>7522</v>
      </c>
      <c r="F63">
        <v>56</v>
      </c>
      <c r="G63">
        <v>10</v>
      </c>
      <c r="H63" s="15">
        <v>159813</v>
      </c>
      <c r="I63" s="15">
        <v>174</v>
      </c>
      <c r="J63" s="15">
        <v>88948</v>
      </c>
      <c r="K63" s="15">
        <v>96</v>
      </c>
      <c r="L63">
        <v>53</v>
      </c>
      <c r="M63">
        <v>6</v>
      </c>
      <c r="N63">
        <v>-1</v>
      </c>
      <c r="O63" s="15">
        <v>1379</v>
      </c>
      <c r="P63" s="15">
        <v>145</v>
      </c>
      <c r="Q63" s="15">
        <v>1524</v>
      </c>
      <c r="R63">
        <v>1.062206572769953</v>
      </c>
      <c r="S63" s="15">
        <v>43</v>
      </c>
      <c r="T63" t="s">
        <v>376</v>
      </c>
      <c r="U63" s="15" t="str">
        <f>TEXT(EvolucionIncidencia[[#This Row],[Fecha]],"DDDD")</f>
        <v>sábado</v>
      </c>
      <c r="V6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3" s="2" t="str">
        <f>IF(EvolucionIncidencia[[#This Row],[Fecha]]&lt;=MIN(EvolucionIncidencia[Fecha])+14,"",EvolucionIncidencia[[#This Row],[NuevasAltas]]-EvolucionIncidencia[[#This Row],[Previsión Altas]])</f>
        <v/>
      </c>
      <c r="Y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495</v>
      </c>
      <c r="Z6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3" s="2">
        <f>IF(LEN(EvolucionIncidencia[[#This Row],[Nuevos 7 dias]])=0,"",EvolucionIncidencia[[#This Row],[Nuevos 7 dias]]/_xlfn.MAXIFS(EvolucionIncidencia[Nuevos 7 dias],EvolucionIncidencia[Area_Sanitaria],EvolucionIncidencia[[#This Row],[Area_Sanitaria]]))</f>
        <v>0.29151943462897528</v>
      </c>
      <c r="AB63" s="2" t="str">
        <f>IF(LEN(EvolucionIncidencia[[#This Row],[Nuevos 14 dias]])=0,"",EvolucionIncidencia[[#This Row],[Nuevos 14 dias]]/_xlfn.MAXIFS(EvolucionIncidencia[Nuevos 14 dias],EvolucionIncidencia[Area_Sanitaria],EvolucionIncidencia[[#This Row],[Area_Sanitaria]]))</f>
        <v/>
      </c>
    </row>
    <row r="64" spans="1:28" hidden="1" x14ac:dyDescent="0.3">
      <c r="A64" s="1">
        <v>44177</v>
      </c>
      <c r="B64" s="2" t="s">
        <v>2</v>
      </c>
      <c r="C64" s="15">
        <v>11095</v>
      </c>
      <c r="D64" s="15">
        <v>1317</v>
      </c>
      <c r="E64" s="15">
        <v>9535</v>
      </c>
      <c r="F64">
        <v>47</v>
      </c>
      <c r="G64">
        <v>11</v>
      </c>
      <c r="H64" s="15">
        <v>206339</v>
      </c>
      <c r="I64" s="15">
        <v>244</v>
      </c>
      <c r="J64" s="15">
        <v>56690</v>
      </c>
      <c r="K64" s="15">
        <v>93</v>
      </c>
      <c r="L64">
        <v>2</v>
      </c>
      <c r="M64">
        <v>-4</v>
      </c>
      <c r="N64">
        <v>0</v>
      </c>
      <c r="O64" s="15">
        <v>2417</v>
      </c>
      <c r="P64" s="15">
        <v>31</v>
      </c>
      <c r="Q64" s="15">
        <v>2448</v>
      </c>
      <c r="R64">
        <v>1.0015209125475286</v>
      </c>
      <c r="S64" s="15">
        <v>90</v>
      </c>
      <c r="T64" t="s">
        <v>376</v>
      </c>
      <c r="U64" s="15" t="str">
        <f>TEXT(EvolucionIncidencia[[#This Row],[Fecha]],"DDDD")</f>
        <v>sábado</v>
      </c>
      <c r="V6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4" s="2" t="str">
        <f>IF(EvolucionIncidencia[[#This Row],[Fecha]]&lt;=MIN(EvolucionIncidencia[Fecha])+14,"",EvolucionIncidencia[[#This Row],[NuevasAltas]]-EvolucionIncidencia[[#This Row],[Previsión Altas]])</f>
        <v/>
      </c>
      <c r="Y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517</v>
      </c>
      <c r="Z6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4" s="2">
        <f>IF(LEN(EvolucionIncidencia[[#This Row],[Nuevos 7 dias]])=0,"",EvolucionIncidencia[[#This Row],[Nuevos 7 dias]]/_xlfn.MAXIFS(EvolucionIncidencia[Nuevos 7 dias],EvolucionIncidencia[Area_Sanitaria],EvolucionIncidencia[[#This Row],[Area_Sanitaria]]))</f>
        <v>0.26663228468282618</v>
      </c>
      <c r="AB64" s="2" t="str">
        <f>IF(LEN(EvolucionIncidencia[[#This Row],[Nuevos 14 dias]])=0,"",EvolucionIncidencia[[#This Row],[Nuevos 14 dias]]/_xlfn.MAXIFS(EvolucionIncidencia[Nuevos 14 dias],EvolucionIncidencia[Area_Sanitaria],EvolucionIncidencia[[#This Row],[Area_Sanitaria]]))</f>
        <v/>
      </c>
    </row>
    <row r="65" spans="1:28" hidden="1" x14ac:dyDescent="0.3">
      <c r="A65" s="1">
        <v>44177</v>
      </c>
      <c r="B65" s="2" t="s">
        <v>3</v>
      </c>
      <c r="C65" s="15">
        <v>56457</v>
      </c>
      <c r="D65" s="15">
        <v>5521</v>
      </c>
      <c r="E65" s="15">
        <v>49634</v>
      </c>
      <c r="F65">
        <v>297</v>
      </c>
      <c r="G65">
        <v>52</v>
      </c>
      <c r="H65" s="15">
        <v>983162</v>
      </c>
      <c r="I65" s="15">
        <v>1306</v>
      </c>
      <c r="J65" s="15">
        <v>432699</v>
      </c>
      <c r="K65" s="15">
        <v>396</v>
      </c>
      <c r="L65">
        <v>-9</v>
      </c>
      <c r="M65">
        <v>-1</v>
      </c>
      <c r="N65">
        <v>-2</v>
      </c>
      <c r="O65" s="15">
        <v>7895</v>
      </c>
      <c r="P65" s="15">
        <v>452</v>
      </c>
      <c r="Q65" s="15">
        <v>8347</v>
      </c>
      <c r="R65">
        <v>0.99837251356238699</v>
      </c>
      <c r="S65" s="15">
        <v>402</v>
      </c>
      <c r="T65" t="s">
        <v>376</v>
      </c>
      <c r="U65" s="15" t="str">
        <f>TEXT(EvolucionIncidencia[[#This Row],[Fecha]],"DDDD")</f>
        <v>sábado</v>
      </c>
      <c r="V6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5" s="2" t="str">
        <f>IF(EvolucionIncidencia[[#This Row],[Fecha]]&lt;=MIN(EvolucionIncidencia[Fecha])+14,"",EvolucionIncidencia[[#This Row],[NuevasAltas]]-EvolucionIncidencia[[#This Row],[Previsión Altas]])</f>
        <v/>
      </c>
      <c r="Y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2258</v>
      </c>
      <c r="Z6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5" s="2">
        <f>IF(LEN(EvolucionIncidencia[[#This Row],[Nuevos 7 dias]])=0,"",EvolucionIncidencia[[#This Row],[Nuevos 7 dias]]/_xlfn.MAXIFS(EvolucionIncidencia[Nuevos 7 dias],EvolucionIncidencia[Area_Sanitaria],EvolucionIncidencia[[#This Row],[Area_Sanitaria]]))</f>
        <v>0.19904795486600846</v>
      </c>
      <c r="AB65" s="2" t="str">
        <f>IF(LEN(EvolucionIncidencia[[#This Row],[Nuevos 14 dias]])=0,"",EvolucionIncidencia[[#This Row],[Nuevos 14 dias]]/_xlfn.MAXIFS(EvolucionIncidencia[Nuevos 14 dias],EvolucionIncidencia[Area_Sanitaria],EvolucionIncidencia[[#This Row],[Area_Sanitaria]]))</f>
        <v/>
      </c>
    </row>
    <row r="66" spans="1:28" hidden="1" x14ac:dyDescent="0.3">
      <c r="A66" s="1">
        <v>44178</v>
      </c>
      <c r="B66" s="2" t="s">
        <v>4</v>
      </c>
      <c r="C66" s="15">
        <v>12635</v>
      </c>
      <c r="D66" s="15">
        <v>955</v>
      </c>
      <c r="E66" s="15">
        <v>11386</v>
      </c>
      <c r="F66">
        <v>75</v>
      </c>
      <c r="G66">
        <v>13</v>
      </c>
      <c r="H66" s="15">
        <v>213772</v>
      </c>
      <c r="I66" s="15">
        <v>298</v>
      </c>
      <c r="J66" s="15">
        <v>74419</v>
      </c>
      <c r="K66" s="15">
        <v>65</v>
      </c>
      <c r="L66">
        <v>-38</v>
      </c>
      <c r="M66">
        <v>1</v>
      </c>
      <c r="N66">
        <v>0</v>
      </c>
      <c r="O66" s="15">
        <v>724</v>
      </c>
      <c r="P66" s="15">
        <v>85</v>
      </c>
      <c r="Q66" s="15">
        <v>809</v>
      </c>
      <c r="R66">
        <v>0.96173212487411885</v>
      </c>
      <c r="S66" s="15">
        <v>101</v>
      </c>
      <c r="T66" t="s">
        <v>377</v>
      </c>
      <c r="U66" s="15" t="str">
        <f>TEXT(EvolucionIncidencia[[#This Row],[Fecha]],"DDDD")</f>
        <v>domingo</v>
      </c>
      <c r="V6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6" s="2" t="str">
        <f>IF(EvolucionIncidencia[[#This Row],[Fecha]]&lt;=MIN(EvolucionIncidencia[Fecha])+14,"",EvolucionIncidencia[[#This Row],[NuevasAltas]]-EvolucionIncidencia[[#This Row],[Previsión Altas]])</f>
        <v/>
      </c>
      <c r="Y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328</v>
      </c>
      <c r="Z6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6" s="2">
        <f>IF(LEN(EvolucionIncidencia[[#This Row],[Nuevos 7 dias]])=0,"",EvolucionIncidencia[[#This Row],[Nuevos 7 dias]]/_xlfn.MAXIFS(EvolucionIncidencia[Nuevos 7 dias],EvolucionIncidencia[Area_Sanitaria],EvolucionIncidencia[[#This Row],[Area_Sanitaria]]))</f>
        <v>0.11010406176569319</v>
      </c>
      <c r="AB66" s="2" t="str">
        <f>IF(LEN(EvolucionIncidencia[[#This Row],[Nuevos 14 dias]])=0,"",EvolucionIncidencia[[#This Row],[Nuevos 14 dias]]/_xlfn.MAXIFS(EvolucionIncidencia[Nuevos 14 dias],EvolucionIncidencia[Area_Sanitaria],EvolucionIncidencia[[#This Row],[Area_Sanitaria]]))</f>
        <v/>
      </c>
    </row>
    <row r="67" spans="1:28" hidden="1" x14ac:dyDescent="0.3">
      <c r="A67" s="1">
        <v>44178</v>
      </c>
      <c r="B67" s="2" t="s">
        <v>5</v>
      </c>
      <c r="C67" s="15">
        <v>3686</v>
      </c>
      <c r="D67" s="15">
        <v>563</v>
      </c>
      <c r="E67" s="15">
        <v>3037</v>
      </c>
      <c r="F67">
        <v>30</v>
      </c>
      <c r="G67">
        <v>4</v>
      </c>
      <c r="H67" s="15">
        <v>69010</v>
      </c>
      <c r="I67" s="15">
        <v>84</v>
      </c>
      <c r="J67" s="15">
        <v>29513</v>
      </c>
      <c r="K67" s="15">
        <v>49</v>
      </c>
      <c r="L67">
        <v>30</v>
      </c>
      <c r="M67">
        <v>2</v>
      </c>
      <c r="N67">
        <v>0</v>
      </c>
      <c r="O67" s="15">
        <v>1006</v>
      </c>
      <c r="P67" s="15">
        <v>18</v>
      </c>
      <c r="Q67" s="15">
        <v>1024</v>
      </c>
      <c r="R67">
        <v>1.0562851782363978</v>
      </c>
      <c r="S67" s="15">
        <v>17</v>
      </c>
      <c r="T67" t="s">
        <v>377</v>
      </c>
      <c r="U67" s="15" t="str">
        <f>TEXT(EvolucionIncidencia[[#This Row],[Fecha]],"DDDD")</f>
        <v>domingo</v>
      </c>
      <c r="V6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7" s="2" t="str">
        <f>IF(EvolucionIncidencia[[#This Row],[Fecha]]&lt;=MIN(EvolucionIncidencia[Fecha])+14,"",EvolucionIncidencia[[#This Row],[NuevasAltas]]-EvolucionIncidencia[[#This Row],[Previsión Altas]])</f>
        <v/>
      </c>
      <c r="Y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220</v>
      </c>
      <c r="Z6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7" s="2">
        <f>IF(LEN(EvolucionIncidencia[[#This Row],[Nuevos 7 dias]])=0,"",EvolucionIncidencia[[#This Row],[Nuevos 7 dias]]/_xlfn.MAXIFS(EvolucionIncidencia[Nuevos 7 dias],EvolucionIncidencia[Area_Sanitaria],EvolucionIncidencia[[#This Row],[Area_Sanitaria]]))</f>
        <v>0.26347305389221559</v>
      </c>
      <c r="AB67" s="2" t="str">
        <f>IF(LEN(EvolucionIncidencia[[#This Row],[Nuevos 14 dias]])=0,"",EvolucionIncidencia[[#This Row],[Nuevos 14 dias]]/_xlfn.MAXIFS(EvolucionIncidencia[Nuevos 14 dias],EvolucionIncidencia[Area_Sanitaria],EvolucionIncidencia[[#This Row],[Area_Sanitaria]]))</f>
        <v/>
      </c>
    </row>
    <row r="68" spans="1:28" hidden="1" x14ac:dyDescent="0.3">
      <c r="A68" s="1">
        <v>44178</v>
      </c>
      <c r="B68" s="2" t="s">
        <v>8</v>
      </c>
      <c r="C68" s="15">
        <v>6639</v>
      </c>
      <c r="D68" s="15">
        <v>486</v>
      </c>
      <c r="E68" s="15">
        <v>6013</v>
      </c>
      <c r="F68">
        <v>21</v>
      </c>
      <c r="G68">
        <v>6</v>
      </c>
      <c r="H68" s="15">
        <v>113015</v>
      </c>
      <c r="I68" s="15">
        <v>139</v>
      </c>
      <c r="J68" s="15">
        <v>73167</v>
      </c>
      <c r="K68" s="15">
        <v>20</v>
      </c>
      <c r="L68">
        <v>-12</v>
      </c>
      <c r="M68">
        <v>-1</v>
      </c>
      <c r="N68">
        <v>2</v>
      </c>
      <c r="O68" s="15">
        <v>980</v>
      </c>
      <c r="P68" s="15">
        <v>43</v>
      </c>
      <c r="Q68" s="15">
        <v>1023</v>
      </c>
      <c r="R68">
        <v>0.97590361445783136</v>
      </c>
      <c r="S68" s="15">
        <v>32</v>
      </c>
      <c r="T68" t="s">
        <v>377</v>
      </c>
      <c r="U68" s="15" t="str">
        <f>TEXT(EvolucionIncidencia[[#This Row],[Fecha]],"DDDD")</f>
        <v>domingo</v>
      </c>
      <c r="V6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8" s="2" t="str">
        <f>IF(EvolucionIncidencia[[#This Row],[Fecha]]&lt;=MIN(EvolucionIncidencia[Fecha])+14,"",EvolucionIncidencia[[#This Row],[NuevasAltas]]-EvolucionIncidencia[[#This Row],[Previsión Altas]])</f>
        <v/>
      </c>
      <c r="Y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155</v>
      </c>
      <c r="Z6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8" s="2">
        <f>IF(LEN(EvolucionIncidencia[[#This Row],[Nuevos 7 dias]])=0,"",EvolucionIncidencia[[#This Row],[Nuevos 7 dias]]/_xlfn.MAXIFS(EvolucionIncidencia[Nuevos 7 dias],EvolucionIncidencia[Area_Sanitaria],EvolucionIncidencia[[#This Row],[Area_Sanitaria]]))</f>
        <v>0.14014466546112117</v>
      </c>
      <c r="AB68" s="2" t="str">
        <f>IF(LEN(EvolucionIncidencia[[#This Row],[Nuevos 14 dias]])=0,"",EvolucionIncidencia[[#This Row],[Nuevos 14 dias]]/_xlfn.MAXIFS(EvolucionIncidencia[Nuevos 14 dias],EvolucionIncidencia[Area_Sanitaria],EvolucionIncidencia[[#This Row],[Area_Sanitaria]]))</f>
        <v/>
      </c>
    </row>
    <row r="69" spans="1:28" hidden="1" x14ac:dyDescent="0.3">
      <c r="A69" s="1">
        <v>44178</v>
      </c>
      <c r="B69" s="2" t="s">
        <v>9</v>
      </c>
      <c r="C69" s="15">
        <v>7940</v>
      </c>
      <c r="D69" s="15">
        <v>452</v>
      </c>
      <c r="E69" s="15">
        <v>7184</v>
      </c>
      <c r="F69">
        <v>36</v>
      </c>
      <c r="G69">
        <v>1</v>
      </c>
      <c r="H69" s="15">
        <v>123699</v>
      </c>
      <c r="I69" s="15">
        <v>302</v>
      </c>
      <c r="J69" s="15">
        <v>65876</v>
      </c>
      <c r="K69" s="15">
        <v>41</v>
      </c>
      <c r="L69">
        <v>28</v>
      </c>
      <c r="M69">
        <v>4</v>
      </c>
      <c r="N69">
        <v>-1</v>
      </c>
      <c r="O69" s="15">
        <v>578</v>
      </c>
      <c r="P69" s="15">
        <v>64</v>
      </c>
      <c r="Q69" s="15">
        <v>642</v>
      </c>
      <c r="R69">
        <v>1.0660377358490567</v>
      </c>
      <c r="S69" s="15">
        <v>12</v>
      </c>
      <c r="T69" t="s">
        <v>377</v>
      </c>
      <c r="U69" s="15" t="str">
        <f>TEXT(EvolucionIncidencia[[#This Row],[Fecha]],"DDDD")</f>
        <v>domingo</v>
      </c>
      <c r="V6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9" s="2" t="str">
        <f>IF(EvolucionIncidencia[[#This Row],[Fecha]]&lt;=MIN(EvolucionIncidencia[Fecha])+14,"",EvolucionIncidencia[[#This Row],[NuevasAltas]]-EvolucionIncidencia[[#This Row],[Previsión Altas]])</f>
        <v/>
      </c>
      <c r="Y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244</v>
      </c>
      <c r="Z6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9" s="2">
        <f>IF(LEN(EvolucionIncidencia[[#This Row],[Nuevos 7 dias]])=0,"",EvolucionIncidencia[[#This Row],[Nuevos 7 dias]]/_xlfn.MAXIFS(EvolucionIncidencia[Nuevos 7 dias],EvolucionIncidencia[Area_Sanitaria],EvolucionIncidencia[[#This Row],[Area_Sanitaria]]))</f>
        <v>0.15551306564690887</v>
      </c>
      <c r="AB69" s="2" t="str">
        <f>IF(LEN(EvolucionIncidencia[[#This Row],[Nuevos 14 dias]])=0,"",EvolucionIncidencia[[#This Row],[Nuevos 14 dias]]/_xlfn.MAXIFS(EvolucionIncidencia[Nuevos 14 dias],EvolucionIncidencia[Area_Sanitaria],EvolucionIncidencia[[#This Row],[Area_Sanitaria]]))</f>
        <v/>
      </c>
    </row>
    <row r="70" spans="1:28" x14ac:dyDescent="0.3">
      <c r="A70" s="1">
        <v>44178</v>
      </c>
      <c r="B70" s="2" t="s">
        <v>6</v>
      </c>
      <c r="C70" s="15">
        <v>6090</v>
      </c>
      <c r="D70" s="15">
        <v>848</v>
      </c>
      <c r="E70" s="15">
        <v>5174</v>
      </c>
      <c r="F70">
        <v>42</v>
      </c>
      <c r="G70">
        <v>8</v>
      </c>
      <c r="H70" s="15">
        <v>101325</v>
      </c>
      <c r="I70" s="15">
        <v>70</v>
      </c>
      <c r="J70" s="15">
        <v>44389</v>
      </c>
      <c r="K70" s="15">
        <v>52</v>
      </c>
      <c r="L70">
        <v>-3</v>
      </c>
      <c r="M70">
        <v>4</v>
      </c>
      <c r="N70">
        <v>0</v>
      </c>
      <c r="O70" s="15">
        <v>523</v>
      </c>
      <c r="P70" s="15">
        <v>93</v>
      </c>
      <c r="Q70" s="15">
        <v>616</v>
      </c>
      <c r="R70">
        <v>0.99647473560517041</v>
      </c>
      <c r="S70" s="15">
        <v>55</v>
      </c>
      <c r="T70" t="s">
        <v>377</v>
      </c>
      <c r="U70" s="15" t="str">
        <f>TEXT(EvolucionIncidencia[[#This Row],[Fecha]],"DDDD")</f>
        <v>domingo</v>
      </c>
      <c r="V7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0" s="2" t="str">
        <f>IF(EvolucionIncidencia[[#This Row],[Fecha]]&lt;=MIN(EvolucionIncidencia[Fecha])+14,"",EvolucionIncidencia[[#This Row],[NuevasAltas]]-EvolucionIncidencia[[#This Row],[Previsión Altas]])</f>
        <v/>
      </c>
      <c r="Y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352</v>
      </c>
      <c r="Z7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0" s="2">
        <f>IF(LEN(EvolucionIncidencia[[#This Row],[Nuevos 7 dias]])=0,"",EvolucionIncidencia[[#This Row],[Nuevos 7 dias]]/_xlfn.MAXIFS(EvolucionIncidencia[Nuevos 7 dias],EvolucionIncidencia[Area_Sanitaria],EvolucionIncidencia[[#This Row],[Area_Sanitaria]]))</f>
        <v>0.267680608365019</v>
      </c>
      <c r="AB70" s="2" t="str">
        <f>IF(LEN(EvolucionIncidencia[[#This Row],[Nuevos 14 dias]])=0,"",EvolucionIncidencia[[#This Row],[Nuevos 14 dias]]/_xlfn.MAXIFS(EvolucionIncidencia[Nuevos 14 dias],EvolucionIncidencia[Area_Sanitaria],EvolucionIncidencia[[#This Row],[Area_Sanitaria]]))</f>
        <v/>
      </c>
    </row>
    <row r="71" spans="1:28" hidden="1" x14ac:dyDescent="0.3">
      <c r="A71" s="1">
        <v>44178</v>
      </c>
      <c r="B71" s="2" t="s">
        <v>7</v>
      </c>
      <c r="C71" s="15">
        <v>8687</v>
      </c>
      <c r="D71" s="15">
        <v>952</v>
      </c>
      <c r="E71" s="15">
        <v>7563</v>
      </c>
      <c r="F71">
        <v>62</v>
      </c>
      <c r="G71">
        <v>11</v>
      </c>
      <c r="H71" s="15">
        <v>161945</v>
      </c>
      <c r="I71" s="15">
        <v>174</v>
      </c>
      <c r="J71" s="15">
        <v>89063</v>
      </c>
      <c r="K71" s="15">
        <v>88</v>
      </c>
      <c r="L71">
        <v>47</v>
      </c>
      <c r="M71">
        <v>6</v>
      </c>
      <c r="N71">
        <v>1</v>
      </c>
      <c r="O71" s="15">
        <v>2132</v>
      </c>
      <c r="P71" s="15">
        <v>115</v>
      </c>
      <c r="Q71" s="15">
        <v>2247</v>
      </c>
      <c r="R71">
        <v>1.0519337016574586</v>
      </c>
      <c r="S71" s="15">
        <v>41</v>
      </c>
      <c r="T71" t="s">
        <v>377</v>
      </c>
      <c r="U71" s="15" t="str">
        <f>TEXT(EvolucionIncidencia[[#This Row],[Fecha]],"DDDD")</f>
        <v>domingo</v>
      </c>
      <c r="V7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1" s="2" t="str">
        <f>IF(EvolucionIncidencia[[#This Row],[Fecha]]&lt;=MIN(EvolucionIncidencia[Fecha])+14,"",EvolucionIncidencia[[#This Row],[NuevasAltas]]-EvolucionIncidencia[[#This Row],[Previsión Altas]])</f>
        <v/>
      </c>
      <c r="Y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536</v>
      </c>
      <c r="Z7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1" s="2">
        <f>IF(LEN(EvolucionIncidencia[[#This Row],[Nuevos 7 dias]])=0,"",EvolucionIncidencia[[#This Row],[Nuevos 7 dias]]/_xlfn.MAXIFS(EvolucionIncidencia[Nuevos 7 dias],EvolucionIncidencia[Area_Sanitaria],EvolucionIncidencia[[#This Row],[Area_Sanitaria]]))</f>
        <v>0.31566548881036516</v>
      </c>
      <c r="AB71" s="2" t="str">
        <f>IF(LEN(EvolucionIncidencia[[#This Row],[Nuevos 14 dias]])=0,"",EvolucionIncidencia[[#This Row],[Nuevos 14 dias]]/_xlfn.MAXIFS(EvolucionIncidencia[Nuevos 14 dias],EvolucionIncidencia[Area_Sanitaria],EvolucionIncidencia[[#This Row],[Area_Sanitaria]]))</f>
        <v/>
      </c>
    </row>
    <row r="72" spans="1:28" hidden="1" x14ac:dyDescent="0.3">
      <c r="A72" s="1">
        <v>44178</v>
      </c>
      <c r="B72" s="2" t="s">
        <v>2</v>
      </c>
      <c r="C72" s="15">
        <v>11151</v>
      </c>
      <c r="D72" s="15">
        <v>1304</v>
      </c>
      <c r="E72" s="15">
        <v>9603</v>
      </c>
      <c r="F72">
        <v>44</v>
      </c>
      <c r="G72">
        <v>12</v>
      </c>
      <c r="H72" s="15">
        <v>208436</v>
      </c>
      <c r="I72" s="15">
        <v>245</v>
      </c>
      <c r="J72" s="15">
        <v>56728</v>
      </c>
      <c r="K72" s="15">
        <v>56</v>
      </c>
      <c r="L72">
        <v>-13</v>
      </c>
      <c r="M72">
        <v>-3</v>
      </c>
      <c r="N72">
        <v>1</v>
      </c>
      <c r="O72" s="15">
        <v>2097</v>
      </c>
      <c r="P72" s="15">
        <v>38</v>
      </c>
      <c r="Q72" s="15">
        <v>2135</v>
      </c>
      <c r="R72">
        <v>0.99012908124525434</v>
      </c>
      <c r="S72" s="15">
        <v>68</v>
      </c>
      <c r="T72" t="s">
        <v>377</v>
      </c>
      <c r="U72" s="15" t="str">
        <f>TEXT(EvolucionIncidencia[[#This Row],[Fecha]],"DDDD")</f>
        <v>domingo</v>
      </c>
      <c r="V7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2" s="2" t="str">
        <f>IF(EvolucionIncidencia[[#This Row],[Fecha]]&lt;=MIN(EvolucionIncidencia[Fecha])+14,"",EvolucionIncidencia[[#This Row],[NuevasAltas]]-EvolucionIncidencia[[#This Row],[Previsión Altas]])</f>
        <v/>
      </c>
      <c r="Y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520</v>
      </c>
      <c r="Z7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2" s="2">
        <f>IF(LEN(EvolucionIncidencia[[#This Row],[Nuevos 7 dias]])=0,"",EvolucionIncidencia[[#This Row],[Nuevos 7 dias]]/_xlfn.MAXIFS(EvolucionIncidencia[Nuevos 7 dias],EvolucionIncidencia[Area_Sanitaria],EvolucionIncidencia[[#This Row],[Area_Sanitaria]]))</f>
        <v>0.26817947395564723</v>
      </c>
      <c r="AB72" s="2" t="str">
        <f>IF(LEN(EvolucionIncidencia[[#This Row],[Nuevos 14 dias]])=0,"",EvolucionIncidencia[[#This Row],[Nuevos 14 dias]]/_xlfn.MAXIFS(EvolucionIncidencia[Nuevos 14 dias],EvolucionIncidencia[Area_Sanitaria],EvolucionIncidencia[[#This Row],[Area_Sanitaria]]))</f>
        <v/>
      </c>
    </row>
    <row r="73" spans="1:28" hidden="1" x14ac:dyDescent="0.3">
      <c r="A73" s="1">
        <v>44178</v>
      </c>
      <c r="B73" s="2" t="s">
        <v>3</v>
      </c>
      <c r="C73" s="15">
        <v>56828</v>
      </c>
      <c r="D73" s="15">
        <v>5560</v>
      </c>
      <c r="E73" s="15">
        <v>49960</v>
      </c>
      <c r="F73">
        <v>310</v>
      </c>
      <c r="G73">
        <v>55</v>
      </c>
      <c r="H73" s="15">
        <v>991202</v>
      </c>
      <c r="I73" s="15">
        <v>1312</v>
      </c>
      <c r="J73" s="15">
        <v>433155</v>
      </c>
      <c r="K73" s="15">
        <v>371</v>
      </c>
      <c r="L73">
        <v>39</v>
      </c>
      <c r="M73">
        <v>13</v>
      </c>
      <c r="N73">
        <v>3</v>
      </c>
      <c r="O73" s="15">
        <v>8040</v>
      </c>
      <c r="P73" s="15">
        <v>456</v>
      </c>
      <c r="Q73" s="15">
        <v>8496</v>
      </c>
      <c r="R73">
        <v>1.0070639376924471</v>
      </c>
      <c r="S73" s="15">
        <v>326</v>
      </c>
      <c r="T73" t="s">
        <v>377</v>
      </c>
      <c r="U73" s="15" t="str">
        <f>TEXT(EvolucionIncidencia[[#This Row],[Fecha]],"DDDD")</f>
        <v>domingo</v>
      </c>
      <c r="V7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3" s="2" t="str">
        <f>IF(EvolucionIncidencia[[#This Row],[Fecha]]&lt;=MIN(EvolucionIncidencia[Fecha])+14,"",EvolucionIncidencia[[#This Row],[NuevasAltas]]-EvolucionIncidencia[[#This Row],[Previsión Altas]])</f>
        <v/>
      </c>
      <c r="Y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2355</v>
      </c>
      <c r="Z7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3" s="2">
        <f>IF(LEN(EvolucionIncidencia[[#This Row],[Nuevos 7 dias]])=0,"",EvolucionIncidencia[[#This Row],[Nuevos 7 dias]]/_xlfn.MAXIFS(EvolucionIncidencia[Nuevos 7 dias],EvolucionIncidencia[Area_Sanitaria],EvolucionIncidencia[[#This Row],[Area_Sanitaria]]))</f>
        <v>0.20759873060648801</v>
      </c>
      <c r="AB73" s="2" t="str">
        <f>IF(LEN(EvolucionIncidencia[[#This Row],[Nuevos 14 dias]])=0,"",EvolucionIncidencia[[#This Row],[Nuevos 14 dias]]/_xlfn.MAXIFS(EvolucionIncidencia[Nuevos 14 dias],EvolucionIncidencia[Area_Sanitaria],EvolucionIncidencia[[#This Row],[Area_Sanitaria]]))</f>
        <v/>
      </c>
    </row>
    <row r="74" spans="1:28" hidden="1" x14ac:dyDescent="0.3">
      <c r="A74" s="1">
        <v>44179</v>
      </c>
      <c r="B74" s="2" t="s">
        <v>4</v>
      </c>
      <c r="C74" s="15">
        <v>12656</v>
      </c>
      <c r="D74" s="15">
        <v>929</v>
      </c>
      <c r="E74" s="15">
        <v>11431</v>
      </c>
      <c r="F74">
        <v>72</v>
      </c>
      <c r="G74">
        <v>14</v>
      </c>
      <c r="H74" s="15">
        <v>214113</v>
      </c>
      <c r="I74" s="15">
        <v>300</v>
      </c>
      <c r="J74" s="15">
        <v>74593</v>
      </c>
      <c r="K74" s="15">
        <v>21</v>
      </c>
      <c r="L74">
        <v>-26</v>
      </c>
      <c r="M74">
        <v>-3</v>
      </c>
      <c r="N74">
        <v>1</v>
      </c>
      <c r="O74" s="15">
        <v>341</v>
      </c>
      <c r="P74" s="15">
        <v>174</v>
      </c>
      <c r="Q74" s="15">
        <v>515</v>
      </c>
      <c r="R74">
        <v>0.97277486910994759</v>
      </c>
      <c r="S74" s="15">
        <v>45</v>
      </c>
      <c r="T74" t="s">
        <v>378</v>
      </c>
      <c r="U74" s="15" t="str">
        <f>TEXT(EvolucionIncidencia[[#This Row],[Fecha]],"DDDD")</f>
        <v>lunes</v>
      </c>
      <c r="V7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4" s="2" t="str">
        <f>IF(EvolucionIncidencia[[#This Row],[Fecha]]&lt;=MIN(EvolucionIncidencia[Fecha])+14,"",EvolucionIncidencia[[#This Row],[NuevasAltas]]-EvolucionIncidencia[[#This Row],[Previsión Altas]])</f>
        <v/>
      </c>
      <c r="Y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312</v>
      </c>
      <c r="Z7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4" s="2">
        <f>IF(LEN(EvolucionIncidencia[[#This Row],[Nuevos 7 dias]])=0,"",EvolucionIncidencia[[#This Row],[Nuevos 7 dias]]/_xlfn.MAXIFS(EvolucionIncidencia[Nuevos 7 dias],EvolucionIncidencia[Area_Sanitaria],EvolucionIncidencia[[#This Row],[Area_Sanitaria]]))</f>
        <v>0.10473313192346426</v>
      </c>
      <c r="AB74" s="2" t="str">
        <f>IF(LEN(EvolucionIncidencia[[#This Row],[Nuevos 14 dias]])=0,"",EvolucionIncidencia[[#This Row],[Nuevos 14 dias]]/_xlfn.MAXIFS(EvolucionIncidencia[Nuevos 14 dias],EvolucionIncidencia[Area_Sanitaria],EvolucionIncidencia[[#This Row],[Area_Sanitaria]]))</f>
        <v/>
      </c>
    </row>
    <row r="75" spans="1:28" hidden="1" x14ac:dyDescent="0.3">
      <c r="A75" s="1">
        <v>44179</v>
      </c>
      <c r="B75" s="2" t="s">
        <v>5</v>
      </c>
      <c r="C75" s="15">
        <v>3704</v>
      </c>
      <c r="D75" s="15">
        <v>562</v>
      </c>
      <c r="E75" s="15">
        <v>3056</v>
      </c>
      <c r="F75">
        <v>30</v>
      </c>
      <c r="G75">
        <v>5</v>
      </c>
      <c r="H75" s="15">
        <v>69859</v>
      </c>
      <c r="I75" s="15">
        <v>84</v>
      </c>
      <c r="J75" s="15">
        <v>29565</v>
      </c>
      <c r="K75" s="15">
        <v>18</v>
      </c>
      <c r="L75">
        <v>-1</v>
      </c>
      <c r="M75">
        <v>0</v>
      </c>
      <c r="N75">
        <v>1</v>
      </c>
      <c r="O75" s="15">
        <v>849</v>
      </c>
      <c r="P75" s="15">
        <v>52</v>
      </c>
      <c r="Q75" s="15">
        <v>901</v>
      </c>
      <c r="R75">
        <v>0.9982238010657194</v>
      </c>
      <c r="S75" s="15">
        <v>19</v>
      </c>
      <c r="T75" t="s">
        <v>378</v>
      </c>
      <c r="U75" s="15" t="str">
        <f>TEXT(EvolucionIncidencia[[#This Row],[Fecha]],"DDDD")</f>
        <v>lunes</v>
      </c>
      <c r="V7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5" s="2" t="str">
        <f>IF(EvolucionIncidencia[[#This Row],[Fecha]]&lt;=MIN(EvolucionIncidencia[Fecha])+14,"",EvolucionIncidencia[[#This Row],[NuevasAltas]]-EvolucionIncidencia[[#This Row],[Previsión Altas]])</f>
        <v/>
      </c>
      <c r="Y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222</v>
      </c>
      <c r="Z7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5" s="2">
        <f>IF(LEN(EvolucionIncidencia[[#This Row],[Nuevos 7 dias]])=0,"",EvolucionIncidencia[[#This Row],[Nuevos 7 dias]]/_xlfn.MAXIFS(EvolucionIncidencia[Nuevos 7 dias],EvolucionIncidencia[Area_Sanitaria],EvolucionIncidencia[[#This Row],[Area_Sanitaria]]))</f>
        <v>0.26586826347305387</v>
      </c>
      <c r="AB75" s="2" t="str">
        <f>IF(LEN(EvolucionIncidencia[[#This Row],[Nuevos 14 dias]])=0,"",EvolucionIncidencia[[#This Row],[Nuevos 14 dias]]/_xlfn.MAXIFS(EvolucionIncidencia[Nuevos 14 dias],EvolucionIncidencia[Area_Sanitaria],EvolucionIncidencia[[#This Row],[Area_Sanitaria]]))</f>
        <v/>
      </c>
    </row>
    <row r="76" spans="1:28" hidden="1" x14ac:dyDescent="0.3">
      <c r="A76" s="1">
        <v>44179</v>
      </c>
      <c r="B76" s="2" t="s">
        <v>8</v>
      </c>
      <c r="C76" s="15">
        <v>6652</v>
      </c>
      <c r="D76" s="15">
        <v>470</v>
      </c>
      <c r="E76" s="15">
        <v>6041</v>
      </c>
      <c r="F76">
        <v>20</v>
      </c>
      <c r="G76">
        <v>6</v>
      </c>
      <c r="H76" s="15">
        <v>113810</v>
      </c>
      <c r="I76" s="15">
        <v>140</v>
      </c>
      <c r="J76" s="15">
        <v>73279</v>
      </c>
      <c r="K76" s="15">
        <v>13</v>
      </c>
      <c r="L76">
        <v>-16</v>
      </c>
      <c r="M76">
        <v>-1</v>
      </c>
      <c r="N76">
        <v>0</v>
      </c>
      <c r="O76" s="15">
        <v>795</v>
      </c>
      <c r="P76" s="15">
        <v>112</v>
      </c>
      <c r="Q76" s="15">
        <v>907</v>
      </c>
      <c r="R76">
        <v>0.96707818930041156</v>
      </c>
      <c r="S76" s="15">
        <v>28</v>
      </c>
      <c r="T76" t="s">
        <v>378</v>
      </c>
      <c r="U76" s="15" t="str">
        <f>TEXT(EvolucionIncidencia[[#This Row],[Fecha]],"DDDD")</f>
        <v>lunes</v>
      </c>
      <c r="V7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6" s="2" t="str">
        <f>IF(EvolucionIncidencia[[#This Row],[Fecha]]&lt;=MIN(EvolucionIncidencia[Fecha])+14,"",EvolucionIncidencia[[#This Row],[NuevasAltas]]-EvolucionIncidencia[[#This Row],[Previsión Altas]])</f>
        <v/>
      </c>
      <c r="Y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150</v>
      </c>
      <c r="Z7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6" s="2">
        <f>IF(LEN(EvolucionIncidencia[[#This Row],[Nuevos 7 dias]])=0,"",EvolucionIncidencia[[#This Row],[Nuevos 7 dias]]/_xlfn.MAXIFS(EvolucionIncidencia[Nuevos 7 dias],EvolucionIncidencia[Area_Sanitaria],EvolucionIncidencia[[#This Row],[Area_Sanitaria]]))</f>
        <v>0.13562386980108498</v>
      </c>
      <c r="AB76" s="2" t="str">
        <f>IF(LEN(EvolucionIncidencia[[#This Row],[Nuevos 14 dias]])=0,"",EvolucionIncidencia[[#This Row],[Nuevos 14 dias]]/_xlfn.MAXIFS(EvolucionIncidencia[Nuevos 14 dias],EvolucionIncidencia[Area_Sanitaria],EvolucionIncidencia[[#This Row],[Area_Sanitaria]]))</f>
        <v/>
      </c>
    </row>
    <row r="77" spans="1:28" hidden="1" x14ac:dyDescent="0.3">
      <c r="A77" s="1">
        <v>44179</v>
      </c>
      <c r="B77" s="2" t="s">
        <v>9</v>
      </c>
      <c r="C77" s="15">
        <v>7952</v>
      </c>
      <c r="D77" s="15">
        <v>436</v>
      </c>
      <c r="E77" s="15">
        <v>7211</v>
      </c>
      <c r="F77">
        <v>38</v>
      </c>
      <c r="G77">
        <v>1</v>
      </c>
      <c r="H77" s="15">
        <v>124836</v>
      </c>
      <c r="I77" s="15">
        <v>303</v>
      </c>
      <c r="J77" s="15">
        <v>65958</v>
      </c>
      <c r="K77" s="15">
        <v>12</v>
      </c>
      <c r="L77">
        <v>-16</v>
      </c>
      <c r="M77">
        <v>2</v>
      </c>
      <c r="N77">
        <v>0</v>
      </c>
      <c r="O77" s="15">
        <v>1137</v>
      </c>
      <c r="P77" s="15">
        <v>82</v>
      </c>
      <c r="Q77" s="15">
        <v>1219</v>
      </c>
      <c r="R77">
        <v>0.96460176991150437</v>
      </c>
      <c r="S77" s="15">
        <v>27</v>
      </c>
      <c r="T77" t="s">
        <v>378</v>
      </c>
      <c r="U77" s="15" t="str">
        <f>TEXT(EvolucionIncidencia[[#This Row],[Fecha]],"DDDD")</f>
        <v>lunes</v>
      </c>
      <c r="V7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7" s="2" t="str">
        <f>IF(EvolucionIncidencia[[#This Row],[Fecha]]&lt;=MIN(EvolucionIncidencia[Fecha])+14,"",EvolucionIncidencia[[#This Row],[NuevasAltas]]-EvolucionIncidencia[[#This Row],[Previsión Altas]])</f>
        <v/>
      </c>
      <c r="Y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234</v>
      </c>
      <c r="Z7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7" s="2">
        <f>IF(LEN(EvolucionIncidencia[[#This Row],[Nuevos 7 dias]])=0,"",EvolucionIncidencia[[#This Row],[Nuevos 7 dias]]/_xlfn.MAXIFS(EvolucionIncidencia[Nuevos 7 dias],EvolucionIncidencia[Area_Sanitaria],EvolucionIncidencia[[#This Row],[Area_Sanitaria]]))</f>
        <v>0.14913957934990441</v>
      </c>
      <c r="AB77" s="2" t="str">
        <f>IF(LEN(EvolucionIncidencia[[#This Row],[Nuevos 14 dias]])=0,"",EvolucionIncidencia[[#This Row],[Nuevos 14 dias]]/_xlfn.MAXIFS(EvolucionIncidencia[Nuevos 14 dias],EvolucionIncidencia[Area_Sanitaria],EvolucionIncidencia[[#This Row],[Area_Sanitaria]]))</f>
        <v/>
      </c>
    </row>
    <row r="78" spans="1:28" x14ac:dyDescent="0.3">
      <c r="A78" s="1">
        <v>44179</v>
      </c>
      <c r="B78" s="2" t="s">
        <v>6</v>
      </c>
      <c r="C78" s="15">
        <v>6172</v>
      </c>
      <c r="D78" s="15">
        <v>867</v>
      </c>
      <c r="E78" s="15">
        <v>5237</v>
      </c>
      <c r="F78">
        <v>44</v>
      </c>
      <c r="G78">
        <v>8</v>
      </c>
      <c r="H78" s="15">
        <v>102136</v>
      </c>
      <c r="I78" s="15">
        <v>71</v>
      </c>
      <c r="J78" s="15">
        <v>44510</v>
      </c>
      <c r="K78" s="15">
        <v>82</v>
      </c>
      <c r="L78">
        <v>19</v>
      </c>
      <c r="M78">
        <v>2</v>
      </c>
      <c r="N78">
        <v>0</v>
      </c>
      <c r="O78" s="15">
        <v>811</v>
      </c>
      <c r="P78" s="15">
        <v>121</v>
      </c>
      <c r="Q78" s="15">
        <v>932</v>
      </c>
      <c r="R78">
        <v>1.0224056603773586</v>
      </c>
      <c r="S78" s="15">
        <v>63</v>
      </c>
      <c r="T78" t="s">
        <v>378</v>
      </c>
      <c r="U78" s="15" t="str">
        <f>TEXT(EvolucionIncidencia[[#This Row],[Fecha]],"DDDD")</f>
        <v>lunes</v>
      </c>
      <c r="V7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8" s="2" t="str">
        <f>IF(EvolucionIncidencia[[#This Row],[Fecha]]&lt;=MIN(EvolucionIncidencia[Fecha])+14,"",EvolucionIncidencia[[#This Row],[NuevasAltas]]-EvolucionIncidencia[[#This Row],[Previsión Altas]])</f>
        <v/>
      </c>
      <c r="Y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390</v>
      </c>
      <c r="Z7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8" s="2">
        <f>IF(LEN(EvolucionIncidencia[[#This Row],[Nuevos 7 dias]])=0,"",EvolucionIncidencia[[#This Row],[Nuevos 7 dias]]/_xlfn.MAXIFS(EvolucionIncidencia[Nuevos 7 dias],EvolucionIncidencia[Area_Sanitaria],EvolucionIncidencia[[#This Row],[Area_Sanitaria]]))</f>
        <v>0.29657794676806082</v>
      </c>
      <c r="AB78" s="2" t="str">
        <f>IF(LEN(EvolucionIncidencia[[#This Row],[Nuevos 14 dias]])=0,"",EvolucionIncidencia[[#This Row],[Nuevos 14 dias]]/_xlfn.MAXIFS(EvolucionIncidencia[Nuevos 14 dias],EvolucionIncidencia[Area_Sanitaria],EvolucionIncidencia[[#This Row],[Area_Sanitaria]]))</f>
        <v/>
      </c>
    </row>
    <row r="79" spans="1:28" hidden="1" x14ac:dyDescent="0.3">
      <c r="A79" s="1">
        <v>44179</v>
      </c>
      <c r="B79" s="2" t="s">
        <v>7</v>
      </c>
      <c r="C79" s="15">
        <v>8765</v>
      </c>
      <c r="D79" s="15">
        <v>1005</v>
      </c>
      <c r="E79" s="15">
        <v>7587</v>
      </c>
      <c r="F79">
        <v>67</v>
      </c>
      <c r="G79">
        <v>8</v>
      </c>
      <c r="H79" s="15">
        <v>163782</v>
      </c>
      <c r="I79" s="15">
        <v>175</v>
      </c>
      <c r="J79" s="15">
        <v>89305</v>
      </c>
      <c r="K79" s="15">
        <v>78</v>
      </c>
      <c r="L79">
        <v>53</v>
      </c>
      <c r="M79">
        <v>5</v>
      </c>
      <c r="N79">
        <v>-3</v>
      </c>
      <c r="O79" s="15">
        <v>1837</v>
      </c>
      <c r="P79" s="15">
        <v>242</v>
      </c>
      <c r="Q79" s="15">
        <v>2079</v>
      </c>
      <c r="R79">
        <v>1.055672268907563</v>
      </c>
      <c r="S79" s="15">
        <v>24</v>
      </c>
      <c r="T79" t="s">
        <v>378</v>
      </c>
      <c r="U79" s="15" t="str">
        <f>TEXT(EvolucionIncidencia[[#This Row],[Fecha]],"DDDD")</f>
        <v>lunes</v>
      </c>
      <c r="V7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9" s="2" t="str">
        <f>IF(EvolucionIncidencia[[#This Row],[Fecha]]&lt;=MIN(EvolucionIncidencia[Fecha])+14,"",EvolucionIncidencia[[#This Row],[NuevasAltas]]-EvolucionIncidencia[[#This Row],[Previsión Altas]])</f>
        <v/>
      </c>
      <c r="Y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549</v>
      </c>
      <c r="Z7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9" s="2">
        <f>IF(LEN(EvolucionIncidencia[[#This Row],[Nuevos 7 dias]])=0,"",EvolucionIncidencia[[#This Row],[Nuevos 7 dias]]/_xlfn.MAXIFS(EvolucionIncidencia[Nuevos 7 dias],EvolucionIncidencia[Area_Sanitaria],EvolucionIncidencia[[#This Row],[Area_Sanitaria]]))</f>
        <v>0.32332155477031804</v>
      </c>
      <c r="AB79" s="2" t="str">
        <f>IF(LEN(EvolucionIncidencia[[#This Row],[Nuevos 14 dias]])=0,"",EvolucionIncidencia[[#This Row],[Nuevos 14 dias]]/_xlfn.MAXIFS(EvolucionIncidencia[Nuevos 14 dias],EvolucionIncidencia[Area_Sanitaria],EvolucionIncidencia[[#This Row],[Area_Sanitaria]]))</f>
        <v/>
      </c>
    </row>
    <row r="80" spans="1:28" hidden="1" x14ac:dyDescent="0.3">
      <c r="A80" s="1">
        <v>44179</v>
      </c>
      <c r="B80" s="2" t="s">
        <v>2</v>
      </c>
      <c r="C80" s="15">
        <v>11201</v>
      </c>
      <c r="D80" s="15">
        <v>1329</v>
      </c>
      <c r="E80" s="15">
        <v>9627</v>
      </c>
      <c r="F80">
        <v>48</v>
      </c>
      <c r="G80">
        <v>14</v>
      </c>
      <c r="H80" s="15">
        <v>210698</v>
      </c>
      <c r="I80" s="15">
        <v>246</v>
      </c>
      <c r="J80" s="15">
        <v>56818</v>
      </c>
      <c r="K80" s="15">
        <v>50</v>
      </c>
      <c r="L80">
        <v>25</v>
      </c>
      <c r="M80">
        <v>4</v>
      </c>
      <c r="N80">
        <v>2</v>
      </c>
      <c r="O80" s="15">
        <v>2262</v>
      </c>
      <c r="P80" s="15">
        <v>90</v>
      </c>
      <c r="Q80" s="15">
        <v>2352</v>
      </c>
      <c r="R80">
        <v>1.0191717791411044</v>
      </c>
      <c r="S80" s="15">
        <v>24</v>
      </c>
      <c r="T80" t="s">
        <v>378</v>
      </c>
      <c r="U80" s="15" t="str">
        <f>TEXT(EvolucionIncidencia[[#This Row],[Fecha]],"DDDD")</f>
        <v>lunes</v>
      </c>
      <c r="V8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0" s="2" t="str">
        <f>IF(EvolucionIncidencia[[#This Row],[Fecha]]&lt;=MIN(EvolucionIncidencia[Fecha])+14,"",EvolucionIncidencia[[#This Row],[NuevasAltas]]-EvolucionIncidencia[[#This Row],[Previsión Altas]])</f>
        <v/>
      </c>
      <c r="Y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510</v>
      </c>
      <c r="Z8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0" s="2">
        <f>IF(LEN(EvolucionIncidencia[[#This Row],[Nuevos 7 dias]])=0,"",EvolucionIncidencia[[#This Row],[Nuevos 7 dias]]/_xlfn.MAXIFS(EvolucionIncidencia[Nuevos 7 dias],EvolucionIncidencia[Area_Sanitaria],EvolucionIncidencia[[#This Row],[Area_Sanitaria]]))</f>
        <v>0.26302217637957709</v>
      </c>
      <c r="AB80" s="2" t="str">
        <f>IF(LEN(EvolucionIncidencia[[#This Row],[Nuevos 14 dias]])=0,"",EvolucionIncidencia[[#This Row],[Nuevos 14 dias]]/_xlfn.MAXIFS(EvolucionIncidencia[Nuevos 14 dias],EvolucionIncidencia[Area_Sanitaria],EvolucionIncidencia[[#This Row],[Area_Sanitaria]]))</f>
        <v/>
      </c>
    </row>
    <row r="81" spans="1:28" hidden="1" x14ac:dyDescent="0.3">
      <c r="A81" s="1">
        <v>44179</v>
      </c>
      <c r="B81" s="2" t="s">
        <v>3</v>
      </c>
      <c r="C81" s="15">
        <v>57102</v>
      </c>
      <c r="D81" s="15">
        <v>5598</v>
      </c>
      <c r="E81" s="15">
        <v>50190</v>
      </c>
      <c r="F81">
        <v>319</v>
      </c>
      <c r="G81">
        <v>56</v>
      </c>
      <c r="H81" s="15">
        <v>999234</v>
      </c>
      <c r="I81" s="15">
        <v>1319</v>
      </c>
      <c r="J81" s="15">
        <v>434028</v>
      </c>
      <c r="K81" s="15">
        <v>274</v>
      </c>
      <c r="L81">
        <v>38</v>
      </c>
      <c r="M81">
        <v>9</v>
      </c>
      <c r="N81">
        <v>1</v>
      </c>
      <c r="O81" s="15">
        <v>8032</v>
      </c>
      <c r="P81" s="15">
        <v>873</v>
      </c>
      <c r="Q81" s="15">
        <v>8905</v>
      </c>
      <c r="R81">
        <v>1.0068345323741008</v>
      </c>
      <c r="S81" s="15">
        <v>230</v>
      </c>
      <c r="T81" t="s">
        <v>378</v>
      </c>
      <c r="U81" s="15" t="str">
        <f>TEXT(EvolucionIncidencia[[#This Row],[Fecha]],"DDDD")</f>
        <v>lunes</v>
      </c>
      <c r="V8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1" s="2" t="str">
        <f>IF(EvolucionIncidencia[[#This Row],[Fecha]]&lt;=MIN(EvolucionIncidencia[Fecha])+14,"",EvolucionIncidencia[[#This Row],[NuevasAltas]]-EvolucionIncidencia[[#This Row],[Previsión Altas]])</f>
        <v/>
      </c>
      <c r="Y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2367</v>
      </c>
      <c r="Z8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1" s="2">
        <f>IF(LEN(EvolucionIncidencia[[#This Row],[Nuevos 7 dias]])=0,"",EvolucionIncidencia[[#This Row],[Nuevos 7 dias]]/_xlfn.MAXIFS(EvolucionIncidencia[Nuevos 7 dias],EvolucionIncidencia[Area_Sanitaria],EvolucionIncidencia[[#This Row],[Area_Sanitaria]]))</f>
        <v>0.20865655853314527</v>
      </c>
      <c r="AB81" s="2" t="str">
        <f>IF(LEN(EvolucionIncidencia[[#This Row],[Nuevos 14 dias]])=0,"",EvolucionIncidencia[[#This Row],[Nuevos 14 dias]]/_xlfn.MAXIFS(EvolucionIncidencia[Nuevos 14 dias],EvolucionIncidencia[Area_Sanitaria],EvolucionIncidencia[[#This Row],[Area_Sanitaria]]))</f>
        <v/>
      </c>
    </row>
    <row r="82" spans="1:28" hidden="1" x14ac:dyDescent="0.3">
      <c r="A82" s="1">
        <v>44180</v>
      </c>
      <c r="B82" s="2" t="s">
        <v>4</v>
      </c>
      <c r="C82" s="15">
        <v>12701</v>
      </c>
      <c r="D82" s="15">
        <v>907</v>
      </c>
      <c r="E82" s="15">
        <v>11497</v>
      </c>
      <c r="F82">
        <v>63</v>
      </c>
      <c r="G82">
        <v>13</v>
      </c>
      <c r="H82" s="15">
        <v>215114</v>
      </c>
      <c r="I82" s="15">
        <v>301</v>
      </c>
      <c r="J82" s="15">
        <v>74812</v>
      </c>
      <c r="K82" s="15">
        <v>45</v>
      </c>
      <c r="L82">
        <v>-22</v>
      </c>
      <c r="M82">
        <v>-9</v>
      </c>
      <c r="N82">
        <v>-1</v>
      </c>
      <c r="O82" s="15">
        <v>1001</v>
      </c>
      <c r="P82" s="15">
        <v>219</v>
      </c>
      <c r="Q82" s="15">
        <v>1220</v>
      </c>
      <c r="R82">
        <v>0.97631862217438103</v>
      </c>
      <c r="S82" s="15">
        <v>66</v>
      </c>
      <c r="T82" t="s">
        <v>379</v>
      </c>
      <c r="U82" s="15" t="str">
        <f>TEXT(EvolucionIncidencia[[#This Row],[Fecha]],"DDDD")</f>
        <v>martes</v>
      </c>
      <c r="V8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2" s="2" t="str">
        <f>IF(EvolucionIncidencia[[#This Row],[Fecha]]&lt;=MIN(EvolucionIncidencia[Fecha])+14,"",EvolucionIncidencia[[#This Row],[NuevasAltas]]-EvolucionIncidencia[[#This Row],[Previsión Altas]])</f>
        <v/>
      </c>
      <c r="Y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310</v>
      </c>
      <c r="Z8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2" s="2">
        <f>IF(LEN(EvolucionIncidencia[[#This Row],[Nuevos 7 dias]])=0,"",EvolucionIncidencia[[#This Row],[Nuevos 7 dias]]/_xlfn.MAXIFS(EvolucionIncidencia[Nuevos 7 dias],EvolucionIncidencia[Area_Sanitaria],EvolucionIncidencia[[#This Row],[Area_Sanitaria]]))</f>
        <v>0.10406176569318563</v>
      </c>
      <c r="AB82" s="2" t="str">
        <f>IF(LEN(EvolucionIncidencia[[#This Row],[Nuevos 14 dias]])=0,"",EvolucionIncidencia[[#This Row],[Nuevos 14 dias]]/_xlfn.MAXIFS(EvolucionIncidencia[Nuevos 14 dias],EvolucionIncidencia[Area_Sanitaria],EvolucionIncidencia[[#This Row],[Area_Sanitaria]]))</f>
        <v/>
      </c>
    </row>
    <row r="83" spans="1:28" hidden="1" x14ac:dyDescent="0.3">
      <c r="A83" s="1">
        <v>44180</v>
      </c>
      <c r="B83" s="2" t="s">
        <v>5</v>
      </c>
      <c r="C83" s="15">
        <v>3738</v>
      </c>
      <c r="D83" s="15">
        <v>570</v>
      </c>
      <c r="E83" s="15">
        <v>3082</v>
      </c>
      <c r="F83">
        <v>30</v>
      </c>
      <c r="G83">
        <v>4</v>
      </c>
      <c r="H83" s="15">
        <v>70459</v>
      </c>
      <c r="I83" s="15">
        <v>84</v>
      </c>
      <c r="J83" s="15">
        <v>29598</v>
      </c>
      <c r="K83" s="15">
        <v>34</v>
      </c>
      <c r="L83">
        <v>8</v>
      </c>
      <c r="M83">
        <v>0</v>
      </c>
      <c r="N83">
        <v>-1</v>
      </c>
      <c r="O83" s="15">
        <v>600</v>
      </c>
      <c r="P83" s="15">
        <v>33</v>
      </c>
      <c r="Q83" s="15">
        <v>633</v>
      </c>
      <c r="R83">
        <v>1.0142348754448398</v>
      </c>
      <c r="S83" s="15">
        <v>26</v>
      </c>
      <c r="T83" t="s">
        <v>379</v>
      </c>
      <c r="U83" s="15" t="str">
        <f>TEXT(EvolucionIncidencia[[#This Row],[Fecha]],"DDDD")</f>
        <v>martes</v>
      </c>
      <c r="V8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3" s="2" t="str">
        <f>IF(EvolucionIncidencia[[#This Row],[Fecha]]&lt;=MIN(EvolucionIncidencia[Fecha])+14,"",EvolucionIncidencia[[#This Row],[NuevasAltas]]-EvolucionIncidencia[[#This Row],[Previsión Altas]])</f>
        <v/>
      </c>
      <c r="Y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205</v>
      </c>
      <c r="Z8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3" s="2">
        <f>IF(LEN(EvolucionIncidencia[[#This Row],[Nuevos 7 dias]])=0,"",EvolucionIncidencia[[#This Row],[Nuevos 7 dias]]/_xlfn.MAXIFS(EvolucionIncidencia[Nuevos 7 dias],EvolucionIncidencia[Area_Sanitaria],EvolucionIncidencia[[#This Row],[Area_Sanitaria]]))</f>
        <v>0.24550898203592814</v>
      </c>
      <c r="AB83" s="2" t="str">
        <f>IF(LEN(EvolucionIncidencia[[#This Row],[Nuevos 14 dias]])=0,"",EvolucionIncidencia[[#This Row],[Nuevos 14 dias]]/_xlfn.MAXIFS(EvolucionIncidencia[Nuevos 14 dias],EvolucionIncidencia[Area_Sanitaria],EvolucionIncidencia[[#This Row],[Area_Sanitaria]]))</f>
        <v/>
      </c>
    </row>
    <row r="84" spans="1:28" hidden="1" x14ac:dyDescent="0.3">
      <c r="A84" s="1">
        <v>44180</v>
      </c>
      <c r="B84" s="2" t="s">
        <v>8</v>
      </c>
      <c r="C84" s="15">
        <v>6685</v>
      </c>
      <c r="D84" s="15">
        <v>462</v>
      </c>
      <c r="E84" s="15">
        <v>6082</v>
      </c>
      <c r="F84">
        <v>18</v>
      </c>
      <c r="G84">
        <v>6</v>
      </c>
      <c r="H84" s="15">
        <v>114614</v>
      </c>
      <c r="I84" s="15">
        <v>140</v>
      </c>
      <c r="J84" s="15">
        <v>73395</v>
      </c>
      <c r="K84" s="15">
        <v>33</v>
      </c>
      <c r="L84">
        <v>-8</v>
      </c>
      <c r="M84">
        <v>-2</v>
      </c>
      <c r="N84">
        <v>0</v>
      </c>
      <c r="O84" s="15">
        <v>804</v>
      </c>
      <c r="P84" s="15">
        <v>116</v>
      </c>
      <c r="Q84" s="15">
        <v>920</v>
      </c>
      <c r="R84">
        <v>0.98297872340425529</v>
      </c>
      <c r="S84" s="15">
        <v>41</v>
      </c>
      <c r="T84" t="s">
        <v>379</v>
      </c>
      <c r="U84" s="15" t="str">
        <f>TEXT(EvolucionIncidencia[[#This Row],[Fecha]],"DDDD")</f>
        <v>martes</v>
      </c>
      <c r="V8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4" s="2" t="str">
        <f>IF(EvolucionIncidencia[[#This Row],[Fecha]]&lt;=MIN(EvolucionIncidencia[Fecha])+14,"",EvolucionIncidencia[[#This Row],[NuevasAltas]]-EvolucionIncidencia[[#This Row],[Previsión Altas]])</f>
        <v/>
      </c>
      <c r="Y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153</v>
      </c>
      <c r="Z8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4" s="2">
        <f>IF(LEN(EvolucionIncidencia[[#This Row],[Nuevos 7 dias]])=0,"",EvolucionIncidencia[[#This Row],[Nuevos 7 dias]]/_xlfn.MAXIFS(EvolucionIncidencia[Nuevos 7 dias],EvolucionIncidencia[Area_Sanitaria],EvolucionIncidencia[[#This Row],[Area_Sanitaria]]))</f>
        <v>0.13833634719710669</v>
      </c>
      <c r="AB84" s="2" t="str">
        <f>IF(LEN(EvolucionIncidencia[[#This Row],[Nuevos 14 dias]])=0,"",EvolucionIncidencia[[#This Row],[Nuevos 14 dias]]/_xlfn.MAXIFS(EvolucionIncidencia[Nuevos 14 dias],EvolucionIncidencia[Area_Sanitaria],EvolucionIncidencia[[#This Row],[Area_Sanitaria]]))</f>
        <v/>
      </c>
    </row>
    <row r="85" spans="1:28" hidden="1" x14ac:dyDescent="0.3">
      <c r="A85" s="1">
        <v>44180</v>
      </c>
      <c r="B85" s="2" t="s">
        <v>9</v>
      </c>
      <c r="C85" s="15">
        <v>7980</v>
      </c>
      <c r="D85" s="15">
        <v>448</v>
      </c>
      <c r="E85" s="15">
        <v>7227</v>
      </c>
      <c r="F85">
        <v>35</v>
      </c>
      <c r="G85">
        <v>2</v>
      </c>
      <c r="H85" s="15">
        <v>125798</v>
      </c>
      <c r="I85" s="15">
        <v>303</v>
      </c>
      <c r="J85" s="15">
        <v>66077</v>
      </c>
      <c r="K85" s="15">
        <v>28</v>
      </c>
      <c r="L85">
        <v>12</v>
      </c>
      <c r="M85">
        <v>-3</v>
      </c>
      <c r="N85">
        <v>1</v>
      </c>
      <c r="O85" s="15">
        <v>962</v>
      </c>
      <c r="P85" s="15">
        <v>119</v>
      </c>
      <c r="Q85" s="15">
        <v>1081</v>
      </c>
      <c r="R85">
        <v>1.0275229357798166</v>
      </c>
      <c r="S85" s="15">
        <v>16</v>
      </c>
      <c r="T85" t="s">
        <v>379</v>
      </c>
      <c r="U85" s="15" t="str">
        <f>TEXT(EvolucionIncidencia[[#This Row],[Fecha]],"DDDD")</f>
        <v>martes</v>
      </c>
      <c r="V8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5" s="2" t="str">
        <f>IF(EvolucionIncidencia[[#This Row],[Fecha]]&lt;=MIN(EvolucionIncidencia[Fecha])+14,"",EvolucionIncidencia[[#This Row],[NuevasAltas]]-EvolucionIncidencia[[#This Row],[Previsión Altas]])</f>
        <v/>
      </c>
      <c r="Y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228</v>
      </c>
      <c r="Z8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5" s="2">
        <f>IF(LEN(EvolucionIncidencia[[#This Row],[Nuevos 7 dias]])=0,"",EvolucionIncidencia[[#This Row],[Nuevos 7 dias]]/_xlfn.MAXIFS(EvolucionIncidencia[Nuevos 7 dias],EvolucionIncidencia[Area_Sanitaria],EvolucionIncidencia[[#This Row],[Area_Sanitaria]]))</f>
        <v>0.14531548757170173</v>
      </c>
      <c r="AB85" s="2" t="str">
        <f>IF(LEN(EvolucionIncidencia[[#This Row],[Nuevos 14 dias]])=0,"",EvolucionIncidencia[[#This Row],[Nuevos 14 dias]]/_xlfn.MAXIFS(EvolucionIncidencia[Nuevos 14 dias],EvolucionIncidencia[Area_Sanitaria],EvolucionIncidencia[[#This Row],[Area_Sanitaria]]))</f>
        <v/>
      </c>
    </row>
    <row r="86" spans="1:28" x14ac:dyDescent="0.3">
      <c r="A86" s="1">
        <v>44180</v>
      </c>
      <c r="B86" s="2" t="s">
        <v>6</v>
      </c>
      <c r="C86" s="15">
        <v>6217</v>
      </c>
      <c r="D86" s="15">
        <v>869</v>
      </c>
      <c r="E86" s="15">
        <v>5279</v>
      </c>
      <c r="F86">
        <v>44</v>
      </c>
      <c r="G86">
        <v>8</v>
      </c>
      <c r="H86" s="15">
        <v>102889</v>
      </c>
      <c r="I86" s="15">
        <v>72</v>
      </c>
      <c r="J86" s="15">
        <v>44661</v>
      </c>
      <c r="K86" s="15">
        <v>45</v>
      </c>
      <c r="L86">
        <v>2</v>
      </c>
      <c r="M86">
        <v>0</v>
      </c>
      <c r="N86">
        <v>0</v>
      </c>
      <c r="O86" s="15">
        <v>753</v>
      </c>
      <c r="P86" s="15">
        <v>151</v>
      </c>
      <c r="Q86" s="15">
        <v>904</v>
      </c>
      <c r="R86">
        <v>1.0023068050749713</v>
      </c>
      <c r="S86" s="15">
        <v>42</v>
      </c>
      <c r="T86" t="s">
        <v>379</v>
      </c>
      <c r="U86" s="15" t="str">
        <f>TEXT(EvolucionIncidencia[[#This Row],[Fecha]],"DDDD")</f>
        <v>martes</v>
      </c>
      <c r="V8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6" s="2" t="str">
        <f>IF(EvolucionIncidencia[[#This Row],[Fecha]]&lt;=MIN(EvolucionIncidencia[Fecha])+14,"",EvolucionIncidencia[[#This Row],[NuevasAltas]]-EvolucionIncidencia[[#This Row],[Previsión Altas]])</f>
        <v/>
      </c>
      <c r="Y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387</v>
      </c>
      <c r="Z8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6" s="2">
        <f>IF(LEN(EvolucionIncidencia[[#This Row],[Nuevos 7 dias]])=0,"",EvolucionIncidencia[[#This Row],[Nuevos 7 dias]]/_xlfn.MAXIFS(EvolucionIncidencia[Nuevos 7 dias],EvolucionIncidencia[Area_Sanitaria],EvolucionIncidencia[[#This Row],[Area_Sanitaria]]))</f>
        <v>0.29429657794676806</v>
      </c>
      <c r="AB86" s="2" t="str">
        <f>IF(LEN(EvolucionIncidencia[[#This Row],[Nuevos 14 dias]])=0,"",EvolucionIncidencia[[#This Row],[Nuevos 14 dias]]/_xlfn.MAXIFS(EvolucionIncidencia[Nuevos 14 dias],EvolucionIncidencia[Area_Sanitaria],EvolucionIncidencia[[#This Row],[Area_Sanitaria]]))</f>
        <v/>
      </c>
    </row>
    <row r="87" spans="1:28" hidden="1" x14ac:dyDescent="0.3">
      <c r="A87" s="1">
        <v>44180</v>
      </c>
      <c r="B87" s="2" t="s">
        <v>7</v>
      </c>
      <c r="C87" s="15">
        <v>8883</v>
      </c>
      <c r="D87" s="15">
        <v>1054</v>
      </c>
      <c r="E87" s="15">
        <v>7656</v>
      </c>
      <c r="F87">
        <v>64</v>
      </c>
      <c r="G87">
        <v>7</v>
      </c>
      <c r="H87" s="15">
        <v>166335</v>
      </c>
      <c r="I87" s="15">
        <v>175</v>
      </c>
      <c r="J87" s="15">
        <v>89538</v>
      </c>
      <c r="K87" s="15">
        <v>118</v>
      </c>
      <c r="L87">
        <v>49</v>
      </c>
      <c r="M87">
        <v>-3</v>
      </c>
      <c r="N87">
        <v>-1</v>
      </c>
      <c r="O87" s="15">
        <v>2553</v>
      </c>
      <c r="P87" s="15">
        <v>233</v>
      </c>
      <c r="Q87" s="15">
        <v>2786</v>
      </c>
      <c r="R87">
        <v>1.0487562189054727</v>
      </c>
      <c r="S87" s="15">
        <v>69</v>
      </c>
      <c r="T87" t="s">
        <v>379</v>
      </c>
      <c r="U87" s="15" t="str">
        <f>TEXT(EvolucionIncidencia[[#This Row],[Fecha]],"DDDD")</f>
        <v>martes</v>
      </c>
      <c r="V8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7" s="2" t="str">
        <f>IF(EvolucionIncidencia[[#This Row],[Fecha]]&lt;=MIN(EvolucionIncidencia[Fecha])+14,"",EvolucionIncidencia[[#This Row],[NuevasAltas]]-EvolucionIncidencia[[#This Row],[Previsión Altas]])</f>
        <v/>
      </c>
      <c r="Y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614</v>
      </c>
      <c r="Z8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7" s="2">
        <f>IF(LEN(EvolucionIncidencia[[#This Row],[Nuevos 7 dias]])=0,"",EvolucionIncidencia[[#This Row],[Nuevos 7 dias]]/_xlfn.MAXIFS(EvolucionIncidencia[Nuevos 7 dias],EvolucionIncidencia[Area_Sanitaria],EvolucionIncidencia[[#This Row],[Area_Sanitaria]]))</f>
        <v>0.36160188457008247</v>
      </c>
      <c r="AB87" s="2" t="str">
        <f>IF(LEN(EvolucionIncidencia[[#This Row],[Nuevos 14 dias]])=0,"",EvolucionIncidencia[[#This Row],[Nuevos 14 dias]]/_xlfn.MAXIFS(EvolucionIncidencia[Nuevos 14 dias],EvolucionIncidencia[Area_Sanitaria],EvolucionIncidencia[[#This Row],[Area_Sanitaria]]))</f>
        <v/>
      </c>
    </row>
    <row r="88" spans="1:28" hidden="1" x14ac:dyDescent="0.3">
      <c r="A88" s="1">
        <v>44180</v>
      </c>
      <c r="B88" s="2" t="s">
        <v>2</v>
      </c>
      <c r="C88" s="15">
        <v>11322</v>
      </c>
      <c r="D88" s="15">
        <v>1343</v>
      </c>
      <c r="E88" s="15">
        <v>9732</v>
      </c>
      <c r="F88">
        <v>47</v>
      </c>
      <c r="G88">
        <v>13</v>
      </c>
      <c r="H88" s="15">
        <v>213051</v>
      </c>
      <c r="I88" s="15">
        <v>248</v>
      </c>
      <c r="J88" s="15">
        <v>56933</v>
      </c>
      <c r="K88" s="15">
        <v>121</v>
      </c>
      <c r="L88">
        <v>14</v>
      </c>
      <c r="M88">
        <v>-1</v>
      </c>
      <c r="N88">
        <v>-1</v>
      </c>
      <c r="O88" s="15">
        <v>2353</v>
      </c>
      <c r="P88" s="15">
        <v>115</v>
      </c>
      <c r="Q88" s="15">
        <v>2468</v>
      </c>
      <c r="R88">
        <v>1.0105342362678706</v>
      </c>
      <c r="S88" s="15">
        <v>105</v>
      </c>
      <c r="T88" t="s">
        <v>379</v>
      </c>
      <c r="U88" s="15" t="str">
        <f>TEXT(EvolucionIncidencia[[#This Row],[Fecha]],"DDDD")</f>
        <v>martes</v>
      </c>
      <c r="V8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8" s="2" t="str">
        <f>IF(EvolucionIncidencia[[#This Row],[Fecha]]&lt;=MIN(EvolucionIncidencia[Fecha])+14,"",EvolucionIncidencia[[#This Row],[NuevasAltas]]-EvolucionIncidencia[[#This Row],[Previsión Altas]])</f>
        <v/>
      </c>
      <c r="Y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552</v>
      </c>
      <c r="Z8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8" s="2">
        <f>IF(LEN(EvolucionIncidencia[[#This Row],[Nuevos 7 dias]])=0,"",EvolucionIncidencia[[#This Row],[Nuevos 7 dias]]/_xlfn.MAXIFS(EvolucionIncidencia[Nuevos 7 dias],EvolucionIncidencia[Area_Sanitaria],EvolucionIncidencia[[#This Row],[Area_Sanitaria]]))</f>
        <v>0.2846828261990717</v>
      </c>
      <c r="AB88" s="2" t="str">
        <f>IF(LEN(EvolucionIncidencia[[#This Row],[Nuevos 14 dias]])=0,"",EvolucionIncidencia[[#This Row],[Nuevos 14 dias]]/_xlfn.MAXIFS(EvolucionIncidencia[Nuevos 14 dias],EvolucionIncidencia[Area_Sanitaria],EvolucionIncidencia[[#This Row],[Area_Sanitaria]]))</f>
        <v/>
      </c>
    </row>
    <row r="89" spans="1:28" hidden="1" x14ac:dyDescent="0.3">
      <c r="A89" s="1">
        <v>44180</v>
      </c>
      <c r="B89" s="2" t="s">
        <v>3</v>
      </c>
      <c r="C89" s="15">
        <v>57526</v>
      </c>
      <c r="D89" s="15">
        <v>5653</v>
      </c>
      <c r="E89" s="15">
        <v>50555</v>
      </c>
      <c r="F89">
        <v>301</v>
      </c>
      <c r="G89">
        <v>53</v>
      </c>
      <c r="H89" s="15">
        <v>1008260</v>
      </c>
      <c r="I89" s="15">
        <v>1323</v>
      </c>
      <c r="J89" s="15">
        <v>435014</v>
      </c>
      <c r="K89" s="15">
        <v>424</v>
      </c>
      <c r="L89">
        <v>55</v>
      </c>
      <c r="M89">
        <v>-18</v>
      </c>
      <c r="N89">
        <v>-3</v>
      </c>
      <c r="O89" s="15">
        <v>9026</v>
      </c>
      <c r="P89" s="15">
        <v>986</v>
      </c>
      <c r="Q89" s="15">
        <v>10012</v>
      </c>
      <c r="R89">
        <v>1.0098249374776707</v>
      </c>
      <c r="S89" s="15">
        <v>365</v>
      </c>
      <c r="T89" t="s">
        <v>379</v>
      </c>
      <c r="U89" s="15" t="str">
        <f>TEXT(EvolucionIncidencia[[#This Row],[Fecha]],"DDDD")</f>
        <v>martes</v>
      </c>
      <c r="V8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9" s="2" t="str">
        <f>IF(EvolucionIncidencia[[#This Row],[Fecha]]&lt;=MIN(EvolucionIncidencia[Fecha])+14,"",EvolucionIncidencia[[#This Row],[NuevasAltas]]-EvolucionIncidencia[[#This Row],[Previsión Altas]])</f>
        <v/>
      </c>
      <c r="Y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2449</v>
      </c>
      <c r="Z8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9" s="2">
        <f>IF(LEN(EvolucionIncidencia[[#This Row],[Nuevos 7 dias]])=0,"",EvolucionIncidencia[[#This Row],[Nuevos 7 dias]]/_xlfn.MAXIFS(EvolucionIncidencia[Nuevos 7 dias],EvolucionIncidencia[Area_Sanitaria],EvolucionIncidencia[[#This Row],[Area_Sanitaria]]))</f>
        <v>0.21588504936530326</v>
      </c>
      <c r="AB89" s="2" t="str">
        <f>IF(LEN(EvolucionIncidencia[[#This Row],[Nuevos 14 dias]])=0,"",EvolucionIncidencia[[#This Row],[Nuevos 14 dias]]/_xlfn.MAXIFS(EvolucionIncidencia[Nuevos 14 dias],EvolucionIncidencia[Area_Sanitaria],EvolucionIncidencia[[#This Row],[Area_Sanitaria]]))</f>
        <v/>
      </c>
    </row>
    <row r="90" spans="1:28" hidden="1" x14ac:dyDescent="0.3">
      <c r="A90" s="1">
        <v>44181</v>
      </c>
      <c r="B90" s="2" t="s">
        <v>4</v>
      </c>
      <c r="C90" s="15">
        <v>12762</v>
      </c>
      <c r="D90" s="15">
        <v>899</v>
      </c>
      <c r="E90" s="15">
        <v>11564</v>
      </c>
      <c r="F90">
        <v>69</v>
      </c>
      <c r="G90">
        <v>12</v>
      </c>
      <c r="H90" s="15">
        <v>215987</v>
      </c>
      <c r="I90" s="15">
        <v>303</v>
      </c>
      <c r="J90" s="15">
        <v>75008</v>
      </c>
      <c r="K90" s="15">
        <v>61</v>
      </c>
      <c r="L90">
        <v>-8</v>
      </c>
      <c r="M90">
        <v>6</v>
      </c>
      <c r="N90">
        <v>-1</v>
      </c>
      <c r="O90" s="15">
        <v>873</v>
      </c>
      <c r="P90" s="15">
        <v>196</v>
      </c>
      <c r="Q90" s="15">
        <v>1069</v>
      </c>
      <c r="R90">
        <v>0.99117971334068355</v>
      </c>
      <c r="S90" s="15">
        <v>67</v>
      </c>
      <c r="T90" t="s">
        <v>380</v>
      </c>
      <c r="U90" s="15" t="str">
        <f>TEXT(EvolucionIncidencia[[#This Row],[Fecha]],"DDDD")</f>
        <v>miércoles</v>
      </c>
      <c r="V9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0" s="2" t="str">
        <f>IF(EvolucionIncidencia[[#This Row],[Fecha]]&lt;=MIN(EvolucionIncidencia[Fecha])+14,"",EvolucionIncidencia[[#This Row],[NuevasAltas]]-EvolucionIncidencia[[#This Row],[Previsión Altas]])</f>
        <v/>
      </c>
      <c r="Y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328</v>
      </c>
      <c r="Z9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0" s="2">
        <f>IF(LEN(EvolucionIncidencia[[#This Row],[Nuevos 7 dias]])=0,"",EvolucionIncidencia[[#This Row],[Nuevos 7 dias]]/_xlfn.MAXIFS(EvolucionIncidencia[Nuevos 7 dias],EvolucionIncidencia[Area_Sanitaria],EvolucionIncidencia[[#This Row],[Area_Sanitaria]]))</f>
        <v>0.11010406176569319</v>
      </c>
      <c r="AB90" s="2" t="str">
        <f>IF(LEN(EvolucionIncidencia[[#This Row],[Nuevos 14 dias]])=0,"",EvolucionIncidencia[[#This Row],[Nuevos 14 dias]]/_xlfn.MAXIFS(EvolucionIncidencia[Nuevos 14 dias],EvolucionIncidencia[Area_Sanitaria],EvolucionIncidencia[[#This Row],[Area_Sanitaria]]))</f>
        <v/>
      </c>
    </row>
    <row r="91" spans="1:28" hidden="1" x14ac:dyDescent="0.3">
      <c r="A91" s="1">
        <v>44181</v>
      </c>
      <c r="B91" s="2" t="s">
        <v>5</v>
      </c>
      <c r="C91" s="15">
        <v>3754</v>
      </c>
      <c r="D91" s="15">
        <v>555</v>
      </c>
      <c r="E91" s="15">
        <v>3113</v>
      </c>
      <c r="F91">
        <v>28</v>
      </c>
      <c r="G91">
        <v>4</v>
      </c>
      <c r="H91" s="15">
        <v>70950</v>
      </c>
      <c r="I91" s="15">
        <v>84</v>
      </c>
      <c r="J91" s="15">
        <v>29632</v>
      </c>
      <c r="K91" s="15">
        <v>16</v>
      </c>
      <c r="L91">
        <v>-15</v>
      </c>
      <c r="M91">
        <v>-2</v>
      </c>
      <c r="N91">
        <v>0</v>
      </c>
      <c r="O91" s="15">
        <v>491</v>
      </c>
      <c r="P91" s="15">
        <v>34</v>
      </c>
      <c r="Q91" s="15">
        <v>525</v>
      </c>
      <c r="R91">
        <v>0.97368421052631582</v>
      </c>
      <c r="S91" s="15">
        <v>31</v>
      </c>
      <c r="T91" t="s">
        <v>380</v>
      </c>
      <c r="U91" s="15" t="str">
        <f>TEXT(EvolucionIncidencia[[#This Row],[Fecha]],"DDDD")</f>
        <v>miércoles</v>
      </c>
      <c r="V9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1" s="2" t="str">
        <f>IF(EvolucionIncidencia[[#This Row],[Fecha]]&lt;=MIN(EvolucionIncidencia[Fecha])+14,"",EvolucionIncidencia[[#This Row],[NuevasAltas]]-EvolucionIncidencia[[#This Row],[Previsión Altas]])</f>
        <v/>
      </c>
      <c r="Y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197</v>
      </c>
      <c r="Z9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1" s="2">
        <f>IF(LEN(EvolucionIncidencia[[#This Row],[Nuevos 7 dias]])=0,"",EvolucionIncidencia[[#This Row],[Nuevos 7 dias]]/_xlfn.MAXIFS(EvolucionIncidencia[Nuevos 7 dias],EvolucionIncidencia[Area_Sanitaria],EvolucionIncidencia[[#This Row],[Area_Sanitaria]]))</f>
        <v>0.23592814371257484</v>
      </c>
      <c r="AB91" s="2" t="str">
        <f>IF(LEN(EvolucionIncidencia[[#This Row],[Nuevos 14 dias]])=0,"",EvolucionIncidencia[[#This Row],[Nuevos 14 dias]]/_xlfn.MAXIFS(EvolucionIncidencia[Nuevos 14 dias],EvolucionIncidencia[Area_Sanitaria],EvolucionIncidencia[[#This Row],[Area_Sanitaria]]))</f>
        <v/>
      </c>
    </row>
    <row r="92" spans="1:28" hidden="1" x14ac:dyDescent="0.3">
      <c r="A92" s="1">
        <v>44181</v>
      </c>
      <c r="B92" s="2" t="s">
        <v>8</v>
      </c>
      <c r="C92" s="15">
        <v>6708</v>
      </c>
      <c r="D92" s="15">
        <v>433</v>
      </c>
      <c r="E92" s="15">
        <v>6133</v>
      </c>
      <c r="F92">
        <v>18</v>
      </c>
      <c r="G92">
        <v>5</v>
      </c>
      <c r="H92" s="15">
        <v>115604</v>
      </c>
      <c r="I92" s="15">
        <v>141</v>
      </c>
      <c r="J92" s="15">
        <v>73515</v>
      </c>
      <c r="K92" s="15">
        <v>23</v>
      </c>
      <c r="L92">
        <v>-29</v>
      </c>
      <c r="M92">
        <v>0</v>
      </c>
      <c r="N92">
        <v>-1</v>
      </c>
      <c r="O92" s="15">
        <v>990</v>
      </c>
      <c r="P92" s="15">
        <v>120</v>
      </c>
      <c r="Q92" s="15">
        <v>1110</v>
      </c>
      <c r="R92">
        <v>0.93722943722943719</v>
      </c>
      <c r="S92" s="15">
        <v>51</v>
      </c>
      <c r="T92" t="s">
        <v>380</v>
      </c>
      <c r="U92" s="15" t="str">
        <f>TEXT(EvolucionIncidencia[[#This Row],[Fecha]],"DDDD")</f>
        <v>miércoles</v>
      </c>
      <c r="V9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2" s="2" t="str">
        <f>IF(EvolucionIncidencia[[#This Row],[Fecha]]&lt;=MIN(EvolucionIncidencia[Fecha])+14,"",EvolucionIncidencia[[#This Row],[NuevasAltas]]-EvolucionIncidencia[[#This Row],[Previsión Altas]])</f>
        <v/>
      </c>
      <c r="Y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156</v>
      </c>
      <c r="Z9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2" s="2">
        <f>IF(LEN(EvolucionIncidencia[[#This Row],[Nuevos 7 dias]])=0,"",EvolucionIncidencia[[#This Row],[Nuevos 7 dias]]/_xlfn.MAXIFS(EvolucionIncidencia[Nuevos 7 dias],EvolucionIncidencia[Area_Sanitaria],EvolucionIncidencia[[#This Row],[Area_Sanitaria]]))</f>
        <v>0.1410488245931284</v>
      </c>
      <c r="AB92" s="2" t="str">
        <f>IF(LEN(EvolucionIncidencia[[#This Row],[Nuevos 14 dias]])=0,"",EvolucionIncidencia[[#This Row],[Nuevos 14 dias]]/_xlfn.MAXIFS(EvolucionIncidencia[Nuevos 14 dias],EvolucionIncidencia[Area_Sanitaria],EvolucionIncidencia[[#This Row],[Area_Sanitaria]]))</f>
        <v/>
      </c>
    </row>
    <row r="93" spans="1:28" hidden="1" x14ac:dyDescent="0.3">
      <c r="A93" s="1">
        <v>44181</v>
      </c>
      <c r="B93" s="2" t="s">
        <v>9</v>
      </c>
      <c r="C93" s="15">
        <v>8021</v>
      </c>
      <c r="D93" s="15">
        <v>458</v>
      </c>
      <c r="E93" s="15">
        <v>7259</v>
      </c>
      <c r="F93">
        <v>36</v>
      </c>
      <c r="G93">
        <v>1</v>
      </c>
      <c r="H93" s="15">
        <v>126461</v>
      </c>
      <c r="I93" s="15">
        <v>303</v>
      </c>
      <c r="J93" s="15">
        <v>66187</v>
      </c>
      <c r="K93" s="15">
        <v>41</v>
      </c>
      <c r="L93">
        <v>10</v>
      </c>
      <c r="M93">
        <v>1</v>
      </c>
      <c r="N93">
        <v>-1</v>
      </c>
      <c r="O93" s="15">
        <v>663</v>
      </c>
      <c r="P93" s="15">
        <v>110</v>
      </c>
      <c r="Q93" s="15">
        <v>773</v>
      </c>
      <c r="R93">
        <v>1.0223214285714286</v>
      </c>
      <c r="S93" s="15">
        <v>32</v>
      </c>
      <c r="T93" t="s">
        <v>380</v>
      </c>
      <c r="U93" s="15" t="str">
        <f>TEXT(EvolucionIncidencia[[#This Row],[Fecha]],"DDDD")</f>
        <v>miércoles</v>
      </c>
      <c r="V9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3" s="2" t="str">
        <f>IF(EvolucionIncidencia[[#This Row],[Fecha]]&lt;=MIN(EvolucionIncidencia[Fecha])+14,"",EvolucionIncidencia[[#This Row],[NuevasAltas]]-EvolucionIncidencia[[#This Row],[Previsión Altas]])</f>
        <v/>
      </c>
      <c r="Y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238</v>
      </c>
      <c r="Z9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3" s="2">
        <f>IF(LEN(EvolucionIncidencia[[#This Row],[Nuevos 7 dias]])=0,"",EvolucionIncidencia[[#This Row],[Nuevos 7 dias]]/_xlfn.MAXIFS(EvolucionIncidencia[Nuevos 7 dias],EvolucionIncidencia[Area_Sanitaria],EvolucionIncidencia[[#This Row],[Area_Sanitaria]]))</f>
        <v>0.1516889738687062</v>
      </c>
      <c r="AB93" s="2" t="str">
        <f>IF(LEN(EvolucionIncidencia[[#This Row],[Nuevos 14 dias]])=0,"",EvolucionIncidencia[[#This Row],[Nuevos 14 dias]]/_xlfn.MAXIFS(EvolucionIncidencia[Nuevos 14 dias],EvolucionIncidencia[Area_Sanitaria],EvolucionIncidencia[[#This Row],[Area_Sanitaria]]))</f>
        <v/>
      </c>
    </row>
    <row r="94" spans="1:28" x14ac:dyDescent="0.3">
      <c r="A94" s="1">
        <v>44181</v>
      </c>
      <c r="B94" s="2" t="s">
        <v>6</v>
      </c>
      <c r="C94" s="15">
        <v>6278</v>
      </c>
      <c r="D94" s="15">
        <v>865</v>
      </c>
      <c r="E94" s="15">
        <v>5344</v>
      </c>
      <c r="F94">
        <v>44</v>
      </c>
      <c r="G94">
        <v>9</v>
      </c>
      <c r="H94" s="15">
        <v>103782</v>
      </c>
      <c r="I94" s="15">
        <v>72</v>
      </c>
      <c r="J94" s="15">
        <v>44782</v>
      </c>
      <c r="K94" s="15">
        <v>61</v>
      </c>
      <c r="L94">
        <v>-4</v>
      </c>
      <c r="M94">
        <v>0</v>
      </c>
      <c r="N94">
        <v>1</v>
      </c>
      <c r="O94" s="15">
        <v>893</v>
      </c>
      <c r="P94" s="15">
        <v>121</v>
      </c>
      <c r="Q94" s="15">
        <v>1014</v>
      </c>
      <c r="R94">
        <v>0.9953970080552359</v>
      </c>
      <c r="S94" s="15">
        <v>65</v>
      </c>
      <c r="T94" t="s">
        <v>380</v>
      </c>
      <c r="U94" s="15" t="str">
        <f>TEXT(EvolucionIncidencia[[#This Row],[Fecha]],"DDDD")</f>
        <v>miércoles</v>
      </c>
      <c r="V9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4" s="2" t="str">
        <f>IF(EvolucionIncidencia[[#This Row],[Fecha]]&lt;=MIN(EvolucionIncidencia[Fecha])+14,"",EvolucionIncidencia[[#This Row],[NuevasAltas]]-EvolucionIncidencia[[#This Row],[Previsión Altas]])</f>
        <v/>
      </c>
      <c r="Y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409</v>
      </c>
      <c r="Z9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4" s="2">
        <f>IF(LEN(EvolucionIncidencia[[#This Row],[Nuevos 7 dias]])=0,"",EvolucionIncidencia[[#This Row],[Nuevos 7 dias]]/_xlfn.MAXIFS(EvolucionIncidencia[Nuevos 7 dias],EvolucionIncidencia[Area_Sanitaria],EvolucionIncidencia[[#This Row],[Area_Sanitaria]]))</f>
        <v>0.31102661596958175</v>
      </c>
      <c r="AB94" s="2" t="str">
        <f>IF(LEN(EvolucionIncidencia[[#This Row],[Nuevos 14 dias]])=0,"",EvolucionIncidencia[[#This Row],[Nuevos 14 dias]]/_xlfn.MAXIFS(EvolucionIncidencia[Nuevos 14 dias],EvolucionIncidencia[Area_Sanitaria],EvolucionIncidencia[[#This Row],[Area_Sanitaria]]))</f>
        <v/>
      </c>
    </row>
    <row r="95" spans="1:28" hidden="1" x14ac:dyDescent="0.3">
      <c r="A95" s="1">
        <v>44181</v>
      </c>
      <c r="B95" s="2" t="s">
        <v>7</v>
      </c>
      <c r="C95" s="15">
        <v>8993</v>
      </c>
      <c r="D95" s="15">
        <v>1100</v>
      </c>
      <c r="E95" s="15">
        <v>7719</v>
      </c>
      <c r="F95">
        <v>62</v>
      </c>
      <c r="G95">
        <v>6</v>
      </c>
      <c r="H95" s="15">
        <v>168336</v>
      </c>
      <c r="I95" s="15">
        <v>175</v>
      </c>
      <c r="J95" s="15">
        <v>89774</v>
      </c>
      <c r="K95" s="15">
        <v>110</v>
      </c>
      <c r="L95">
        <v>46</v>
      </c>
      <c r="M95">
        <v>-2</v>
      </c>
      <c r="N95">
        <v>-1</v>
      </c>
      <c r="O95" s="15">
        <v>2001</v>
      </c>
      <c r="P95" s="15">
        <v>236</v>
      </c>
      <c r="Q95" s="15">
        <v>2237</v>
      </c>
      <c r="R95">
        <v>1.0436432637571158</v>
      </c>
      <c r="S95" s="15">
        <v>63</v>
      </c>
      <c r="T95" t="s">
        <v>380</v>
      </c>
      <c r="U95" s="15" t="str">
        <f>TEXT(EvolucionIncidencia[[#This Row],[Fecha]],"DDDD")</f>
        <v>miércoles</v>
      </c>
      <c r="V9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5" s="2" t="str">
        <f>IF(EvolucionIncidencia[[#This Row],[Fecha]]&lt;=MIN(EvolucionIncidencia[Fecha])+14,"",EvolucionIncidencia[[#This Row],[NuevasAltas]]-EvolucionIncidencia[[#This Row],[Previsión Altas]])</f>
        <v/>
      </c>
      <c r="Y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647</v>
      </c>
      <c r="Z9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5" s="2">
        <f>IF(LEN(EvolucionIncidencia[[#This Row],[Nuevos 7 dias]])=0,"",EvolucionIncidencia[[#This Row],[Nuevos 7 dias]]/_xlfn.MAXIFS(EvolucionIncidencia[Nuevos 7 dias],EvolucionIncidencia[Area_Sanitaria],EvolucionIncidencia[[#This Row],[Area_Sanitaria]]))</f>
        <v>0.38103651354534745</v>
      </c>
      <c r="AB95" s="2" t="str">
        <f>IF(LEN(EvolucionIncidencia[[#This Row],[Nuevos 14 dias]])=0,"",EvolucionIncidencia[[#This Row],[Nuevos 14 dias]]/_xlfn.MAXIFS(EvolucionIncidencia[Nuevos 14 dias],EvolucionIncidencia[Area_Sanitaria],EvolucionIncidencia[[#This Row],[Area_Sanitaria]]))</f>
        <v/>
      </c>
    </row>
    <row r="96" spans="1:28" hidden="1" x14ac:dyDescent="0.3">
      <c r="A96" s="1">
        <v>44181</v>
      </c>
      <c r="B96" s="2" t="s">
        <v>2</v>
      </c>
      <c r="C96" s="15">
        <v>11417</v>
      </c>
      <c r="D96" s="15">
        <v>1308</v>
      </c>
      <c r="E96" s="15">
        <v>9861</v>
      </c>
      <c r="F96">
        <v>45</v>
      </c>
      <c r="G96">
        <v>13</v>
      </c>
      <c r="H96" s="15">
        <v>215719</v>
      </c>
      <c r="I96" s="15">
        <v>249</v>
      </c>
      <c r="J96" s="15">
        <v>57026</v>
      </c>
      <c r="K96" s="15">
        <v>95</v>
      </c>
      <c r="L96">
        <v>-35</v>
      </c>
      <c r="M96">
        <v>-2</v>
      </c>
      <c r="N96">
        <v>0</v>
      </c>
      <c r="O96" s="15">
        <v>2668</v>
      </c>
      <c r="P96" s="15">
        <v>93</v>
      </c>
      <c r="Q96" s="15">
        <v>2761</v>
      </c>
      <c r="R96">
        <v>0.97393894266567382</v>
      </c>
      <c r="S96" s="15">
        <v>129</v>
      </c>
      <c r="T96" t="s">
        <v>380</v>
      </c>
      <c r="U96" s="15" t="str">
        <f>TEXT(EvolucionIncidencia[[#This Row],[Fecha]],"DDDD")</f>
        <v>miércoles</v>
      </c>
      <c r="V9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6" s="2" t="str">
        <f>IF(EvolucionIncidencia[[#This Row],[Fecha]]&lt;=MIN(EvolucionIncidencia[Fecha])+14,"",EvolucionIncidencia[[#This Row],[NuevasAltas]]-EvolucionIncidencia[[#This Row],[Previsión Altas]])</f>
        <v/>
      </c>
      <c r="Y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595</v>
      </c>
      <c r="Z9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6" s="2">
        <f>IF(LEN(EvolucionIncidencia[[#This Row],[Nuevos 7 dias]])=0,"",EvolucionIncidencia[[#This Row],[Nuevos 7 dias]]/_xlfn.MAXIFS(EvolucionIncidencia[Nuevos 7 dias],EvolucionIncidencia[Area_Sanitaria],EvolucionIncidencia[[#This Row],[Area_Sanitaria]]))</f>
        <v>0.30685920577617326</v>
      </c>
      <c r="AB96" s="2" t="str">
        <f>IF(LEN(EvolucionIncidencia[[#This Row],[Nuevos 14 dias]])=0,"",EvolucionIncidencia[[#This Row],[Nuevos 14 dias]]/_xlfn.MAXIFS(EvolucionIncidencia[Nuevos 14 dias],EvolucionIncidencia[Area_Sanitaria],EvolucionIncidencia[[#This Row],[Area_Sanitaria]]))</f>
        <v/>
      </c>
    </row>
    <row r="97" spans="1:28" hidden="1" x14ac:dyDescent="0.3">
      <c r="A97" s="1">
        <v>44181</v>
      </c>
      <c r="B97" s="2" t="s">
        <v>3</v>
      </c>
      <c r="C97" s="15">
        <v>57933</v>
      </c>
      <c r="D97" s="15">
        <v>5618</v>
      </c>
      <c r="E97" s="15">
        <v>50993</v>
      </c>
      <c r="F97">
        <v>302</v>
      </c>
      <c r="G97">
        <v>50</v>
      </c>
      <c r="H97" s="15">
        <v>1016839</v>
      </c>
      <c r="I97" s="15">
        <v>1327</v>
      </c>
      <c r="J97" s="15">
        <v>435924</v>
      </c>
      <c r="K97" s="15">
        <v>407</v>
      </c>
      <c r="L97">
        <v>-35</v>
      </c>
      <c r="M97">
        <v>1</v>
      </c>
      <c r="N97">
        <v>-3</v>
      </c>
      <c r="O97" s="15">
        <v>8579</v>
      </c>
      <c r="P97" s="15">
        <v>910</v>
      </c>
      <c r="Q97" s="15">
        <v>9489</v>
      </c>
      <c r="R97">
        <v>0.9938085972050239</v>
      </c>
      <c r="S97" s="15">
        <v>438</v>
      </c>
      <c r="T97" t="s">
        <v>380</v>
      </c>
      <c r="U97" s="15" t="str">
        <f>TEXT(EvolucionIncidencia[[#This Row],[Fecha]],"DDDD")</f>
        <v>miércoles</v>
      </c>
      <c r="V9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7" s="2" t="str">
        <f>IF(EvolucionIncidencia[[#This Row],[Fecha]]&lt;=MIN(EvolucionIncidencia[Fecha])+14,"",EvolucionIncidencia[[#This Row],[NuevasAltas]]-EvolucionIncidencia[[#This Row],[Previsión Altas]])</f>
        <v/>
      </c>
      <c r="Y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2570</v>
      </c>
      <c r="Z9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7" s="2">
        <f>IF(LEN(EvolucionIncidencia[[#This Row],[Nuevos 7 dias]])=0,"",EvolucionIncidencia[[#This Row],[Nuevos 7 dias]]/_xlfn.MAXIFS(EvolucionIncidencia[Nuevos 7 dias],EvolucionIncidencia[Area_Sanitaria],EvolucionIncidencia[[#This Row],[Area_Sanitaria]]))</f>
        <v>0.22655148095909733</v>
      </c>
      <c r="AB97" s="2" t="str">
        <f>IF(LEN(EvolucionIncidencia[[#This Row],[Nuevos 14 dias]])=0,"",EvolucionIncidencia[[#This Row],[Nuevos 14 dias]]/_xlfn.MAXIFS(EvolucionIncidencia[Nuevos 14 dias],EvolucionIncidencia[Area_Sanitaria],EvolucionIncidencia[[#This Row],[Area_Sanitaria]]))</f>
        <v/>
      </c>
    </row>
    <row r="98" spans="1:28" hidden="1" x14ac:dyDescent="0.3">
      <c r="A98" s="1">
        <v>44182</v>
      </c>
      <c r="B98" s="2" t="s">
        <v>4</v>
      </c>
      <c r="C98" s="15">
        <v>12806</v>
      </c>
      <c r="D98" s="15">
        <v>861</v>
      </c>
      <c r="E98" s="15">
        <v>11644</v>
      </c>
      <c r="F98">
        <v>64</v>
      </c>
      <c r="G98">
        <v>14</v>
      </c>
      <c r="H98" s="15">
        <v>216767</v>
      </c>
      <c r="I98" s="15">
        <v>305</v>
      </c>
      <c r="J98" s="15">
        <v>75203</v>
      </c>
      <c r="K98" s="15">
        <v>44</v>
      </c>
      <c r="L98">
        <v>-38</v>
      </c>
      <c r="M98">
        <v>-5</v>
      </c>
      <c r="N98">
        <v>2</v>
      </c>
      <c r="O98" s="15">
        <v>780</v>
      </c>
      <c r="P98" s="15">
        <v>195</v>
      </c>
      <c r="Q98" s="15">
        <v>975</v>
      </c>
      <c r="R98">
        <v>0.9577308120133482</v>
      </c>
      <c r="S98" s="15">
        <v>80</v>
      </c>
      <c r="T98" t="s">
        <v>381</v>
      </c>
      <c r="U98" s="15" t="str">
        <f>TEXT(EvolucionIncidencia[[#This Row],[Fecha]],"DDDD")</f>
        <v>jueves</v>
      </c>
      <c r="V9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8" s="2" t="str">
        <f>IF(EvolucionIncidencia[[#This Row],[Fecha]]&lt;=MIN(EvolucionIncidencia[Fecha])+14,"",EvolucionIncidencia[[#This Row],[NuevasAltas]]-EvolucionIncidencia[[#This Row],[Previsión Altas]])</f>
        <v/>
      </c>
      <c r="Y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329</v>
      </c>
      <c r="Z9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8" s="2">
        <f>IF(LEN(EvolucionIncidencia[[#This Row],[Nuevos 7 dias]])=0,"",EvolucionIncidencia[[#This Row],[Nuevos 7 dias]]/_xlfn.MAXIFS(EvolucionIncidencia[Nuevos 7 dias],EvolucionIncidencia[Area_Sanitaria],EvolucionIncidencia[[#This Row],[Area_Sanitaria]]))</f>
        <v>0.1104397448808325</v>
      </c>
      <c r="AB98" s="2" t="str">
        <f>IF(LEN(EvolucionIncidencia[[#This Row],[Nuevos 14 dias]])=0,"",EvolucionIncidencia[[#This Row],[Nuevos 14 dias]]/_xlfn.MAXIFS(EvolucionIncidencia[Nuevos 14 dias],EvolucionIncidencia[Area_Sanitaria],EvolucionIncidencia[[#This Row],[Area_Sanitaria]]))</f>
        <v/>
      </c>
    </row>
    <row r="99" spans="1:28" hidden="1" x14ac:dyDescent="0.3">
      <c r="A99" s="1">
        <v>44182</v>
      </c>
      <c r="B99" s="2" t="s">
        <v>5</v>
      </c>
      <c r="C99" s="15">
        <v>3783</v>
      </c>
      <c r="D99" s="15">
        <v>556</v>
      </c>
      <c r="E99" s="15">
        <v>3141</v>
      </c>
      <c r="F99">
        <v>30</v>
      </c>
      <c r="G99">
        <v>5</v>
      </c>
      <c r="H99" s="15">
        <v>71398</v>
      </c>
      <c r="I99" s="15">
        <v>84</v>
      </c>
      <c r="J99" s="15">
        <v>29675</v>
      </c>
      <c r="K99" s="15">
        <v>29</v>
      </c>
      <c r="L99">
        <v>1</v>
      </c>
      <c r="M99">
        <v>2</v>
      </c>
      <c r="N99">
        <v>1</v>
      </c>
      <c r="O99" s="15">
        <v>448</v>
      </c>
      <c r="P99" s="15">
        <v>43</v>
      </c>
      <c r="Q99" s="15">
        <v>491</v>
      </c>
      <c r="R99">
        <v>1.0018018018018018</v>
      </c>
      <c r="S99" s="15">
        <v>28</v>
      </c>
      <c r="T99" t="s">
        <v>381</v>
      </c>
      <c r="U99" s="15" t="str">
        <f>TEXT(EvolucionIncidencia[[#This Row],[Fecha]],"DDDD")</f>
        <v>jueves</v>
      </c>
      <c r="V9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9" s="2" t="str">
        <f>IF(EvolucionIncidencia[[#This Row],[Fecha]]&lt;=MIN(EvolucionIncidencia[Fecha])+14,"",EvolucionIncidencia[[#This Row],[NuevasAltas]]-EvolucionIncidencia[[#This Row],[Previsión Altas]])</f>
        <v/>
      </c>
      <c r="Y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203</v>
      </c>
      <c r="Z9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9" s="2">
        <f>IF(LEN(EvolucionIncidencia[[#This Row],[Nuevos 7 dias]])=0,"",EvolucionIncidencia[[#This Row],[Nuevos 7 dias]]/_xlfn.MAXIFS(EvolucionIncidencia[Nuevos 7 dias],EvolucionIncidencia[Area_Sanitaria],EvolucionIncidencia[[#This Row],[Area_Sanitaria]]))</f>
        <v>0.24311377245508983</v>
      </c>
      <c r="AB99" s="2" t="str">
        <f>IF(LEN(EvolucionIncidencia[[#This Row],[Nuevos 14 dias]])=0,"",EvolucionIncidencia[[#This Row],[Nuevos 14 dias]]/_xlfn.MAXIFS(EvolucionIncidencia[Nuevos 14 dias],EvolucionIncidencia[Area_Sanitaria],EvolucionIncidencia[[#This Row],[Area_Sanitaria]]))</f>
        <v/>
      </c>
    </row>
    <row r="100" spans="1:28" hidden="1" x14ac:dyDescent="0.3">
      <c r="A100" s="1">
        <v>44182</v>
      </c>
      <c r="B100" s="2" t="s">
        <v>8</v>
      </c>
      <c r="C100" s="15">
        <v>6721</v>
      </c>
      <c r="D100" s="15">
        <v>401</v>
      </c>
      <c r="E100" s="15">
        <v>6177</v>
      </c>
      <c r="F100">
        <v>17</v>
      </c>
      <c r="G100">
        <v>6</v>
      </c>
      <c r="H100" s="15">
        <v>116220</v>
      </c>
      <c r="I100" s="15">
        <v>141</v>
      </c>
      <c r="J100" s="15">
        <v>73640</v>
      </c>
      <c r="K100" s="15">
        <v>13</v>
      </c>
      <c r="L100">
        <v>-32</v>
      </c>
      <c r="M100">
        <v>-1</v>
      </c>
      <c r="N100">
        <v>1</v>
      </c>
      <c r="O100" s="15">
        <v>616</v>
      </c>
      <c r="P100" s="15">
        <v>125</v>
      </c>
      <c r="Q100" s="15">
        <v>741</v>
      </c>
      <c r="R100">
        <v>0.92609699769053122</v>
      </c>
      <c r="S100" s="15">
        <v>44</v>
      </c>
      <c r="T100" t="s">
        <v>381</v>
      </c>
      <c r="U100" s="15" t="str">
        <f>TEXT(EvolucionIncidencia[[#This Row],[Fecha]],"DDDD")</f>
        <v>jueves</v>
      </c>
      <c r="V10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0" s="2" t="str">
        <f>IF(EvolucionIncidencia[[#This Row],[Fecha]]&lt;=MIN(EvolucionIncidencia[Fecha])+14,"",EvolucionIncidencia[[#This Row],[NuevasAltas]]-EvolucionIncidencia[[#This Row],[Previsión Altas]])</f>
        <v/>
      </c>
      <c r="Y1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144</v>
      </c>
      <c r="Z10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0" s="2">
        <f>IF(LEN(EvolucionIncidencia[[#This Row],[Nuevos 7 dias]])=0,"",EvolucionIncidencia[[#This Row],[Nuevos 7 dias]]/_xlfn.MAXIFS(EvolucionIncidencia[Nuevos 7 dias],EvolucionIncidencia[Area_Sanitaria],EvolucionIncidencia[[#This Row],[Area_Sanitaria]]))</f>
        <v>0.1301989150090416</v>
      </c>
      <c r="AB100" s="2" t="str">
        <f>IF(LEN(EvolucionIncidencia[[#This Row],[Nuevos 14 dias]])=0,"",EvolucionIncidencia[[#This Row],[Nuevos 14 dias]]/_xlfn.MAXIFS(EvolucionIncidencia[Nuevos 14 dias],EvolucionIncidencia[Area_Sanitaria],EvolucionIncidencia[[#This Row],[Area_Sanitaria]]))</f>
        <v/>
      </c>
    </row>
    <row r="101" spans="1:28" hidden="1" x14ac:dyDescent="0.3">
      <c r="A101" s="1">
        <v>44182</v>
      </c>
      <c r="B101" s="2" t="s">
        <v>9</v>
      </c>
      <c r="C101" s="15">
        <v>8072</v>
      </c>
      <c r="D101" s="15">
        <v>480</v>
      </c>
      <c r="E101" s="15">
        <v>7287</v>
      </c>
      <c r="F101">
        <v>36</v>
      </c>
      <c r="G101">
        <v>2</v>
      </c>
      <c r="H101" s="15">
        <v>127095</v>
      </c>
      <c r="I101" s="15">
        <v>304</v>
      </c>
      <c r="J101" s="15">
        <v>66330</v>
      </c>
      <c r="K101" s="15">
        <v>51</v>
      </c>
      <c r="L101">
        <v>22</v>
      </c>
      <c r="M101">
        <v>0</v>
      </c>
      <c r="N101">
        <v>1</v>
      </c>
      <c r="O101" s="15">
        <v>634</v>
      </c>
      <c r="P101" s="15">
        <v>143</v>
      </c>
      <c r="Q101" s="15">
        <v>777</v>
      </c>
      <c r="R101">
        <v>1.0480349344978166</v>
      </c>
      <c r="S101" s="15">
        <v>28</v>
      </c>
      <c r="T101" t="s">
        <v>381</v>
      </c>
      <c r="U101" s="15" t="str">
        <f>TEXT(EvolucionIncidencia[[#This Row],[Fecha]],"DDDD")</f>
        <v>jueves</v>
      </c>
      <c r="V10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1" s="2" t="str">
        <f>IF(EvolucionIncidencia[[#This Row],[Fecha]]&lt;=MIN(EvolucionIncidencia[Fecha])+14,"",EvolucionIncidencia[[#This Row],[NuevasAltas]]-EvolucionIncidencia[[#This Row],[Previsión Altas]])</f>
        <v/>
      </c>
      <c r="Y1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252</v>
      </c>
      <c r="Z10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1" s="2">
        <f>IF(LEN(EvolucionIncidencia[[#This Row],[Nuevos 7 dias]])=0,"",EvolucionIncidencia[[#This Row],[Nuevos 7 dias]]/_xlfn.MAXIFS(EvolucionIncidencia[Nuevos 7 dias],EvolucionIncidencia[Area_Sanitaria],EvolucionIncidencia[[#This Row],[Area_Sanitaria]]))</f>
        <v>0.16061185468451242</v>
      </c>
      <c r="AB101" s="2" t="str">
        <f>IF(LEN(EvolucionIncidencia[[#This Row],[Nuevos 14 dias]])=0,"",EvolucionIncidencia[[#This Row],[Nuevos 14 dias]]/_xlfn.MAXIFS(EvolucionIncidencia[Nuevos 14 dias],EvolucionIncidencia[Area_Sanitaria],EvolucionIncidencia[[#This Row],[Area_Sanitaria]]))</f>
        <v/>
      </c>
    </row>
    <row r="102" spans="1:28" x14ac:dyDescent="0.3">
      <c r="A102" s="1">
        <v>44182</v>
      </c>
      <c r="B102" s="2" t="s">
        <v>6</v>
      </c>
      <c r="C102" s="15">
        <v>6350</v>
      </c>
      <c r="D102" s="15">
        <v>897</v>
      </c>
      <c r="E102" s="15">
        <v>5384</v>
      </c>
      <c r="F102">
        <v>46</v>
      </c>
      <c r="G102">
        <v>9</v>
      </c>
      <c r="H102" s="15">
        <v>104598</v>
      </c>
      <c r="I102" s="15">
        <v>72</v>
      </c>
      <c r="J102" s="15">
        <v>44951</v>
      </c>
      <c r="K102" s="15">
        <v>72</v>
      </c>
      <c r="L102">
        <v>32</v>
      </c>
      <c r="M102">
        <v>2</v>
      </c>
      <c r="N102">
        <v>0</v>
      </c>
      <c r="O102" s="15">
        <v>816</v>
      </c>
      <c r="P102" s="15">
        <v>169</v>
      </c>
      <c r="Q102" s="15">
        <v>985</v>
      </c>
      <c r="R102">
        <v>1.0369942196531792</v>
      </c>
      <c r="S102" s="15">
        <v>40</v>
      </c>
      <c r="T102" t="s">
        <v>381</v>
      </c>
      <c r="U102" s="15" t="str">
        <f>TEXT(EvolucionIncidencia[[#This Row],[Fecha]],"DDDD")</f>
        <v>jueves</v>
      </c>
      <c r="V10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2" s="2" t="str">
        <f>IF(EvolucionIncidencia[[#This Row],[Fecha]]&lt;=MIN(EvolucionIncidencia[Fecha])+14,"",EvolucionIncidencia[[#This Row],[NuevasAltas]]-EvolucionIncidencia[[#This Row],[Previsión Altas]])</f>
        <v/>
      </c>
      <c r="Y1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444</v>
      </c>
      <c r="Z10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2" s="2">
        <f>IF(LEN(EvolucionIncidencia[[#This Row],[Nuevos 7 dias]])=0,"",EvolucionIncidencia[[#This Row],[Nuevos 7 dias]]/_xlfn.MAXIFS(EvolucionIncidencia[Nuevos 7 dias],EvolucionIncidencia[Area_Sanitaria],EvolucionIncidencia[[#This Row],[Area_Sanitaria]]))</f>
        <v>0.33764258555133081</v>
      </c>
      <c r="AB102" s="2" t="str">
        <f>IF(LEN(EvolucionIncidencia[[#This Row],[Nuevos 14 dias]])=0,"",EvolucionIncidencia[[#This Row],[Nuevos 14 dias]]/_xlfn.MAXIFS(EvolucionIncidencia[Nuevos 14 dias],EvolucionIncidencia[Area_Sanitaria],EvolucionIncidencia[[#This Row],[Area_Sanitaria]]))</f>
        <v/>
      </c>
    </row>
    <row r="103" spans="1:28" hidden="1" x14ac:dyDescent="0.3">
      <c r="A103" s="1">
        <v>44182</v>
      </c>
      <c r="B103" s="2" t="s">
        <v>7</v>
      </c>
      <c r="C103" s="15">
        <v>9097</v>
      </c>
      <c r="D103" s="15">
        <v>1144</v>
      </c>
      <c r="E103" s="15">
        <v>7779</v>
      </c>
      <c r="F103">
        <v>63</v>
      </c>
      <c r="G103">
        <v>6</v>
      </c>
      <c r="H103" s="15">
        <v>169789</v>
      </c>
      <c r="I103" s="15">
        <v>176</v>
      </c>
      <c r="J103" s="15">
        <v>90000</v>
      </c>
      <c r="K103" s="15">
        <v>104</v>
      </c>
      <c r="L103">
        <v>44</v>
      </c>
      <c r="M103">
        <v>1</v>
      </c>
      <c r="N103">
        <v>0</v>
      </c>
      <c r="O103" s="15">
        <v>1453</v>
      </c>
      <c r="P103" s="15">
        <v>226</v>
      </c>
      <c r="Q103" s="15">
        <v>1679</v>
      </c>
      <c r="R103">
        <v>1.04</v>
      </c>
      <c r="S103" s="15">
        <v>60</v>
      </c>
      <c r="T103" t="s">
        <v>381</v>
      </c>
      <c r="U103" s="15" t="str">
        <f>TEXT(EvolucionIncidencia[[#This Row],[Fecha]],"DDDD")</f>
        <v>jueves</v>
      </c>
      <c r="V10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3" s="2" t="str">
        <f>IF(EvolucionIncidencia[[#This Row],[Fecha]]&lt;=MIN(EvolucionIncidencia[Fecha])+14,"",EvolucionIncidencia[[#This Row],[NuevasAltas]]-EvolucionIncidencia[[#This Row],[Previsión Altas]])</f>
        <v/>
      </c>
      <c r="Y1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685</v>
      </c>
      <c r="Z10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3" s="2">
        <f>IF(LEN(EvolucionIncidencia[[#This Row],[Nuevos 7 dias]])=0,"",EvolucionIncidencia[[#This Row],[Nuevos 7 dias]]/_xlfn.MAXIFS(EvolucionIncidencia[Nuevos 7 dias],EvolucionIncidencia[Area_Sanitaria],EvolucionIncidencia[[#This Row],[Area_Sanitaria]]))</f>
        <v>0.4034157832744405</v>
      </c>
      <c r="AB103" s="2" t="str">
        <f>IF(LEN(EvolucionIncidencia[[#This Row],[Nuevos 14 dias]])=0,"",EvolucionIncidencia[[#This Row],[Nuevos 14 dias]]/_xlfn.MAXIFS(EvolucionIncidencia[Nuevos 14 dias],EvolucionIncidencia[Area_Sanitaria],EvolucionIncidencia[[#This Row],[Area_Sanitaria]]))</f>
        <v/>
      </c>
    </row>
    <row r="104" spans="1:28" hidden="1" x14ac:dyDescent="0.3">
      <c r="A104" s="1">
        <v>44182</v>
      </c>
      <c r="B104" s="2" t="s">
        <v>2</v>
      </c>
      <c r="C104" s="15">
        <v>11512</v>
      </c>
      <c r="D104" s="15">
        <v>1302</v>
      </c>
      <c r="E104" s="15">
        <v>9961</v>
      </c>
      <c r="F104">
        <v>53</v>
      </c>
      <c r="G104">
        <v>13</v>
      </c>
      <c r="H104" s="15">
        <v>217358</v>
      </c>
      <c r="I104" s="15">
        <v>250</v>
      </c>
      <c r="J104" s="15">
        <v>57120</v>
      </c>
      <c r="K104" s="15">
        <v>95</v>
      </c>
      <c r="L104">
        <v>-6</v>
      </c>
      <c r="M104">
        <v>8</v>
      </c>
      <c r="N104">
        <v>0</v>
      </c>
      <c r="O104" s="15">
        <v>1639</v>
      </c>
      <c r="P104" s="15">
        <v>94</v>
      </c>
      <c r="Q104" s="15">
        <v>1733</v>
      </c>
      <c r="R104">
        <v>0.99541284403669728</v>
      </c>
      <c r="S104" s="15">
        <v>100</v>
      </c>
      <c r="T104" t="s">
        <v>381</v>
      </c>
      <c r="U104" s="15" t="str">
        <f>TEXT(EvolucionIncidencia[[#This Row],[Fecha]],"DDDD")</f>
        <v>jueves</v>
      </c>
      <c r="V10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4" s="2" t="str">
        <f>IF(EvolucionIncidencia[[#This Row],[Fecha]]&lt;=MIN(EvolucionIncidencia[Fecha])+14,"",EvolucionIncidencia[[#This Row],[NuevasAltas]]-EvolucionIncidencia[[#This Row],[Previsión Altas]])</f>
        <v/>
      </c>
      <c r="Y1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563</v>
      </c>
      <c r="Z10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4" s="2">
        <f>IF(LEN(EvolucionIncidencia[[#This Row],[Nuevos 7 dias]])=0,"",EvolucionIncidencia[[#This Row],[Nuevos 7 dias]]/_xlfn.MAXIFS(EvolucionIncidencia[Nuevos 7 dias],EvolucionIncidencia[Area_Sanitaria],EvolucionIncidencia[[#This Row],[Area_Sanitaria]]))</f>
        <v>0.29035585353274884</v>
      </c>
      <c r="AB104" s="2" t="str">
        <f>IF(LEN(EvolucionIncidencia[[#This Row],[Nuevos 14 dias]])=0,"",EvolucionIncidencia[[#This Row],[Nuevos 14 dias]]/_xlfn.MAXIFS(EvolucionIncidencia[Nuevos 14 dias],EvolucionIncidencia[Area_Sanitaria],EvolucionIncidencia[[#This Row],[Area_Sanitaria]]))</f>
        <v/>
      </c>
    </row>
    <row r="105" spans="1:28" hidden="1" x14ac:dyDescent="0.3">
      <c r="A105" s="1">
        <v>44182</v>
      </c>
      <c r="B105" s="2" t="s">
        <v>3</v>
      </c>
      <c r="C105" s="15">
        <v>58341</v>
      </c>
      <c r="D105" s="15">
        <v>5641</v>
      </c>
      <c r="E105" s="15">
        <v>51373</v>
      </c>
      <c r="F105">
        <v>309</v>
      </c>
      <c r="G105">
        <v>55</v>
      </c>
      <c r="H105" s="15">
        <v>1023225</v>
      </c>
      <c r="I105" s="15">
        <v>1332</v>
      </c>
      <c r="J105" s="15">
        <v>436919</v>
      </c>
      <c r="K105" s="15">
        <v>408</v>
      </c>
      <c r="L105">
        <v>23</v>
      </c>
      <c r="M105">
        <v>7</v>
      </c>
      <c r="N105">
        <v>5</v>
      </c>
      <c r="O105" s="15">
        <v>6386</v>
      </c>
      <c r="P105" s="15">
        <v>995</v>
      </c>
      <c r="Q105" s="15">
        <v>7381</v>
      </c>
      <c r="R105">
        <v>1.0040939836240654</v>
      </c>
      <c r="S105" s="15">
        <v>380</v>
      </c>
      <c r="T105" t="s">
        <v>381</v>
      </c>
      <c r="U105" s="15" t="str">
        <f>TEXT(EvolucionIncidencia[[#This Row],[Fecha]],"DDDD")</f>
        <v>jueves</v>
      </c>
      <c r="V10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5" s="2" t="str">
        <f>IF(EvolucionIncidencia[[#This Row],[Fecha]]&lt;=MIN(EvolucionIncidencia[Fecha])+14,"",EvolucionIncidencia[[#This Row],[NuevasAltas]]-EvolucionIncidencia[[#This Row],[Previsión Altas]])</f>
        <v/>
      </c>
      <c r="Y1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2620</v>
      </c>
      <c r="Z10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5" s="2">
        <f>IF(LEN(EvolucionIncidencia[[#This Row],[Nuevos 7 dias]])=0,"",EvolucionIncidencia[[#This Row],[Nuevos 7 dias]]/_xlfn.MAXIFS(EvolucionIncidencia[Nuevos 7 dias],EvolucionIncidencia[Area_Sanitaria],EvolucionIncidencia[[#This Row],[Area_Sanitaria]]))</f>
        <v>0.23095909732016925</v>
      </c>
      <c r="AB105" s="2" t="str">
        <f>IF(LEN(EvolucionIncidencia[[#This Row],[Nuevos 14 dias]])=0,"",EvolucionIncidencia[[#This Row],[Nuevos 14 dias]]/_xlfn.MAXIFS(EvolucionIncidencia[Nuevos 14 dias],EvolucionIncidencia[Area_Sanitaria],EvolucionIncidencia[[#This Row],[Area_Sanitaria]]))</f>
        <v/>
      </c>
    </row>
    <row r="106" spans="1:28" hidden="1" x14ac:dyDescent="0.3">
      <c r="A106" s="1">
        <v>44183</v>
      </c>
      <c r="B106" s="2" t="s">
        <v>4</v>
      </c>
      <c r="C106" s="15">
        <v>12883</v>
      </c>
      <c r="D106" s="15">
        <v>870</v>
      </c>
      <c r="E106" s="15">
        <v>11712</v>
      </c>
      <c r="F106">
        <v>58</v>
      </c>
      <c r="G106">
        <v>14</v>
      </c>
      <c r="H106" s="15">
        <v>218024</v>
      </c>
      <c r="I106" s="15">
        <v>305</v>
      </c>
      <c r="J106" s="15">
        <v>75419</v>
      </c>
      <c r="K106" s="15">
        <v>77</v>
      </c>
      <c r="L106">
        <v>9</v>
      </c>
      <c r="M106">
        <v>-6</v>
      </c>
      <c r="N106">
        <v>0</v>
      </c>
      <c r="O106" s="15">
        <v>1257</v>
      </c>
      <c r="P106" s="15">
        <v>216</v>
      </c>
      <c r="Q106" s="15">
        <v>1473</v>
      </c>
      <c r="R106">
        <v>1.0104529616724738</v>
      </c>
      <c r="S106" s="15">
        <v>68</v>
      </c>
      <c r="T106" t="s">
        <v>382</v>
      </c>
      <c r="U106" s="15" t="str">
        <f>TEXT(EvolucionIncidencia[[#This Row],[Fecha]],"DDDD")</f>
        <v>viernes</v>
      </c>
      <c r="V10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6" s="2" t="str">
        <f>IF(EvolucionIncidencia[[#This Row],[Fecha]]&lt;=MIN(EvolucionIncidencia[Fecha])+14,"",EvolucionIncidencia[[#This Row],[NuevasAltas]]-EvolucionIncidencia[[#This Row],[Previsión Altas]])</f>
        <v/>
      </c>
      <c r="Y1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355</v>
      </c>
      <c r="Z1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669</v>
      </c>
      <c r="AA106" s="2">
        <f>IF(LEN(EvolucionIncidencia[[#This Row],[Nuevos 7 dias]])=0,"",EvolucionIncidencia[[#This Row],[Nuevos 7 dias]]/_xlfn.MAXIFS(EvolucionIncidencia[Nuevos 7 dias],EvolucionIncidencia[Area_Sanitaria],EvolucionIncidencia[[#This Row],[Area_Sanitaria]]))</f>
        <v>0.11916750587445452</v>
      </c>
      <c r="AB106" s="2">
        <f>IF(LEN(EvolucionIncidencia[[#This Row],[Nuevos 14 dias]])=0,"",EvolucionIncidencia[[#This Row],[Nuevos 14 dias]]/_xlfn.MAXIFS(EvolucionIncidencia[Nuevos 14 dias],EvolucionIncidencia[Area_Sanitaria],EvolucionIncidencia[[#This Row],[Area_Sanitaria]]))</f>
        <v>0.1230457973146956</v>
      </c>
    </row>
    <row r="107" spans="1:28" hidden="1" x14ac:dyDescent="0.3">
      <c r="A107" s="1">
        <v>44183</v>
      </c>
      <c r="B107" s="2" t="s">
        <v>5</v>
      </c>
      <c r="C107" s="15">
        <v>3793</v>
      </c>
      <c r="D107" s="15">
        <v>534</v>
      </c>
      <c r="E107" s="15">
        <v>3173</v>
      </c>
      <c r="F107">
        <v>31</v>
      </c>
      <c r="G107">
        <v>6</v>
      </c>
      <c r="H107" s="15">
        <v>71661</v>
      </c>
      <c r="I107" s="15">
        <v>84</v>
      </c>
      <c r="J107" s="15">
        <v>29755</v>
      </c>
      <c r="K107" s="15">
        <v>10</v>
      </c>
      <c r="L107">
        <v>-22</v>
      </c>
      <c r="M107">
        <v>1</v>
      </c>
      <c r="N107">
        <v>1</v>
      </c>
      <c r="O107" s="15">
        <v>263</v>
      </c>
      <c r="P107" s="15">
        <v>80</v>
      </c>
      <c r="Q107" s="15">
        <v>343</v>
      </c>
      <c r="R107">
        <v>0.96043165467625902</v>
      </c>
      <c r="S107" s="15">
        <v>32</v>
      </c>
      <c r="T107" t="s">
        <v>382</v>
      </c>
      <c r="U107" s="15" t="str">
        <f>TEXT(EvolucionIncidencia[[#This Row],[Fecha]],"DDDD")</f>
        <v>viernes</v>
      </c>
      <c r="V10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7" s="2" t="str">
        <f>IF(EvolucionIncidencia[[#This Row],[Fecha]]&lt;=MIN(EvolucionIncidencia[Fecha])+14,"",EvolucionIncidencia[[#This Row],[NuevasAltas]]-EvolucionIncidencia[[#This Row],[Previsión Altas]])</f>
        <v/>
      </c>
      <c r="Y1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182</v>
      </c>
      <c r="Z1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386</v>
      </c>
      <c r="AA107" s="2">
        <f>IF(LEN(EvolucionIncidencia[[#This Row],[Nuevos 7 dias]])=0,"",EvolucionIncidencia[[#This Row],[Nuevos 7 dias]]/_xlfn.MAXIFS(EvolucionIncidencia[Nuevos 7 dias],EvolucionIncidencia[Area_Sanitaria],EvolucionIncidencia[[#This Row],[Area_Sanitaria]]))</f>
        <v>0.21796407185628741</v>
      </c>
      <c r="AB107" s="2">
        <f>IF(LEN(EvolucionIncidencia[[#This Row],[Nuevos 14 dias]])=0,"",EvolucionIncidencia[[#This Row],[Nuevos 14 dias]]/_xlfn.MAXIFS(EvolucionIncidencia[Nuevos 14 dias],EvolucionIncidencia[Area_Sanitaria],EvolucionIncidencia[[#This Row],[Area_Sanitaria]]))</f>
        <v>0.23550945698596706</v>
      </c>
    </row>
    <row r="108" spans="1:28" hidden="1" x14ac:dyDescent="0.3">
      <c r="A108" s="1">
        <v>44183</v>
      </c>
      <c r="B108" s="2" t="s">
        <v>8</v>
      </c>
      <c r="C108" s="15">
        <v>6752</v>
      </c>
      <c r="D108" s="15">
        <v>404</v>
      </c>
      <c r="E108" s="15">
        <v>6205</v>
      </c>
      <c r="F108">
        <v>12</v>
      </c>
      <c r="G108">
        <v>7</v>
      </c>
      <c r="H108" s="15">
        <v>116998</v>
      </c>
      <c r="I108" s="15">
        <v>141</v>
      </c>
      <c r="J108" s="15">
        <v>73772</v>
      </c>
      <c r="K108" s="15">
        <v>31</v>
      </c>
      <c r="L108">
        <v>3</v>
      </c>
      <c r="M108">
        <v>-5</v>
      </c>
      <c r="N108">
        <v>1</v>
      </c>
      <c r="O108" s="15">
        <v>778</v>
      </c>
      <c r="P108" s="15">
        <v>132</v>
      </c>
      <c r="Q108" s="15">
        <v>910</v>
      </c>
      <c r="R108">
        <v>1.0074812967581048</v>
      </c>
      <c r="S108" s="15">
        <v>28</v>
      </c>
      <c r="T108" t="s">
        <v>382</v>
      </c>
      <c r="U108" s="15" t="str">
        <f>TEXT(EvolucionIncidencia[[#This Row],[Fecha]],"DDDD")</f>
        <v>viernes</v>
      </c>
      <c r="V10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8" s="2" t="str">
        <f>IF(EvolucionIncidencia[[#This Row],[Fecha]]&lt;=MIN(EvolucionIncidencia[Fecha])+14,"",EvolucionIncidencia[[#This Row],[NuevasAltas]]-EvolucionIncidencia[[#This Row],[Previsión Altas]])</f>
        <v/>
      </c>
      <c r="Y1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156</v>
      </c>
      <c r="Z1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328</v>
      </c>
      <c r="AA108" s="2">
        <f>IF(LEN(EvolucionIncidencia[[#This Row],[Nuevos 7 dias]])=0,"",EvolucionIncidencia[[#This Row],[Nuevos 7 dias]]/_xlfn.MAXIFS(EvolucionIncidencia[Nuevos 7 dias],EvolucionIncidencia[Area_Sanitaria],EvolucionIncidencia[[#This Row],[Area_Sanitaria]]))</f>
        <v>0.1410488245931284</v>
      </c>
      <c r="AB108" s="2">
        <f>IF(LEN(EvolucionIncidencia[[#This Row],[Nuevos 14 dias]])=0,"",EvolucionIncidencia[[#This Row],[Nuevos 14 dias]]/_xlfn.MAXIFS(EvolucionIncidencia[Nuevos 14 dias],EvolucionIncidencia[Area_Sanitaria],EvolucionIncidencia[[#This Row],[Area_Sanitaria]]))</f>
        <v>0.16565656565656567</v>
      </c>
    </row>
    <row r="109" spans="1:28" hidden="1" x14ac:dyDescent="0.3">
      <c r="A109" s="1">
        <v>44183</v>
      </c>
      <c r="B109" s="2" t="s">
        <v>9</v>
      </c>
      <c r="C109" s="15">
        <v>8095</v>
      </c>
      <c r="D109" s="15">
        <v>478</v>
      </c>
      <c r="E109" s="15">
        <v>7310</v>
      </c>
      <c r="F109">
        <v>32</v>
      </c>
      <c r="G109">
        <v>3</v>
      </c>
      <c r="H109" s="15">
        <v>127827</v>
      </c>
      <c r="I109" s="15">
        <v>306</v>
      </c>
      <c r="J109" s="15">
        <v>66445</v>
      </c>
      <c r="K109" s="15">
        <v>23</v>
      </c>
      <c r="L109">
        <v>-2</v>
      </c>
      <c r="M109">
        <v>-4</v>
      </c>
      <c r="N109">
        <v>1</v>
      </c>
      <c r="O109" s="15">
        <v>732</v>
      </c>
      <c r="P109" s="15">
        <v>115</v>
      </c>
      <c r="Q109" s="15">
        <v>847</v>
      </c>
      <c r="R109">
        <v>0.99583333333333335</v>
      </c>
      <c r="S109" s="15">
        <v>23</v>
      </c>
      <c r="T109" t="s">
        <v>382</v>
      </c>
      <c r="U109" s="15" t="str">
        <f>TEXT(EvolucionIncidencia[[#This Row],[Fecha]],"DDDD")</f>
        <v>viernes</v>
      </c>
      <c r="V10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9" s="2" t="str">
        <f>IF(EvolucionIncidencia[[#This Row],[Fecha]]&lt;=MIN(EvolucionIncidencia[Fecha])+14,"",EvolucionIncidencia[[#This Row],[NuevasAltas]]-EvolucionIncidencia[[#This Row],[Previsión Altas]])</f>
        <v/>
      </c>
      <c r="Y1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244</v>
      </c>
      <c r="Z1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444</v>
      </c>
      <c r="AA109" s="2">
        <f>IF(LEN(EvolucionIncidencia[[#This Row],[Nuevos 7 dias]])=0,"",EvolucionIncidencia[[#This Row],[Nuevos 7 dias]]/_xlfn.MAXIFS(EvolucionIncidencia[Nuevos 7 dias],EvolucionIncidencia[Area_Sanitaria],EvolucionIncidencia[[#This Row],[Area_Sanitaria]]))</f>
        <v>0.15551306564690887</v>
      </c>
      <c r="AB109" s="2">
        <f>IF(LEN(EvolucionIncidencia[[#This Row],[Nuevos 14 dias]])=0,"",EvolucionIncidencia[[#This Row],[Nuevos 14 dias]]/_xlfn.MAXIFS(EvolucionIncidencia[Nuevos 14 dias],EvolucionIncidencia[Area_Sanitaria],EvolucionIncidencia[[#This Row],[Area_Sanitaria]]))</f>
        <v>0.15683504062168846</v>
      </c>
    </row>
    <row r="110" spans="1:28" x14ac:dyDescent="0.3">
      <c r="A110" s="1">
        <v>44183</v>
      </c>
      <c r="B110" s="2" t="s">
        <v>6</v>
      </c>
      <c r="C110" s="15">
        <v>6414</v>
      </c>
      <c r="D110" s="15">
        <v>925</v>
      </c>
      <c r="E110" s="15">
        <v>5419</v>
      </c>
      <c r="F110">
        <v>37</v>
      </c>
      <c r="G110">
        <v>8</v>
      </c>
      <c r="H110" s="15">
        <v>105534</v>
      </c>
      <c r="I110" s="15">
        <v>73</v>
      </c>
      <c r="J110" s="15">
        <v>45080</v>
      </c>
      <c r="K110" s="15">
        <v>64</v>
      </c>
      <c r="L110">
        <v>28</v>
      </c>
      <c r="M110">
        <v>-9</v>
      </c>
      <c r="N110">
        <v>-1</v>
      </c>
      <c r="O110" s="15">
        <v>936</v>
      </c>
      <c r="P110" s="15">
        <v>129</v>
      </c>
      <c r="Q110" s="15">
        <v>1065</v>
      </c>
      <c r="R110">
        <v>1.0312151616499443</v>
      </c>
      <c r="S110" s="15">
        <v>35</v>
      </c>
      <c r="T110" t="s">
        <v>382</v>
      </c>
      <c r="U110" s="15" t="str">
        <f>TEXT(EvolucionIncidencia[[#This Row],[Fecha]],"DDDD")</f>
        <v>viernes</v>
      </c>
      <c r="V11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0" s="2" t="str">
        <f>IF(EvolucionIncidencia[[#This Row],[Fecha]]&lt;=MIN(EvolucionIncidencia[Fecha])+14,"",EvolucionIncidencia[[#This Row],[NuevasAltas]]-EvolucionIncidencia[[#This Row],[Previsión Altas]])</f>
        <v/>
      </c>
      <c r="Y1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444</v>
      </c>
      <c r="Z1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746</v>
      </c>
      <c r="AA110" s="2">
        <f>IF(LEN(EvolucionIncidencia[[#This Row],[Nuevos 7 dias]])=0,"",EvolucionIncidencia[[#This Row],[Nuevos 7 dias]]/_xlfn.MAXIFS(EvolucionIncidencia[Nuevos 7 dias],EvolucionIncidencia[Area_Sanitaria],EvolucionIncidencia[[#This Row],[Area_Sanitaria]]))</f>
        <v>0.33764258555133081</v>
      </c>
      <c r="AB110" s="2">
        <f>IF(LEN(EvolucionIncidencia[[#This Row],[Nuevos 14 dias]])=0,"",EvolucionIncidencia[[#This Row],[Nuevos 14 dias]]/_xlfn.MAXIFS(EvolucionIncidencia[Nuevos 14 dias],EvolucionIncidencia[Area_Sanitaria],EvolucionIncidencia[[#This Row],[Area_Sanitaria]]))</f>
        <v>0.30686960098724803</v>
      </c>
    </row>
    <row r="111" spans="1:28" hidden="1" x14ac:dyDescent="0.3">
      <c r="A111" s="1">
        <v>44183</v>
      </c>
      <c r="B111" s="2" t="s">
        <v>7</v>
      </c>
      <c r="C111" s="15">
        <v>9198</v>
      </c>
      <c r="D111" s="15">
        <v>1195</v>
      </c>
      <c r="E111" s="15">
        <v>7829</v>
      </c>
      <c r="F111">
        <v>66</v>
      </c>
      <c r="G111">
        <v>6</v>
      </c>
      <c r="H111" s="15">
        <v>171809</v>
      </c>
      <c r="I111" s="15">
        <v>176</v>
      </c>
      <c r="J111" s="15">
        <v>90232</v>
      </c>
      <c r="K111" s="15">
        <v>101</v>
      </c>
      <c r="L111">
        <v>51</v>
      </c>
      <c r="M111">
        <v>3</v>
      </c>
      <c r="N111">
        <v>0</v>
      </c>
      <c r="O111" s="15">
        <v>2020</v>
      </c>
      <c r="P111" s="15">
        <v>232</v>
      </c>
      <c r="Q111" s="15">
        <v>2252</v>
      </c>
      <c r="R111">
        <v>1.0445804195804196</v>
      </c>
      <c r="S111" s="15">
        <v>50</v>
      </c>
      <c r="T111" t="s">
        <v>382</v>
      </c>
      <c r="U111" s="15" t="str">
        <f>TEXT(EvolucionIncidencia[[#This Row],[Fecha]],"DDDD")</f>
        <v>viernes</v>
      </c>
      <c r="V11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1" s="2" t="str">
        <f>IF(EvolucionIncidencia[[#This Row],[Fecha]]&lt;=MIN(EvolucionIncidencia[Fecha])+14,"",EvolucionIncidencia[[#This Row],[NuevasAltas]]-EvolucionIncidencia[[#This Row],[Previsión Altas]])</f>
        <v/>
      </c>
      <c r="Y1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695</v>
      </c>
      <c r="Z1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1146</v>
      </c>
      <c r="AA111" s="2">
        <f>IF(LEN(EvolucionIncidencia[[#This Row],[Nuevos 7 dias]])=0,"",EvolucionIncidencia[[#This Row],[Nuevos 7 dias]]/_xlfn.MAXIFS(EvolucionIncidencia[Nuevos 7 dias],EvolucionIncidencia[Area_Sanitaria],EvolucionIncidencia[[#This Row],[Area_Sanitaria]]))</f>
        <v>0.40930506478209661</v>
      </c>
      <c r="AB111" s="2">
        <f>IF(LEN(EvolucionIncidencia[[#This Row],[Nuevos 14 dias]])=0,"",EvolucionIncidencia[[#This Row],[Nuevos 14 dias]]/_xlfn.MAXIFS(EvolucionIncidencia[Nuevos 14 dias],EvolucionIncidencia[Area_Sanitaria],EvolucionIncidencia[[#This Row],[Area_Sanitaria]]))</f>
        <v>0.36015084852294155</v>
      </c>
    </row>
    <row r="112" spans="1:28" hidden="1" x14ac:dyDescent="0.3">
      <c r="A112" s="1">
        <v>44183</v>
      </c>
      <c r="B112" s="2" t="s">
        <v>2</v>
      </c>
      <c r="C112" s="15">
        <v>11595</v>
      </c>
      <c r="D112" s="15">
        <v>1247</v>
      </c>
      <c r="E112" s="15">
        <v>10098</v>
      </c>
      <c r="F112">
        <v>45</v>
      </c>
      <c r="G112">
        <v>12</v>
      </c>
      <c r="H112" s="15">
        <v>219144</v>
      </c>
      <c r="I112" s="15">
        <v>251</v>
      </c>
      <c r="J112" s="15">
        <v>57230</v>
      </c>
      <c r="K112" s="15">
        <v>83</v>
      </c>
      <c r="L112">
        <v>-55</v>
      </c>
      <c r="M112">
        <v>-8</v>
      </c>
      <c r="N112">
        <v>-1</v>
      </c>
      <c r="O112" s="15">
        <v>1786</v>
      </c>
      <c r="P112" s="15">
        <v>110</v>
      </c>
      <c r="Q112" s="15">
        <v>1896</v>
      </c>
      <c r="R112">
        <v>0.95775729646697394</v>
      </c>
      <c r="S112" s="15">
        <v>137</v>
      </c>
      <c r="T112" t="s">
        <v>382</v>
      </c>
      <c r="U112" s="15" t="str">
        <f>TEXT(EvolucionIncidencia[[#This Row],[Fecha]],"DDDD")</f>
        <v>viernes</v>
      </c>
      <c r="V11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2" s="2" t="str">
        <f>IF(EvolucionIncidencia[[#This Row],[Fecha]]&lt;=MIN(EvolucionIncidencia[Fecha])+14,"",EvolucionIncidencia[[#This Row],[NuevasAltas]]-EvolucionIncidencia[[#This Row],[Previsión Altas]])</f>
        <v/>
      </c>
      <c r="Y1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593</v>
      </c>
      <c r="Z1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1108</v>
      </c>
      <c r="AA112" s="2">
        <f>IF(LEN(EvolucionIncidencia[[#This Row],[Nuevos 7 dias]])=0,"",EvolucionIncidencia[[#This Row],[Nuevos 7 dias]]/_xlfn.MAXIFS(EvolucionIncidencia[Nuevos 7 dias],EvolucionIncidencia[Area_Sanitaria],EvolucionIncidencia[[#This Row],[Area_Sanitaria]]))</f>
        <v>0.30582774626095927</v>
      </c>
      <c r="AB112" s="2">
        <f>IF(LEN(EvolucionIncidencia[[#This Row],[Nuevos 14 dias]])=0,"",EvolucionIncidencia[[#This Row],[Nuevos 14 dias]]/_xlfn.MAXIFS(EvolucionIncidencia[Nuevos 14 dias],EvolucionIncidencia[Area_Sanitaria],EvolucionIncidencia[[#This Row],[Area_Sanitaria]]))</f>
        <v>0.30498210845031654</v>
      </c>
    </row>
    <row r="113" spans="1:28" hidden="1" x14ac:dyDescent="0.3">
      <c r="A113" s="1">
        <v>44183</v>
      </c>
      <c r="B113" s="2" t="s">
        <v>3</v>
      </c>
      <c r="C113" s="15">
        <v>58730</v>
      </c>
      <c r="D113" s="15">
        <v>5653</v>
      </c>
      <c r="E113" s="15">
        <v>51746</v>
      </c>
      <c r="F113">
        <v>281</v>
      </c>
      <c r="G113">
        <v>56</v>
      </c>
      <c r="H113" s="15">
        <v>1030997</v>
      </c>
      <c r="I113" s="15">
        <v>1336</v>
      </c>
      <c r="J113" s="15">
        <v>437933</v>
      </c>
      <c r="K113" s="15">
        <v>389</v>
      </c>
      <c r="L113">
        <v>12</v>
      </c>
      <c r="M113">
        <v>-28</v>
      </c>
      <c r="N113">
        <v>1</v>
      </c>
      <c r="O113" s="15">
        <v>7772</v>
      </c>
      <c r="P113" s="15">
        <v>1014</v>
      </c>
      <c r="Q113" s="15">
        <v>8786</v>
      </c>
      <c r="R113">
        <v>1.0021272823967382</v>
      </c>
      <c r="S113" s="15">
        <v>373</v>
      </c>
      <c r="T113" t="s">
        <v>382</v>
      </c>
      <c r="U113" s="15" t="str">
        <f>TEXT(EvolucionIncidencia[[#This Row],[Fecha]],"DDDD")</f>
        <v>viernes</v>
      </c>
      <c r="V11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3" s="2" t="str">
        <f>IF(EvolucionIncidencia[[#This Row],[Fecha]]&lt;=MIN(EvolucionIncidencia[Fecha])+14,"",EvolucionIncidencia[[#This Row],[NuevasAltas]]-EvolucionIncidencia[[#This Row],[Previsión Altas]])</f>
        <v/>
      </c>
      <c r="Y1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2669</v>
      </c>
      <c r="Z1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4827</v>
      </c>
      <c r="AA113" s="2">
        <f>IF(LEN(EvolucionIncidencia[[#This Row],[Nuevos 7 dias]])=0,"",EvolucionIncidencia[[#This Row],[Nuevos 7 dias]]/_xlfn.MAXIFS(EvolucionIncidencia[Nuevos 7 dias],EvolucionIncidencia[Area_Sanitaria],EvolucionIncidencia[[#This Row],[Area_Sanitaria]]))</f>
        <v>0.23527856135401976</v>
      </c>
      <c r="AB113" s="2">
        <f>IF(LEN(EvolucionIncidencia[[#This Row],[Nuevos 14 dias]])=0,"",EvolucionIncidencia[[#This Row],[Nuevos 14 dias]]/_xlfn.MAXIFS(EvolucionIncidencia[Nuevos 14 dias],EvolucionIncidencia[Area_Sanitaria],EvolucionIncidencia[[#This Row],[Area_Sanitaria]]))</f>
        <v>0.23142199635631414</v>
      </c>
    </row>
    <row r="114" spans="1:28" hidden="1" x14ac:dyDescent="0.3">
      <c r="A114" s="1">
        <v>44184</v>
      </c>
      <c r="B114" s="2" t="s">
        <v>4</v>
      </c>
      <c r="C114" s="15">
        <v>12950</v>
      </c>
      <c r="D114" s="15">
        <v>887</v>
      </c>
      <c r="E114" s="15">
        <v>11762</v>
      </c>
      <c r="F114">
        <v>59</v>
      </c>
      <c r="G114">
        <v>14</v>
      </c>
      <c r="H114" s="15">
        <v>218913</v>
      </c>
      <c r="I114" s="15">
        <v>305</v>
      </c>
      <c r="J114" s="15">
        <v>75492</v>
      </c>
      <c r="K114" s="15">
        <v>67</v>
      </c>
      <c r="L114">
        <v>17</v>
      </c>
      <c r="M114">
        <v>1</v>
      </c>
      <c r="N114">
        <v>0</v>
      </c>
      <c r="O114" s="15">
        <v>889</v>
      </c>
      <c r="P114" s="15">
        <v>73</v>
      </c>
      <c r="Q114" s="15">
        <v>962</v>
      </c>
      <c r="R114">
        <v>1.0195402298850575</v>
      </c>
      <c r="S114" s="15">
        <v>50</v>
      </c>
      <c r="T114" t="s">
        <v>383</v>
      </c>
      <c r="U114" s="15" t="str">
        <f>TEXT(EvolucionIncidencia[[#This Row],[Fecha]],"DDDD")</f>
        <v>sábado</v>
      </c>
      <c r="V1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11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4" s="2" t="str">
        <f>IF(EvolucionIncidencia[[#This Row],[Fecha]]&lt;=MIN(EvolucionIncidencia[Fecha])+14,"",EvolucionIncidencia[[#This Row],[NuevasAltas]]-EvolucionIncidencia[[#This Row],[Previsión Altas]])</f>
        <v/>
      </c>
      <c r="Y1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380</v>
      </c>
      <c r="Z1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696</v>
      </c>
      <c r="AA114" s="2">
        <f>IF(LEN(EvolucionIncidencia[[#This Row],[Nuevos 7 dias]])=0,"",EvolucionIncidencia[[#This Row],[Nuevos 7 dias]]/_xlfn.MAXIFS(EvolucionIncidencia[Nuevos 7 dias],EvolucionIncidencia[Area_Sanitaria],EvolucionIncidencia[[#This Row],[Area_Sanitaria]]))</f>
        <v>0.12755958375293722</v>
      </c>
      <c r="AB114" s="2">
        <f>IF(LEN(EvolucionIncidencia[[#This Row],[Nuevos 14 dias]])=0,"",EvolucionIncidencia[[#This Row],[Nuevos 14 dias]]/_xlfn.MAXIFS(EvolucionIncidencia[Nuevos 14 dias],EvolucionIncidencia[Area_Sanitaria],EvolucionIncidencia[[#This Row],[Area_Sanitaria]]))</f>
        <v>0.12801177119735149</v>
      </c>
    </row>
    <row r="115" spans="1:28" hidden="1" x14ac:dyDescent="0.3">
      <c r="A115" s="1">
        <v>44184</v>
      </c>
      <c r="B115" s="2" t="s">
        <v>5</v>
      </c>
      <c r="C115" s="15">
        <v>3804</v>
      </c>
      <c r="D115" s="15">
        <v>486</v>
      </c>
      <c r="E115" s="15">
        <v>3232</v>
      </c>
      <c r="F115">
        <v>29</v>
      </c>
      <c r="G115">
        <v>5</v>
      </c>
      <c r="H115" s="15">
        <v>72008</v>
      </c>
      <c r="I115" s="15">
        <v>84</v>
      </c>
      <c r="J115" s="15">
        <v>29777</v>
      </c>
      <c r="K115" s="15">
        <v>11</v>
      </c>
      <c r="L115">
        <v>-48</v>
      </c>
      <c r="M115">
        <v>-2</v>
      </c>
      <c r="N115">
        <v>-1</v>
      </c>
      <c r="O115" s="15">
        <v>347</v>
      </c>
      <c r="P115" s="15">
        <v>22</v>
      </c>
      <c r="Q115" s="15">
        <v>369</v>
      </c>
      <c r="R115">
        <v>0.9101123595505618</v>
      </c>
      <c r="S115" s="15">
        <v>59</v>
      </c>
      <c r="T115" t="s">
        <v>383</v>
      </c>
      <c r="U115" s="15" t="str">
        <f>TEXT(EvolucionIncidencia[[#This Row],[Fecha]],"DDDD")</f>
        <v>sábado</v>
      </c>
      <c r="V1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2.5652173913043477</v>
      </c>
      <c r="W11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5" s="2" t="str">
        <f>IF(EvolucionIncidencia[[#This Row],[Fecha]]&lt;=MIN(EvolucionIncidencia[Fecha])+14,"",EvolucionIncidencia[[#This Row],[NuevasAltas]]-EvolucionIncidencia[[#This Row],[Previsión Altas]])</f>
        <v/>
      </c>
      <c r="Y1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167</v>
      </c>
      <c r="Z1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374</v>
      </c>
      <c r="AA115" s="2">
        <f>IF(LEN(EvolucionIncidencia[[#This Row],[Nuevos 7 dias]])=0,"",EvolucionIncidencia[[#This Row],[Nuevos 7 dias]]/_xlfn.MAXIFS(EvolucionIncidencia[Nuevos 7 dias],EvolucionIncidencia[Area_Sanitaria],EvolucionIncidencia[[#This Row],[Area_Sanitaria]]))</f>
        <v>0.2</v>
      </c>
      <c r="AB115" s="2">
        <f>IF(LEN(EvolucionIncidencia[[#This Row],[Nuevos 14 dias]])=0,"",EvolucionIncidencia[[#This Row],[Nuevos 14 dias]]/_xlfn.MAXIFS(EvolucionIncidencia[Nuevos 14 dias],EvolucionIncidencia[Area_Sanitaria],EvolucionIncidencia[[#This Row],[Area_Sanitaria]]))</f>
        <v>0.22818791946308725</v>
      </c>
    </row>
    <row r="116" spans="1:28" hidden="1" x14ac:dyDescent="0.3">
      <c r="A116" s="1">
        <v>44184</v>
      </c>
      <c r="B116" s="2" t="s">
        <v>8</v>
      </c>
      <c r="C116" s="15">
        <v>6781</v>
      </c>
      <c r="D116" s="15">
        <v>371</v>
      </c>
      <c r="E116" s="15">
        <v>6267</v>
      </c>
      <c r="F116">
        <v>13</v>
      </c>
      <c r="G116">
        <v>6</v>
      </c>
      <c r="H116" s="15">
        <v>117917</v>
      </c>
      <c r="I116" s="15">
        <v>141</v>
      </c>
      <c r="J116" s="15">
        <v>73856</v>
      </c>
      <c r="K116" s="15">
        <v>29</v>
      </c>
      <c r="L116">
        <v>-33</v>
      </c>
      <c r="M116">
        <v>1</v>
      </c>
      <c r="N116">
        <v>-1</v>
      </c>
      <c r="O116" s="15">
        <v>919</v>
      </c>
      <c r="P116" s="15">
        <v>84</v>
      </c>
      <c r="Q116" s="15">
        <v>1003</v>
      </c>
      <c r="R116">
        <v>0.91831683168316836</v>
      </c>
      <c r="S116" s="15">
        <v>62</v>
      </c>
      <c r="T116" t="s">
        <v>383</v>
      </c>
      <c r="U116" s="15" t="str">
        <f>TEXT(EvolucionIncidencia[[#This Row],[Fecha]],"DDDD")</f>
        <v>sábado</v>
      </c>
      <c r="V1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11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6" s="2" t="str">
        <f>IF(EvolucionIncidencia[[#This Row],[Fecha]]&lt;=MIN(EvolucionIncidencia[Fecha])+14,"",EvolucionIncidencia[[#This Row],[NuevasAltas]]-EvolucionIncidencia[[#This Row],[Previsión Altas]])</f>
        <v/>
      </c>
      <c r="Y1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162</v>
      </c>
      <c r="Z1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326</v>
      </c>
      <c r="AA116" s="2">
        <f>IF(LEN(EvolucionIncidencia[[#This Row],[Nuevos 7 dias]])=0,"",EvolucionIncidencia[[#This Row],[Nuevos 7 dias]]/_xlfn.MAXIFS(EvolucionIncidencia[Nuevos 7 dias],EvolucionIncidencia[Area_Sanitaria],EvolucionIncidencia[[#This Row],[Area_Sanitaria]]))</f>
        <v>0.14647377938517178</v>
      </c>
      <c r="AB116" s="2">
        <f>IF(LEN(EvolucionIncidencia[[#This Row],[Nuevos 14 dias]])=0,"",EvolucionIncidencia[[#This Row],[Nuevos 14 dias]]/_xlfn.MAXIFS(EvolucionIncidencia[Nuevos 14 dias],EvolucionIncidencia[Area_Sanitaria],EvolucionIncidencia[[#This Row],[Area_Sanitaria]]))</f>
        <v>0.16464646464646465</v>
      </c>
    </row>
    <row r="117" spans="1:28" hidden="1" x14ac:dyDescent="0.3">
      <c r="A117" s="1">
        <v>44184</v>
      </c>
      <c r="B117" s="2" t="s">
        <v>9</v>
      </c>
      <c r="C117" s="15">
        <v>8110</v>
      </c>
      <c r="D117" s="15">
        <v>470</v>
      </c>
      <c r="E117" s="15">
        <v>7333</v>
      </c>
      <c r="F117">
        <v>32</v>
      </c>
      <c r="G117">
        <v>3</v>
      </c>
      <c r="H117" s="15">
        <v>128731</v>
      </c>
      <c r="I117" s="15">
        <v>306</v>
      </c>
      <c r="J117" s="15">
        <v>66496</v>
      </c>
      <c r="K117" s="15">
        <v>15</v>
      </c>
      <c r="L117">
        <v>-8</v>
      </c>
      <c r="M117">
        <v>0</v>
      </c>
      <c r="N117">
        <v>0</v>
      </c>
      <c r="O117" s="15">
        <v>904</v>
      </c>
      <c r="P117" s="15">
        <v>51</v>
      </c>
      <c r="Q117" s="15">
        <v>955</v>
      </c>
      <c r="R117">
        <v>0.98326359832635979</v>
      </c>
      <c r="S117" s="15">
        <v>23</v>
      </c>
      <c r="T117" t="s">
        <v>383</v>
      </c>
      <c r="U117" s="15" t="str">
        <f>TEXT(EvolucionIncidencia[[#This Row],[Fecha]],"DDDD")</f>
        <v>sábado</v>
      </c>
      <c r="V1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1.0454545454545454</v>
      </c>
      <c r="W11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7" s="2" t="str">
        <f>IF(EvolucionIncidencia[[#This Row],[Fecha]]&lt;=MIN(EvolucionIncidencia[Fecha])+14,"",EvolucionIncidencia[[#This Row],[NuevasAltas]]-EvolucionIncidencia[[#This Row],[Previsión Altas]])</f>
        <v/>
      </c>
      <c r="Y1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211</v>
      </c>
      <c r="Z1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437</v>
      </c>
      <c r="AA117" s="2">
        <f>IF(LEN(EvolucionIncidencia[[#This Row],[Nuevos 7 dias]])=0,"",EvolucionIncidencia[[#This Row],[Nuevos 7 dias]]/_xlfn.MAXIFS(EvolucionIncidencia[Nuevos 7 dias],EvolucionIncidencia[Area_Sanitaria],EvolucionIncidencia[[#This Row],[Area_Sanitaria]]))</f>
        <v>0.13448056086679414</v>
      </c>
      <c r="AB117" s="2">
        <f>IF(LEN(EvolucionIncidencia[[#This Row],[Nuevos 14 dias]])=0,"",EvolucionIncidencia[[#This Row],[Nuevos 14 dias]]/_xlfn.MAXIFS(EvolucionIncidencia[Nuevos 14 dias],EvolucionIncidencia[Area_Sanitaria],EvolucionIncidencia[[#This Row],[Area_Sanitaria]]))</f>
        <v>0.15436241610738255</v>
      </c>
    </row>
    <row r="118" spans="1:28" x14ac:dyDescent="0.3">
      <c r="A118" s="1">
        <v>44184</v>
      </c>
      <c r="B118" s="2" t="s">
        <v>6</v>
      </c>
      <c r="C118" s="15">
        <v>6472</v>
      </c>
      <c r="D118" s="15">
        <v>936</v>
      </c>
      <c r="E118" s="15">
        <v>5464</v>
      </c>
      <c r="F118">
        <v>40</v>
      </c>
      <c r="G118">
        <v>8</v>
      </c>
      <c r="H118" s="15">
        <v>106253</v>
      </c>
      <c r="I118" s="15">
        <v>75</v>
      </c>
      <c r="J118" s="15">
        <v>45157</v>
      </c>
      <c r="K118" s="15">
        <v>58</v>
      </c>
      <c r="L118">
        <v>11</v>
      </c>
      <c r="M118">
        <v>3</v>
      </c>
      <c r="N118">
        <v>0</v>
      </c>
      <c r="O118" s="15">
        <v>719</v>
      </c>
      <c r="P118" s="15">
        <v>77</v>
      </c>
      <c r="Q118" s="15">
        <v>796</v>
      </c>
      <c r="R118">
        <v>1.011891891891892</v>
      </c>
      <c r="S118" s="15">
        <v>45</v>
      </c>
      <c r="T118" t="s">
        <v>383</v>
      </c>
      <c r="U118" s="15" t="str">
        <f>TEXT(EvolucionIncidencia[[#This Row],[Fecha]],"DDDD")</f>
        <v>sábado</v>
      </c>
      <c r="V1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1.2162162162162162</v>
      </c>
      <c r="W11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8" s="2" t="str">
        <f>IF(EvolucionIncidencia[[#This Row],[Fecha]]&lt;=MIN(EvolucionIncidencia[Fecha])+14,"",EvolucionIncidencia[[#This Row],[NuevasAltas]]-EvolucionIncidencia[[#This Row],[Previsión Altas]])</f>
        <v/>
      </c>
      <c r="Y1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434</v>
      </c>
      <c r="Z1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767</v>
      </c>
      <c r="AA118" s="2">
        <f>IF(LEN(EvolucionIncidencia[[#This Row],[Nuevos 7 dias]])=0,"",EvolucionIncidencia[[#This Row],[Nuevos 7 dias]]/_xlfn.MAXIFS(EvolucionIncidencia[Nuevos 7 dias],EvolucionIncidencia[Area_Sanitaria],EvolucionIncidencia[[#This Row],[Area_Sanitaria]]))</f>
        <v>0.33003802281368821</v>
      </c>
      <c r="AB118" s="2">
        <f>IF(LEN(EvolucionIncidencia[[#This Row],[Nuevos 14 dias]])=0,"",EvolucionIncidencia[[#This Row],[Nuevos 14 dias]]/_xlfn.MAXIFS(EvolucionIncidencia[Nuevos 14 dias],EvolucionIncidencia[Area_Sanitaria],EvolucionIncidencia[[#This Row],[Area_Sanitaria]]))</f>
        <v>0.31550802139037432</v>
      </c>
    </row>
    <row r="119" spans="1:28" hidden="1" x14ac:dyDescent="0.3">
      <c r="A119" s="1">
        <v>44184</v>
      </c>
      <c r="B119" s="2" t="s">
        <v>7</v>
      </c>
      <c r="C119" s="15">
        <v>9279</v>
      </c>
      <c r="D119" s="15">
        <v>1216</v>
      </c>
      <c r="E119" s="15">
        <v>7889</v>
      </c>
      <c r="F119">
        <v>73</v>
      </c>
      <c r="G119">
        <v>5</v>
      </c>
      <c r="H119" s="15">
        <v>173432</v>
      </c>
      <c r="I119" s="15">
        <v>176</v>
      </c>
      <c r="J119" s="15">
        <v>90351</v>
      </c>
      <c r="K119" s="15">
        <v>81</v>
      </c>
      <c r="L119">
        <v>21</v>
      </c>
      <c r="M119">
        <v>7</v>
      </c>
      <c r="N119">
        <v>-1</v>
      </c>
      <c r="O119" s="15">
        <v>1623</v>
      </c>
      <c r="P119" s="15">
        <v>119</v>
      </c>
      <c r="Q119" s="15">
        <v>1742</v>
      </c>
      <c r="R119">
        <v>1.0175732217573221</v>
      </c>
      <c r="S119" s="15">
        <v>60</v>
      </c>
      <c r="T119" t="s">
        <v>383</v>
      </c>
      <c r="U119" s="15" t="str">
        <f>TEXT(EvolucionIncidencia[[#This Row],[Fecha]],"DDDD")</f>
        <v>sábado</v>
      </c>
      <c r="V1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1.1538461538461537</v>
      </c>
      <c r="W11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9" s="2" t="str">
        <f>IF(EvolucionIncidencia[[#This Row],[Fecha]]&lt;=MIN(EvolucionIncidencia[Fecha])+14,"",EvolucionIncidencia[[#This Row],[NuevasAltas]]-EvolucionIncidencia[[#This Row],[Previsión Altas]])</f>
        <v/>
      </c>
      <c r="Y1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680</v>
      </c>
      <c r="Z1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1175</v>
      </c>
      <c r="AA119" s="2">
        <f>IF(LEN(EvolucionIncidencia[[#This Row],[Nuevos 7 dias]])=0,"",EvolucionIncidencia[[#This Row],[Nuevos 7 dias]]/_xlfn.MAXIFS(EvolucionIncidencia[Nuevos 7 dias],EvolucionIncidencia[Area_Sanitaria],EvolucionIncidencia[[#This Row],[Area_Sanitaria]]))</f>
        <v>0.4004711425206125</v>
      </c>
      <c r="AB119" s="2">
        <f>IF(LEN(EvolucionIncidencia[[#This Row],[Nuevos 14 dias]])=0,"",EvolucionIncidencia[[#This Row],[Nuevos 14 dias]]/_xlfn.MAXIFS(EvolucionIncidencia[Nuevos 14 dias],EvolucionIncidencia[Area_Sanitaria],EvolucionIncidencia[[#This Row],[Area_Sanitaria]]))</f>
        <v>0.36926461345065997</v>
      </c>
    </row>
    <row r="120" spans="1:28" hidden="1" x14ac:dyDescent="0.3">
      <c r="A120" s="1">
        <v>44184</v>
      </c>
      <c r="B120" s="2" t="s">
        <v>2</v>
      </c>
      <c r="C120" s="15">
        <v>11671</v>
      </c>
      <c r="D120" s="15">
        <v>1243</v>
      </c>
      <c r="E120" s="15">
        <v>10178</v>
      </c>
      <c r="F120">
        <v>47</v>
      </c>
      <c r="G120">
        <v>12</v>
      </c>
      <c r="H120" s="15">
        <v>221745</v>
      </c>
      <c r="I120" s="15">
        <v>251</v>
      </c>
      <c r="J120" s="15">
        <v>57288</v>
      </c>
      <c r="K120" s="15">
        <v>76</v>
      </c>
      <c r="L120">
        <v>-4</v>
      </c>
      <c r="M120">
        <v>2</v>
      </c>
      <c r="N120">
        <v>0</v>
      </c>
      <c r="O120" s="15">
        <v>2601</v>
      </c>
      <c r="P120" s="15">
        <v>58</v>
      </c>
      <c r="Q120" s="15">
        <v>2659</v>
      </c>
      <c r="R120">
        <v>0.99679230152365672</v>
      </c>
      <c r="S120" s="15">
        <v>80</v>
      </c>
      <c r="T120" t="s">
        <v>383</v>
      </c>
      <c r="U120" s="15" t="str">
        <f>TEXT(EvolucionIncidencia[[#This Row],[Fecha]],"DDDD")</f>
        <v>sábado</v>
      </c>
      <c r="V1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0.87912087912087911</v>
      </c>
      <c r="W12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0" s="2" t="str">
        <f>IF(EvolucionIncidencia[[#This Row],[Fecha]]&lt;=MIN(EvolucionIncidencia[Fecha])+14,"",EvolucionIncidencia[[#This Row],[NuevasAltas]]-EvolucionIncidencia[[#This Row],[Previsión Altas]])</f>
        <v/>
      </c>
      <c r="Y1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576</v>
      </c>
      <c r="Z1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1093</v>
      </c>
      <c r="AA120" s="2">
        <f>IF(LEN(EvolucionIncidencia[[#This Row],[Nuevos 7 dias]])=0,"",EvolucionIncidencia[[#This Row],[Nuevos 7 dias]]/_xlfn.MAXIFS(EvolucionIncidencia[Nuevos 7 dias],EvolucionIncidencia[Area_Sanitaria],EvolucionIncidencia[[#This Row],[Area_Sanitaria]]))</f>
        <v>0.29706034038164003</v>
      </c>
      <c r="AB120" s="2">
        <f>IF(LEN(EvolucionIncidencia[[#This Row],[Nuevos 14 dias]])=0,"",EvolucionIncidencia[[#This Row],[Nuevos 14 dias]]/_xlfn.MAXIFS(EvolucionIncidencia[Nuevos 14 dias],EvolucionIncidencia[Area_Sanitaria],EvolucionIncidencia[[#This Row],[Area_Sanitaria]]))</f>
        <v>0.30085328929259564</v>
      </c>
    </row>
    <row r="121" spans="1:28" hidden="1" x14ac:dyDescent="0.3">
      <c r="A121" s="1">
        <v>44184</v>
      </c>
      <c r="B121" s="2" t="s">
        <v>3</v>
      </c>
      <c r="C121" s="15">
        <v>59067</v>
      </c>
      <c r="D121" s="15">
        <v>5609</v>
      </c>
      <c r="E121" s="15">
        <v>52125</v>
      </c>
      <c r="F121">
        <v>293</v>
      </c>
      <c r="G121">
        <v>53</v>
      </c>
      <c r="H121" s="15">
        <v>1038999</v>
      </c>
      <c r="I121" s="15">
        <v>1338</v>
      </c>
      <c r="J121" s="15">
        <v>438417</v>
      </c>
      <c r="K121" s="15">
        <v>337</v>
      </c>
      <c r="L121">
        <v>-44</v>
      </c>
      <c r="M121">
        <v>12</v>
      </c>
      <c r="N121">
        <v>-3</v>
      </c>
      <c r="O121" s="15">
        <v>8002</v>
      </c>
      <c r="P121" s="15">
        <v>484</v>
      </c>
      <c r="Q121" s="15">
        <v>8486</v>
      </c>
      <c r="R121">
        <v>0.99221652220060141</v>
      </c>
      <c r="S121" s="15">
        <v>379</v>
      </c>
      <c r="T121" t="s">
        <v>383</v>
      </c>
      <c r="U121" s="15" t="str">
        <f>TEXT(EvolucionIncidencia[[#This Row],[Fecha]],"DDDD")</f>
        <v>sábado</v>
      </c>
      <c r="V1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1.2804054054054055</v>
      </c>
      <c r="W12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1" s="2" t="str">
        <f>IF(EvolucionIncidencia[[#This Row],[Fecha]]&lt;=MIN(EvolucionIncidencia[Fecha])+14,"",EvolucionIncidencia[[#This Row],[NuevasAltas]]-EvolucionIncidencia[[#This Row],[Previsión Altas]])</f>
        <v/>
      </c>
      <c r="Y1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2610</v>
      </c>
      <c r="Z1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4868</v>
      </c>
      <c r="AA121" s="2">
        <f>IF(LEN(EvolucionIncidencia[[#This Row],[Nuevos 7 dias]])=0,"",EvolucionIncidencia[[#This Row],[Nuevos 7 dias]]/_xlfn.MAXIFS(EvolucionIncidencia[Nuevos 7 dias],EvolucionIncidencia[Area_Sanitaria],EvolucionIncidencia[[#This Row],[Area_Sanitaria]]))</f>
        <v>0.23007757404795487</v>
      </c>
      <c r="AB121" s="2">
        <f>IF(LEN(EvolucionIncidencia[[#This Row],[Nuevos 14 dias]])=0,"",EvolucionIncidencia[[#This Row],[Nuevos 14 dias]]/_xlfn.MAXIFS(EvolucionIncidencia[Nuevos 14 dias],EvolucionIncidencia[Area_Sanitaria],EvolucionIncidencia[[#This Row],[Area_Sanitaria]]))</f>
        <v>0.23338766899990412</v>
      </c>
    </row>
    <row r="122" spans="1:28" hidden="1" x14ac:dyDescent="0.3">
      <c r="A122" s="1">
        <v>44185</v>
      </c>
      <c r="B122" s="2" t="s">
        <v>4</v>
      </c>
      <c r="C122" s="15">
        <v>13003</v>
      </c>
      <c r="D122" s="15">
        <v>882</v>
      </c>
      <c r="E122" s="15">
        <v>11820</v>
      </c>
      <c r="F122">
        <v>60</v>
      </c>
      <c r="G122">
        <v>14</v>
      </c>
      <c r="H122" s="15">
        <v>219933</v>
      </c>
      <c r="I122" s="15">
        <v>305</v>
      </c>
      <c r="J122" s="15">
        <v>75586</v>
      </c>
      <c r="K122" s="15">
        <v>53</v>
      </c>
      <c r="L122">
        <v>-5</v>
      </c>
      <c r="M122">
        <v>1</v>
      </c>
      <c r="N122">
        <v>0</v>
      </c>
      <c r="O122" s="15">
        <v>1020</v>
      </c>
      <c r="P122" s="15">
        <v>94</v>
      </c>
      <c r="Q122" s="15">
        <v>1114</v>
      </c>
      <c r="R122">
        <v>0.99436302142051858</v>
      </c>
      <c r="S122" s="15">
        <v>58</v>
      </c>
      <c r="T122" t="s">
        <v>384</v>
      </c>
      <c r="U122" s="15" t="str">
        <f>TEXT(EvolucionIncidencia[[#This Row],[Fecha]],"DDDD")</f>
        <v>domingo</v>
      </c>
      <c r="V1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1.0943396226415094</v>
      </c>
      <c r="W1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66.25</v>
      </c>
      <c r="X122" s="2">
        <f>IF(EvolucionIncidencia[[#This Row],[Fecha]]&lt;=MIN(EvolucionIncidencia[Fecha])+14,"",EvolucionIncidencia[[#This Row],[NuevasAltas]]-EvolucionIncidencia[[#This Row],[Previsión Altas]])</f>
        <v>-8.25</v>
      </c>
      <c r="Y1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368</v>
      </c>
      <c r="Z1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696</v>
      </c>
      <c r="AA122" s="2">
        <f>IF(LEN(EvolucionIncidencia[[#This Row],[Nuevos 7 dias]])=0,"",EvolucionIncidencia[[#This Row],[Nuevos 7 dias]]/_xlfn.MAXIFS(EvolucionIncidencia[Nuevos 7 dias],EvolucionIncidencia[Area_Sanitaria],EvolucionIncidencia[[#This Row],[Area_Sanitaria]]))</f>
        <v>0.12353138637126553</v>
      </c>
      <c r="AB122" s="2">
        <f>IF(LEN(EvolucionIncidencia[[#This Row],[Nuevos 14 dias]])=0,"",EvolucionIncidencia[[#This Row],[Nuevos 14 dias]]/_xlfn.MAXIFS(EvolucionIncidencia[Nuevos 14 dias],EvolucionIncidencia[Area_Sanitaria],EvolucionIncidencia[[#This Row],[Area_Sanitaria]]))</f>
        <v>0.12801177119735149</v>
      </c>
    </row>
    <row r="123" spans="1:28" hidden="1" x14ac:dyDescent="0.3">
      <c r="A123" s="1">
        <v>44185</v>
      </c>
      <c r="B123" s="2" t="s">
        <v>5</v>
      </c>
      <c r="C123" s="15">
        <v>3817</v>
      </c>
      <c r="D123" s="15">
        <v>458</v>
      </c>
      <c r="E123" s="15">
        <v>3273</v>
      </c>
      <c r="F123">
        <v>30</v>
      </c>
      <c r="G123">
        <v>4</v>
      </c>
      <c r="H123" s="15">
        <v>72321</v>
      </c>
      <c r="I123" s="15">
        <v>84</v>
      </c>
      <c r="J123" s="15">
        <v>29805</v>
      </c>
      <c r="K123" s="15">
        <v>13</v>
      </c>
      <c r="L123">
        <v>-28</v>
      </c>
      <c r="M123">
        <v>1</v>
      </c>
      <c r="N123">
        <v>-1</v>
      </c>
      <c r="O123" s="15">
        <v>313</v>
      </c>
      <c r="P123" s="15">
        <v>28</v>
      </c>
      <c r="Q123" s="15">
        <v>341</v>
      </c>
      <c r="R123">
        <v>0.9423868312757202</v>
      </c>
      <c r="S123" s="15">
        <v>41</v>
      </c>
      <c r="T123" t="s">
        <v>384</v>
      </c>
      <c r="U123" s="15" t="str">
        <f>TEXT(EvolucionIncidencia[[#This Row],[Fecha]],"DDDD")</f>
        <v>domingo</v>
      </c>
      <c r="V1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1.1388888888888888</v>
      </c>
      <c r="W1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92.347826086956516</v>
      </c>
      <c r="X123" s="2">
        <f>IF(EvolucionIncidencia[[#This Row],[Fecha]]&lt;=MIN(EvolucionIncidencia[Fecha])+14,"",EvolucionIncidencia[[#This Row],[NuevasAltas]]-EvolucionIncidencia[[#This Row],[Previsión Altas]])</f>
        <v>-51.347826086956516</v>
      </c>
      <c r="Y1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131</v>
      </c>
      <c r="Z1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351</v>
      </c>
      <c r="AA123" s="2">
        <f>IF(LEN(EvolucionIncidencia[[#This Row],[Nuevos 7 dias]])=0,"",EvolucionIncidencia[[#This Row],[Nuevos 7 dias]]/_xlfn.MAXIFS(EvolucionIncidencia[Nuevos 7 dias],EvolucionIncidencia[Area_Sanitaria],EvolucionIncidencia[[#This Row],[Area_Sanitaria]]))</f>
        <v>0.15688622754491019</v>
      </c>
      <c r="AB123" s="2">
        <f>IF(LEN(EvolucionIncidencia[[#This Row],[Nuevos 14 dias]])=0,"",EvolucionIncidencia[[#This Row],[Nuevos 14 dias]]/_xlfn.MAXIFS(EvolucionIncidencia[Nuevos 14 dias],EvolucionIncidencia[Area_Sanitaria],EvolucionIncidencia[[#This Row],[Area_Sanitaria]]))</f>
        <v>0.2141549725442343</v>
      </c>
    </row>
    <row r="124" spans="1:28" hidden="1" x14ac:dyDescent="0.3">
      <c r="A124" s="1">
        <v>44185</v>
      </c>
      <c r="B124" s="2" t="s">
        <v>8</v>
      </c>
      <c r="C124" s="15">
        <v>6798</v>
      </c>
      <c r="D124" s="15">
        <v>369</v>
      </c>
      <c r="E124" s="15">
        <v>6286</v>
      </c>
      <c r="F124">
        <v>14</v>
      </c>
      <c r="G124">
        <v>6</v>
      </c>
      <c r="H124" s="15">
        <v>118424</v>
      </c>
      <c r="I124" s="15">
        <v>141</v>
      </c>
      <c r="J124" s="15">
        <v>73917</v>
      </c>
      <c r="K124" s="15">
        <v>17</v>
      </c>
      <c r="L124">
        <v>-2</v>
      </c>
      <c r="M124">
        <v>1</v>
      </c>
      <c r="N124">
        <v>0</v>
      </c>
      <c r="O124" s="15">
        <v>507</v>
      </c>
      <c r="P124" s="15">
        <v>61</v>
      </c>
      <c r="Q124" s="15">
        <v>568</v>
      </c>
      <c r="R124">
        <v>0.99460916442048519</v>
      </c>
      <c r="S124" s="15">
        <v>19</v>
      </c>
      <c r="T124" t="s">
        <v>384</v>
      </c>
      <c r="U124" s="15" t="str">
        <f>TEXT(EvolucionIncidencia[[#This Row],[Fecha]],"DDDD")</f>
        <v>domingo</v>
      </c>
      <c r="V1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0.65517241379310343</v>
      </c>
      <c r="W1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v>
      </c>
      <c r="X124" s="2">
        <f>IF(EvolucionIncidencia[[#This Row],[Fecha]]&lt;=MIN(EvolucionIncidencia[Fecha])+14,"",EvolucionIncidencia[[#This Row],[NuevasAltas]]-EvolucionIncidencia[[#This Row],[Previsión Altas]])</f>
        <v>-39</v>
      </c>
      <c r="Y1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159</v>
      </c>
      <c r="Z1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314</v>
      </c>
      <c r="AA124" s="2">
        <f>IF(LEN(EvolucionIncidencia[[#This Row],[Nuevos 7 dias]])=0,"",EvolucionIncidencia[[#This Row],[Nuevos 7 dias]]/_xlfn.MAXIFS(EvolucionIncidencia[Nuevos 7 dias],EvolucionIncidencia[Area_Sanitaria],EvolucionIncidencia[[#This Row],[Area_Sanitaria]]))</f>
        <v>0.1437613019891501</v>
      </c>
      <c r="AB124" s="2">
        <f>IF(LEN(EvolucionIncidencia[[#This Row],[Nuevos 14 dias]])=0,"",EvolucionIncidencia[[#This Row],[Nuevos 14 dias]]/_xlfn.MAXIFS(EvolucionIncidencia[Nuevos 14 dias],EvolucionIncidencia[Area_Sanitaria],EvolucionIncidencia[[#This Row],[Area_Sanitaria]]))</f>
        <v>0.15858585858585858</v>
      </c>
    </row>
    <row r="125" spans="1:28" hidden="1" x14ac:dyDescent="0.3">
      <c r="A125" s="1">
        <v>44185</v>
      </c>
      <c r="B125" s="2" t="s">
        <v>9</v>
      </c>
      <c r="C125" s="15">
        <v>8154</v>
      </c>
      <c r="D125" s="15">
        <v>489</v>
      </c>
      <c r="E125" s="15">
        <v>7357</v>
      </c>
      <c r="F125">
        <v>30</v>
      </c>
      <c r="G125">
        <v>4</v>
      </c>
      <c r="H125" s="15">
        <v>129829</v>
      </c>
      <c r="I125" s="15">
        <v>307</v>
      </c>
      <c r="J125" s="15">
        <v>66545</v>
      </c>
      <c r="K125" s="15">
        <v>44</v>
      </c>
      <c r="L125">
        <v>19</v>
      </c>
      <c r="M125">
        <v>-2</v>
      </c>
      <c r="N125">
        <v>1</v>
      </c>
      <c r="O125" s="15">
        <v>1098</v>
      </c>
      <c r="P125" s="15">
        <v>49</v>
      </c>
      <c r="Q125" s="15">
        <v>1147</v>
      </c>
      <c r="R125">
        <v>1.0404255319148936</v>
      </c>
      <c r="S125" s="15">
        <v>24</v>
      </c>
      <c r="T125" t="s">
        <v>384</v>
      </c>
      <c r="U125" s="15" t="str">
        <f>TEXT(EvolucionIncidencia[[#This Row],[Fecha]],"DDDD")</f>
        <v>domingo</v>
      </c>
      <c r="V1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1.0434782608695652</v>
      </c>
      <c r="W1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24.045454545454543</v>
      </c>
      <c r="X125" s="2">
        <f>IF(EvolucionIncidencia[[#This Row],[Fecha]]&lt;=MIN(EvolucionIncidencia[Fecha])+14,"",EvolucionIncidencia[[#This Row],[NuevasAltas]]-EvolucionIncidencia[[#This Row],[Previsión Altas]])</f>
        <v>-4.5454545454543194E-2</v>
      </c>
      <c r="Y1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214</v>
      </c>
      <c r="Z1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458</v>
      </c>
      <c r="AA125" s="2">
        <f>IF(LEN(EvolucionIncidencia[[#This Row],[Nuevos 7 dias]])=0,"",EvolucionIncidencia[[#This Row],[Nuevos 7 dias]]/_xlfn.MAXIFS(EvolucionIncidencia[Nuevos 7 dias],EvolucionIncidencia[Area_Sanitaria],EvolucionIncidencia[[#This Row],[Area_Sanitaria]]))</f>
        <v>0.13639260675589548</v>
      </c>
      <c r="AB125" s="2">
        <f>IF(LEN(EvolucionIncidencia[[#This Row],[Nuevos 14 dias]])=0,"",EvolucionIncidencia[[#This Row],[Nuevos 14 dias]]/_xlfn.MAXIFS(EvolucionIncidencia[Nuevos 14 dias],EvolucionIncidencia[Area_Sanitaria],EvolucionIncidencia[[#This Row],[Area_Sanitaria]]))</f>
        <v>0.16178028965030025</v>
      </c>
    </row>
    <row r="126" spans="1:28" x14ac:dyDescent="0.3">
      <c r="A126" s="1">
        <v>44185</v>
      </c>
      <c r="B126" s="2" t="s">
        <v>6</v>
      </c>
      <c r="C126" s="15">
        <v>6498</v>
      </c>
      <c r="D126" s="15">
        <v>917</v>
      </c>
      <c r="E126" s="15">
        <v>5508</v>
      </c>
      <c r="F126">
        <v>42</v>
      </c>
      <c r="G126">
        <v>7</v>
      </c>
      <c r="H126" s="15">
        <v>106722</v>
      </c>
      <c r="I126" s="15">
        <v>76</v>
      </c>
      <c r="J126" s="15">
        <v>45218</v>
      </c>
      <c r="K126" s="15">
        <v>26</v>
      </c>
      <c r="L126">
        <v>-19</v>
      </c>
      <c r="M126">
        <v>2</v>
      </c>
      <c r="N126">
        <v>-1</v>
      </c>
      <c r="O126" s="15">
        <v>469</v>
      </c>
      <c r="P126" s="15">
        <v>61</v>
      </c>
      <c r="Q126" s="15">
        <v>530</v>
      </c>
      <c r="R126">
        <v>0.97970085470085466</v>
      </c>
      <c r="S126" s="15">
        <v>44</v>
      </c>
      <c r="T126" t="s">
        <v>384</v>
      </c>
      <c r="U126" s="15" t="str">
        <f>TEXT(EvolucionIncidencia[[#This Row],[Fecha]],"DDDD")</f>
        <v>domingo</v>
      </c>
      <c r="V1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1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40.135135135135137</v>
      </c>
      <c r="X126" s="2">
        <f>IF(EvolucionIncidencia[[#This Row],[Fecha]]&lt;=MIN(EvolucionIncidencia[Fecha])+14,"",EvolucionIncidencia[[#This Row],[NuevasAltas]]-EvolucionIncidencia[[#This Row],[Previsión Altas]])</f>
        <v>3.8648648648648631</v>
      </c>
      <c r="Y1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408</v>
      </c>
      <c r="Z1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760</v>
      </c>
      <c r="AA126" s="2">
        <f>IF(LEN(EvolucionIncidencia[[#This Row],[Nuevos 7 dias]])=0,"",EvolucionIncidencia[[#This Row],[Nuevos 7 dias]]/_xlfn.MAXIFS(EvolucionIncidencia[Nuevos 7 dias],EvolucionIncidencia[Area_Sanitaria],EvolucionIncidencia[[#This Row],[Area_Sanitaria]]))</f>
        <v>0.3102661596958175</v>
      </c>
      <c r="AB126" s="2">
        <f>IF(LEN(EvolucionIncidencia[[#This Row],[Nuevos 14 dias]])=0,"",EvolucionIncidencia[[#This Row],[Nuevos 14 dias]]/_xlfn.MAXIFS(EvolucionIncidencia[Nuevos 14 dias],EvolucionIncidencia[Area_Sanitaria],EvolucionIncidencia[[#This Row],[Area_Sanitaria]]))</f>
        <v>0.31262854792266559</v>
      </c>
    </row>
    <row r="127" spans="1:28" hidden="1" x14ac:dyDescent="0.3">
      <c r="A127" s="1">
        <v>44185</v>
      </c>
      <c r="B127" s="2" t="s">
        <v>7</v>
      </c>
      <c r="C127" s="15">
        <v>9343</v>
      </c>
      <c r="D127" s="15">
        <v>1235</v>
      </c>
      <c r="E127" s="15">
        <v>7933</v>
      </c>
      <c r="F127">
        <v>76</v>
      </c>
      <c r="G127">
        <v>6</v>
      </c>
      <c r="H127" s="15">
        <v>175129</v>
      </c>
      <c r="I127" s="15">
        <v>177</v>
      </c>
      <c r="J127" s="15">
        <v>90451</v>
      </c>
      <c r="K127" s="15">
        <v>64</v>
      </c>
      <c r="L127">
        <v>19</v>
      </c>
      <c r="M127">
        <v>3</v>
      </c>
      <c r="N127">
        <v>1</v>
      </c>
      <c r="O127" s="15">
        <v>1697</v>
      </c>
      <c r="P127" s="15">
        <v>100</v>
      </c>
      <c r="Q127" s="15">
        <v>1797</v>
      </c>
      <c r="R127">
        <v>1.015625</v>
      </c>
      <c r="S127" s="15">
        <v>44</v>
      </c>
      <c r="T127" t="s">
        <v>384</v>
      </c>
      <c r="U127" s="15" t="str">
        <f>TEXT(EvolucionIncidencia[[#This Row],[Fecha]],"DDDD")</f>
        <v>domingo</v>
      </c>
      <c r="V1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0.93617021276595747</v>
      </c>
      <c r="W1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54.230769230769226</v>
      </c>
      <c r="X127" s="2">
        <f>IF(EvolucionIncidencia[[#This Row],[Fecha]]&lt;=MIN(EvolucionIncidencia[Fecha])+14,"",EvolucionIncidencia[[#This Row],[NuevasAltas]]-EvolucionIncidencia[[#This Row],[Previsión Altas]])</f>
        <v>-10.230769230769226</v>
      </c>
      <c r="Y1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656</v>
      </c>
      <c r="Z1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1192</v>
      </c>
      <c r="AA127" s="2">
        <f>IF(LEN(EvolucionIncidencia[[#This Row],[Nuevos 7 dias]])=0,"",EvolucionIncidencia[[#This Row],[Nuevos 7 dias]]/_xlfn.MAXIFS(EvolucionIncidencia[Nuevos 7 dias],EvolucionIncidencia[Area_Sanitaria],EvolucionIncidencia[[#This Row],[Area_Sanitaria]]))</f>
        <v>0.38633686690223795</v>
      </c>
      <c r="AB127" s="2">
        <f>IF(LEN(EvolucionIncidencia[[#This Row],[Nuevos 14 dias]])=0,"",EvolucionIncidencia[[#This Row],[Nuevos 14 dias]]/_xlfn.MAXIFS(EvolucionIncidencia[Nuevos 14 dias],EvolucionIncidencia[Area_Sanitaria],EvolucionIncidencia[[#This Row],[Area_Sanitaria]]))</f>
        <v>0.37460716530483973</v>
      </c>
    </row>
    <row r="128" spans="1:28" hidden="1" x14ac:dyDescent="0.3">
      <c r="A128" s="1">
        <v>44185</v>
      </c>
      <c r="B128" s="2" t="s">
        <v>2</v>
      </c>
      <c r="C128" s="15">
        <v>11740</v>
      </c>
      <c r="D128" s="15">
        <v>1246</v>
      </c>
      <c r="E128" s="15">
        <v>10244</v>
      </c>
      <c r="F128">
        <v>49</v>
      </c>
      <c r="G128">
        <v>12</v>
      </c>
      <c r="H128" s="15">
        <v>223498</v>
      </c>
      <c r="I128" s="15">
        <v>251</v>
      </c>
      <c r="J128" s="15">
        <v>57335</v>
      </c>
      <c r="K128" s="15">
        <v>69</v>
      </c>
      <c r="L128">
        <v>3</v>
      </c>
      <c r="M128">
        <v>2</v>
      </c>
      <c r="N128">
        <v>0</v>
      </c>
      <c r="O128" s="15">
        <v>1753</v>
      </c>
      <c r="P128" s="15">
        <v>47</v>
      </c>
      <c r="Q128" s="15">
        <v>1800</v>
      </c>
      <c r="R128">
        <v>1.002413515687852</v>
      </c>
      <c r="S128" s="15">
        <v>66</v>
      </c>
      <c r="T128" t="s">
        <v>384</v>
      </c>
      <c r="U128" s="15" t="str">
        <f>TEXT(EvolucionIncidencia[[#This Row],[Fecha]],"DDDD")</f>
        <v>domingo</v>
      </c>
      <c r="V1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1.2452830188679245</v>
      </c>
      <c r="W1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46.593406593406591</v>
      </c>
      <c r="X128" s="2">
        <f>IF(EvolucionIncidencia[[#This Row],[Fecha]]&lt;=MIN(EvolucionIncidencia[Fecha])+14,"",EvolucionIncidencia[[#This Row],[NuevasAltas]]-EvolucionIncidencia[[#This Row],[Previsión Altas]])</f>
        <v>19.406593406593409</v>
      </c>
      <c r="Y1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589</v>
      </c>
      <c r="Z1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1109</v>
      </c>
      <c r="AA128" s="2">
        <f>IF(LEN(EvolucionIncidencia[[#This Row],[Nuevos 7 dias]])=0,"",EvolucionIncidencia[[#This Row],[Nuevos 7 dias]]/_xlfn.MAXIFS(EvolucionIncidencia[Nuevos 7 dias],EvolucionIncidencia[Area_Sanitaria],EvolucionIncidencia[[#This Row],[Area_Sanitaria]]))</f>
        <v>0.30376482723053122</v>
      </c>
      <c r="AB128" s="2">
        <f>IF(LEN(EvolucionIncidencia[[#This Row],[Nuevos 14 dias]])=0,"",EvolucionIncidencia[[#This Row],[Nuevos 14 dias]]/_xlfn.MAXIFS(EvolucionIncidencia[Nuevos 14 dias],EvolucionIncidencia[Area_Sanitaria],EvolucionIncidencia[[#This Row],[Area_Sanitaria]]))</f>
        <v>0.30525736306083129</v>
      </c>
    </row>
    <row r="129" spans="1:28" hidden="1" x14ac:dyDescent="0.3">
      <c r="A129" s="1">
        <v>44185</v>
      </c>
      <c r="B129" s="2" t="s">
        <v>3</v>
      </c>
      <c r="C129" s="15">
        <v>59353</v>
      </c>
      <c r="D129" s="15">
        <v>5596</v>
      </c>
      <c r="E129" s="15">
        <v>52421</v>
      </c>
      <c r="F129">
        <v>301</v>
      </c>
      <c r="G129">
        <v>53</v>
      </c>
      <c r="H129" s="15">
        <v>1045856</v>
      </c>
      <c r="I129" s="15">
        <v>1341</v>
      </c>
      <c r="J129" s="15">
        <v>438857</v>
      </c>
      <c r="K129" s="15">
        <v>286</v>
      </c>
      <c r="L129">
        <v>-13</v>
      </c>
      <c r="M129">
        <v>8</v>
      </c>
      <c r="N129">
        <v>0</v>
      </c>
      <c r="O129" s="15">
        <v>6857</v>
      </c>
      <c r="P129" s="15">
        <v>440</v>
      </c>
      <c r="Q129" s="15">
        <v>7297</v>
      </c>
      <c r="R129">
        <v>0.99768229630950256</v>
      </c>
      <c r="S129" s="15">
        <v>296</v>
      </c>
      <c r="T129" t="s">
        <v>384</v>
      </c>
      <c r="U129" s="15" t="str">
        <f>TEXT(EvolucionIncidencia[[#This Row],[Fecha]],"DDDD")</f>
        <v>domingo</v>
      </c>
      <c r="V1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1.0802919708029197</v>
      </c>
      <c r="W1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350.83108108108109</v>
      </c>
      <c r="X129" s="2">
        <f>IF(EvolucionIncidencia[[#This Row],[Fecha]]&lt;=MIN(EvolucionIncidencia[Fecha])+14,"",EvolucionIncidencia[[#This Row],[NuevasAltas]]-EvolucionIncidencia[[#This Row],[Previsión Altas]])</f>
        <v>-54.831081081081095</v>
      </c>
      <c r="Y1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2525</v>
      </c>
      <c r="Z1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4880</v>
      </c>
      <c r="AA129" s="2">
        <f>IF(LEN(EvolucionIncidencia[[#This Row],[Nuevos 7 dias]])=0,"",EvolucionIncidencia[[#This Row],[Nuevos 7 dias]]/_xlfn.MAXIFS(EvolucionIncidencia[Nuevos 7 dias],EvolucionIncidencia[Area_Sanitaria],EvolucionIncidencia[[#This Row],[Area_Sanitaria]]))</f>
        <v>0.22258462623413258</v>
      </c>
      <c r="AB129" s="2">
        <f>IF(LEN(EvolucionIncidencia[[#This Row],[Nuevos 14 dias]])=0,"",EvolucionIncidencia[[#This Row],[Nuevos 14 dias]]/_xlfn.MAXIFS(EvolucionIncidencia[Nuevos 14 dias],EvolucionIncidencia[Area_Sanitaria],EvolucionIncidencia[[#This Row],[Area_Sanitaria]]))</f>
        <v>0.23396298782241826</v>
      </c>
    </row>
    <row r="130" spans="1:28" hidden="1" x14ac:dyDescent="0.3">
      <c r="A130" s="1">
        <v>44186</v>
      </c>
      <c r="B130" s="2" t="s">
        <v>4</v>
      </c>
      <c r="C130" s="15">
        <v>13026</v>
      </c>
      <c r="D130" s="15">
        <v>866</v>
      </c>
      <c r="E130" s="15">
        <v>11859</v>
      </c>
      <c r="F130">
        <v>63</v>
      </c>
      <c r="G130">
        <v>15</v>
      </c>
      <c r="H130" s="15">
        <v>220477</v>
      </c>
      <c r="I130" s="15">
        <v>305</v>
      </c>
      <c r="J130" s="15">
        <v>75831</v>
      </c>
      <c r="K130" s="15">
        <v>23</v>
      </c>
      <c r="L130">
        <v>-16</v>
      </c>
      <c r="M130">
        <v>3</v>
      </c>
      <c r="N130">
        <v>1</v>
      </c>
      <c r="O130" s="15">
        <v>544</v>
      </c>
      <c r="P130" s="15">
        <v>245</v>
      </c>
      <c r="Q130" s="15">
        <v>789</v>
      </c>
      <c r="R130">
        <v>0.98185941043083902</v>
      </c>
      <c r="S130" s="15">
        <v>39</v>
      </c>
      <c r="T130" t="s">
        <v>385</v>
      </c>
      <c r="U130" s="15" t="str">
        <f>TEXT(EvolucionIncidencia[[#This Row],[Fecha]],"DDDD")</f>
        <v>lunes</v>
      </c>
      <c r="V1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1.0540540540540539</v>
      </c>
      <c r="W1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43.37028301886793</v>
      </c>
      <c r="X130" s="2">
        <f>IF(EvolucionIncidencia[[#This Row],[Fecha]]&lt;=MIN(EvolucionIncidencia[Fecha])+14,"",EvolucionIncidencia[[#This Row],[NuevasAltas]]-EvolucionIncidencia[[#This Row],[Previsión Altas]])</f>
        <v>-4.37028301886793</v>
      </c>
      <c r="Y1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370</v>
      </c>
      <c r="Z1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682</v>
      </c>
      <c r="AA130" s="2">
        <f>IF(LEN(EvolucionIncidencia[[#This Row],[Nuevos 7 dias]])=0,"",EvolucionIncidencia[[#This Row],[Nuevos 7 dias]]/_xlfn.MAXIFS(EvolucionIncidencia[Nuevos 7 dias],EvolucionIncidencia[Area_Sanitaria],EvolucionIncidencia[[#This Row],[Area_Sanitaria]]))</f>
        <v>0.12420275260154415</v>
      </c>
      <c r="AB130" s="2">
        <f>IF(LEN(EvolucionIncidencia[[#This Row],[Nuevos 14 dias]])=0,"",EvolucionIncidencia[[#This Row],[Nuevos 14 dias]]/_xlfn.MAXIFS(EvolucionIncidencia[Nuevos 14 dias],EvolucionIncidencia[Area_Sanitaria],EvolucionIncidencia[[#This Row],[Area_Sanitaria]]))</f>
        <v>0.12543682177671511</v>
      </c>
    </row>
    <row r="131" spans="1:28" hidden="1" x14ac:dyDescent="0.3">
      <c r="A131" s="1">
        <v>44186</v>
      </c>
      <c r="B131" s="2" t="s">
        <v>5</v>
      </c>
      <c r="C131" s="15">
        <v>3829</v>
      </c>
      <c r="D131" s="15">
        <v>446</v>
      </c>
      <c r="E131" s="15">
        <v>3296</v>
      </c>
      <c r="F131">
        <v>33</v>
      </c>
      <c r="G131">
        <v>4</v>
      </c>
      <c r="H131" s="15">
        <v>72601</v>
      </c>
      <c r="I131" s="15">
        <v>85</v>
      </c>
      <c r="J131" s="15">
        <v>29871</v>
      </c>
      <c r="K131" s="15">
        <v>12</v>
      </c>
      <c r="L131">
        <v>-12</v>
      </c>
      <c r="M131">
        <v>3</v>
      </c>
      <c r="N131">
        <v>0</v>
      </c>
      <c r="O131" s="15">
        <v>280</v>
      </c>
      <c r="P131" s="15">
        <v>66</v>
      </c>
      <c r="Q131" s="15">
        <v>346</v>
      </c>
      <c r="R131">
        <v>0.97379912663755464</v>
      </c>
      <c r="S131" s="15">
        <v>23</v>
      </c>
      <c r="T131" t="s">
        <v>385</v>
      </c>
      <c r="U131" s="15" t="str">
        <f>TEXT(EvolucionIncidencia[[#This Row],[Fecha]],"DDDD")</f>
        <v>lunes</v>
      </c>
      <c r="V1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1.4375</v>
      </c>
      <c r="W1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29.632850241545892</v>
      </c>
      <c r="X131" s="2">
        <f>IF(EvolucionIncidencia[[#This Row],[Fecha]]&lt;=MIN(EvolucionIncidencia[Fecha])+14,"",EvolucionIncidencia[[#This Row],[NuevasAltas]]-EvolucionIncidencia[[#This Row],[Previsión Altas]])</f>
        <v>-6.6328502415458921</v>
      </c>
      <c r="Y1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v>
      </c>
      <c r="Z1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347</v>
      </c>
      <c r="AA131" s="2">
        <f>IF(LEN(EvolucionIncidencia[[#This Row],[Nuevos 7 dias]])=0,"",EvolucionIncidencia[[#This Row],[Nuevos 7 dias]]/_xlfn.MAXIFS(EvolucionIncidencia[Nuevos 7 dias],EvolucionIncidencia[Area_Sanitaria],EvolucionIncidencia[[#This Row],[Area_Sanitaria]]))</f>
        <v>0.1497005988023952</v>
      </c>
      <c r="AB131" s="2">
        <f>IF(LEN(EvolucionIncidencia[[#This Row],[Nuevos 14 dias]])=0,"",EvolucionIncidencia[[#This Row],[Nuevos 14 dias]]/_xlfn.MAXIFS(EvolucionIncidencia[Nuevos 14 dias],EvolucionIncidencia[Area_Sanitaria],EvolucionIncidencia[[#This Row],[Area_Sanitaria]]))</f>
        <v>0.21171446003660768</v>
      </c>
    </row>
    <row r="132" spans="1:28" hidden="1" x14ac:dyDescent="0.3">
      <c r="A132" s="1">
        <v>44186</v>
      </c>
      <c r="B132" s="2" t="s">
        <v>8</v>
      </c>
      <c r="C132" s="15">
        <v>6815</v>
      </c>
      <c r="D132" s="15">
        <v>360</v>
      </c>
      <c r="E132" s="15">
        <v>6310</v>
      </c>
      <c r="F132">
        <v>14</v>
      </c>
      <c r="G132">
        <v>4</v>
      </c>
      <c r="H132" s="15">
        <v>118742</v>
      </c>
      <c r="I132" s="15">
        <v>143</v>
      </c>
      <c r="J132" s="15">
        <v>74027</v>
      </c>
      <c r="K132" s="15">
        <v>17</v>
      </c>
      <c r="L132">
        <v>-9</v>
      </c>
      <c r="M132">
        <v>0</v>
      </c>
      <c r="N132">
        <v>-2</v>
      </c>
      <c r="O132" s="15">
        <v>318</v>
      </c>
      <c r="P132" s="15">
        <v>110</v>
      </c>
      <c r="Q132" s="15">
        <v>428</v>
      </c>
      <c r="R132">
        <v>0.97560975609756095</v>
      </c>
      <c r="S132" s="15">
        <v>24</v>
      </c>
      <c r="T132" t="s">
        <v>385</v>
      </c>
      <c r="U132" s="15" t="str">
        <f>TEXT(EvolucionIncidencia[[#This Row],[Fecha]],"DDDD")</f>
        <v>lunes</v>
      </c>
      <c r="V1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1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23.896551724137929</v>
      </c>
      <c r="X132" s="2">
        <f>IF(EvolucionIncidencia[[#This Row],[Fecha]]&lt;=MIN(EvolucionIncidencia[Fecha])+14,"",EvolucionIncidencia[[#This Row],[NuevasAltas]]-EvolucionIncidencia[[#This Row],[Previsión Altas]])</f>
        <v>0.10344827586207117</v>
      </c>
      <c r="Y1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163</v>
      </c>
      <c r="Z1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313</v>
      </c>
      <c r="AA132" s="2">
        <f>IF(LEN(EvolucionIncidencia[[#This Row],[Nuevos 7 dias]])=0,"",EvolucionIncidencia[[#This Row],[Nuevos 7 dias]]/_xlfn.MAXIFS(EvolucionIncidencia[Nuevos 7 dias],EvolucionIncidencia[Area_Sanitaria],EvolucionIncidencia[[#This Row],[Area_Sanitaria]]))</f>
        <v>0.14737793851717904</v>
      </c>
      <c r="AB132" s="2">
        <f>IF(LEN(EvolucionIncidencia[[#This Row],[Nuevos 14 dias]])=0,"",EvolucionIncidencia[[#This Row],[Nuevos 14 dias]]/_xlfn.MAXIFS(EvolucionIncidencia[Nuevos 14 dias],EvolucionIncidencia[Area_Sanitaria],EvolucionIncidencia[[#This Row],[Area_Sanitaria]]))</f>
        <v>0.15808080808080807</v>
      </c>
    </row>
    <row r="133" spans="1:28" hidden="1" x14ac:dyDescent="0.3">
      <c r="A133" s="1">
        <v>44186</v>
      </c>
      <c r="B133" s="2" t="s">
        <v>9</v>
      </c>
      <c r="C133" s="15">
        <v>8205</v>
      </c>
      <c r="D133" s="15">
        <v>519</v>
      </c>
      <c r="E133" s="15">
        <v>7378</v>
      </c>
      <c r="F133">
        <v>30</v>
      </c>
      <c r="G133">
        <v>4</v>
      </c>
      <c r="H133" s="15">
        <v>130702</v>
      </c>
      <c r="I133" s="15">
        <v>307</v>
      </c>
      <c r="J133" s="15">
        <v>66687</v>
      </c>
      <c r="K133" s="15">
        <v>51</v>
      </c>
      <c r="L133">
        <v>30</v>
      </c>
      <c r="M133">
        <v>0</v>
      </c>
      <c r="N133">
        <v>0</v>
      </c>
      <c r="O133" s="15">
        <v>873</v>
      </c>
      <c r="P133" s="15">
        <v>142</v>
      </c>
      <c r="Q133" s="15">
        <v>1015</v>
      </c>
      <c r="R133">
        <v>1.0613496932515338</v>
      </c>
      <c r="S133" s="15">
        <v>21</v>
      </c>
      <c r="T133" t="s">
        <v>385</v>
      </c>
      <c r="U133" s="15" t="str">
        <f>TEXT(EvolucionIncidencia[[#This Row],[Fecha]],"DDDD")</f>
        <v>lunes</v>
      </c>
      <c r="V1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0.95454545454545459</v>
      </c>
      <c r="W1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22.978260869565215</v>
      </c>
      <c r="X133" s="2">
        <f>IF(EvolucionIncidencia[[#This Row],[Fecha]]&lt;=MIN(EvolucionIncidencia[Fecha])+14,"",EvolucionIncidencia[[#This Row],[NuevasAltas]]-EvolucionIncidencia[[#This Row],[Previsión Altas]])</f>
        <v>-1.9782608695652151</v>
      </c>
      <c r="Y1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253</v>
      </c>
      <c r="Z1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487</v>
      </c>
      <c r="AA133" s="2">
        <f>IF(LEN(EvolucionIncidencia[[#This Row],[Nuevos 7 dias]])=0,"",EvolucionIncidencia[[#This Row],[Nuevos 7 dias]]/_xlfn.MAXIFS(EvolucionIncidencia[Nuevos 7 dias],EvolucionIncidencia[Area_Sanitaria],EvolucionIncidencia[[#This Row],[Area_Sanitaria]]))</f>
        <v>0.16124920331421289</v>
      </c>
      <c r="AB133" s="2">
        <f>IF(LEN(EvolucionIncidencia[[#This Row],[Nuevos 14 dias]])=0,"",EvolucionIncidencia[[#This Row],[Nuevos 14 dias]]/_xlfn.MAXIFS(EvolucionIncidencia[Nuevos 14 dias],EvolucionIncidencia[Area_Sanitaria],EvolucionIncidencia[[#This Row],[Area_Sanitaria]]))</f>
        <v>0.1720240197809961</v>
      </c>
    </row>
    <row r="134" spans="1:28" x14ac:dyDescent="0.3">
      <c r="A134" s="1">
        <v>44186</v>
      </c>
      <c r="B134" s="2" t="s">
        <v>6</v>
      </c>
      <c r="C134" s="15">
        <v>6543</v>
      </c>
      <c r="D134" s="15">
        <v>922</v>
      </c>
      <c r="E134" s="15">
        <v>5548</v>
      </c>
      <c r="F134">
        <v>42</v>
      </c>
      <c r="G134">
        <v>8</v>
      </c>
      <c r="H134" s="15">
        <v>107331</v>
      </c>
      <c r="I134" s="15">
        <v>76</v>
      </c>
      <c r="J134" s="15">
        <v>45357</v>
      </c>
      <c r="K134" s="15">
        <v>45</v>
      </c>
      <c r="L134">
        <v>5</v>
      </c>
      <c r="M134">
        <v>0</v>
      </c>
      <c r="N134">
        <v>1</v>
      </c>
      <c r="O134" s="15">
        <v>609</v>
      </c>
      <c r="P134" s="15">
        <v>139</v>
      </c>
      <c r="Q134" s="15">
        <v>748</v>
      </c>
      <c r="R134">
        <v>1.005452562704471</v>
      </c>
      <c r="S134" s="15">
        <v>40</v>
      </c>
      <c r="T134" t="s">
        <v>385</v>
      </c>
      <c r="U134" s="15" t="str">
        <f>TEXT(EvolucionIncidencia[[#This Row],[Fecha]],"DDDD")</f>
        <v>lunes</v>
      </c>
      <c r="V1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0.90909090909090906</v>
      </c>
      <c r="W1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56.090090090090094</v>
      </c>
      <c r="X134" s="2">
        <f>IF(EvolucionIncidencia[[#This Row],[Fecha]]&lt;=MIN(EvolucionIncidencia[Fecha])+14,"",EvolucionIncidencia[[#This Row],[NuevasAltas]]-EvolucionIncidencia[[#This Row],[Previsión Altas]])</f>
        <v>-16.090090090090094</v>
      </c>
      <c r="Y1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371</v>
      </c>
      <c r="Z1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761</v>
      </c>
      <c r="AA134" s="2">
        <f>IF(LEN(EvolucionIncidencia[[#This Row],[Nuevos 7 dias]])=0,"",EvolucionIncidencia[[#This Row],[Nuevos 7 dias]]/_xlfn.MAXIFS(EvolucionIncidencia[Nuevos 7 dias],EvolucionIncidencia[Area_Sanitaria],EvolucionIncidencia[[#This Row],[Area_Sanitaria]]))</f>
        <v>0.28212927756653994</v>
      </c>
      <c r="AB134" s="2">
        <f>IF(LEN(EvolucionIncidencia[[#This Row],[Nuevos 14 dias]])=0,"",EvolucionIncidencia[[#This Row],[Nuevos 14 dias]]/_xlfn.MAXIFS(EvolucionIncidencia[Nuevos 14 dias],EvolucionIncidencia[Area_Sanitaria],EvolucionIncidencia[[#This Row],[Area_Sanitaria]]))</f>
        <v>0.31303990127519538</v>
      </c>
    </row>
    <row r="135" spans="1:28" hidden="1" x14ac:dyDescent="0.3">
      <c r="A135" s="1">
        <v>44186</v>
      </c>
      <c r="B135" s="2" t="s">
        <v>7</v>
      </c>
      <c r="C135" s="15">
        <v>9398</v>
      </c>
      <c r="D135" s="15">
        <v>1248</v>
      </c>
      <c r="E135" s="15">
        <v>7975</v>
      </c>
      <c r="F135">
        <v>73</v>
      </c>
      <c r="G135">
        <v>7</v>
      </c>
      <c r="H135" s="15">
        <v>176863</v>
      </c>
      <c r="I135" s="15">
        <v>177</v>
      </c>
      <c r="J135" s="15">
        <v>90648</v>
      </c>
      <c r="K135" s="15">
        <v>55</v>
      </c>
      <c r="L135">
        <v>13</v>
      </c>
      <c r="M135">
        <v>-3</v>
      </c>
      <c r="N135">
        <v>1</v>
      </c>
      <c r="O135" s="15">
        <v>1734</v>
      </c>
      <c r="P135" s="15">
        <v>197</v>
      </c>
      <c r="Q135" s="15">
        <v>1931</v>
      </c>
      <c r="R135">
        <v>1.0105263157894737</v>
      </c>
      <c r="S135" s="15">
        <v>42</v>
      </c>
      <c r="T135" t="s">
        <v>385</v>
      </c>
      <c r="U135" s="15" t="str">
        <f>TEXT(EvolucionIncidencia[[#This Row],[Fecha]],"DDDD")</f>
        <v>lunes</v>
      </c>
      <c r="V1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0.64615384615384619</v>
      </c>
      <c r="W1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67.925531914893611</v>
      </c>
      <c r="X135" s="2">
        <f>IF(EvolucionIncidencia[[#This Row],[Fecha]]&lt;=MIN(EvolucionIncidencia[Fecha])+14,"",EvolucionIncidencia[[#This Row],[NuevasAltas]]-EvolucionIncidencia[[#This Row],[Previsión Altas]])</f>
        <v>-25.925531914893611</v>
      </c>
      <c r="Y1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633</v>
      </c>
      <c r="Z1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1182</v>
      </c>
      <c r="AA135" s="2">
        <f>IF(LEN(EvolucionIncidencia[[#This Row],[Nuevos 7 dias]])=0,"",EvolucionIncidencia[[#This Row],[Nuevos 7 dias]]/_xlfn.MAXIFS(EvolucionIncidencia[Nuevos 7 dias],EvolucionIncidencia[Area_Sanitaria],EvolucionIncidencia[[#This Row],[Area_Sanitaria]]))</f>
        <v>0.37279151943462896</v>
      </c>
      <c r="AB135" s="2">
        <f>IF(LEN(EvolucionIncidencia[[#This Row],[Nuevos 14 dias]])=0,"",EvolucionIncidencia[[#This Row],[Nuevos 14 dias]]/_xlfn.MAXIFS(EvolucionIncidencia[Nuevos 14 dias],EvolucionIncidencia[Area_Sanitaria],EvolucionIncidencia[[#This Row],[Area_Sanitaria]]))</f>
        <v>0.3714644877435575</v>
      </c>
    </row>
    <row r="136" spans="1:28" hidden="1" x14ac:dyDescent="0.3">
      <c r="A136" s="1">
        <v>44186</v>
      </c>
      <c r="B136" s="2" t="s">
        <v>2</v>
      </c>
      <c r="C136" s="15">
        <v>11786</v>
      </c>
      <c r="D136" s="15">
        <v>1242</v>
      </c>
      <c r="E136" s="15">
        <v>10292</v>
      </c>
      <c r="F136">
        <v>51</v>
      </c>
      <c r="G136">
        <v>9</v>
      </c>
      <c r="H136" s="15">
        <v>225997</v>
      </c>
      <c r="I136" s="15">
        <v>253</v>
      </c>
      <c r="J136" s="15">
        <v>57462</v>
      </c>
      <c r="K136" s="15">
        <v>46</v>
      </c>
      <c r="L136">
        <v>-4</v>
      </c>
      <c r="M136">
        <v>2</v>
      </c>
      <c r="N136">
        <v>-3</v>
      </c>
      <c r="O136" s="15">
        <v>2499</v>
      </c>
      <c r="P136" s="15">
        <v>127</v>
      </c>
      <c r="Q136" s="15">
        <v>2626</v>
      </c>
      <c r="R136">
        <v>0.9967897271268058</v>
      </c>
      <c r="S136" s="15">
        <v>48</v>
      </c>
      <c r="T136" t="s">
        <v>385</v>
      </c>
      <c r="U136" s="15" t="str">
        <f>TEXT(EvolucionIncidencia[[#This Row],[Fecha]],"DDDD")</f>
        <v>lunes</v>
      </c>
      <c r="V1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1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63.732116939664103</v>
      </c>
      <c r="X136" s="2">
        <f>IF(EvolucionIncidencia[[#This Row],[Fecha]]&lt;=MIN(EvolucionIncidencia[Fecha])+14,"",EvolucionIncidencia[[#This Row],[NuevasAltas]]-EvolucionIncidencia[[#This Row],[Previsión Altas]])</f>
        <v>-15.732116939664103</v>
      </c>
      <c r="Y1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585</v>
      </c>
      <c r="Z1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1095</v>
      </c>
      <c r="AA136" s="2">
        <f>IF(LEN(EvolucionIncidencia[[#This Row],[Nuevos 7 dias]])=0,"",EvolucionIncidencia[[#This Row],[Nuevos 7 dias]]/_xlfn.MAXIFS(EvolucionIncidencia[Nuevos 7 dias],EvolucionIncidencia[Area_Sanitaria],EvolucionIncidencia[[#This Row],[Area_Sanitaria]]))</f>
        <v>0.30170190820010312</v>
      </c>
      <c r="AB136" s="2">
        <f>IF(LEN(EvolucionIncidencia[[#This Row],[Nuevos 14 dias]])=0,"",EvolucionIncidencia[[#This Row],[Nuevos 14 dias]]/_xlfn.MAXIFS(EvolucionIncidencia[Nuevos 14 dias],EvolucionIncidencia[Area_Sanitaria],EvolucionIncidencia[[#This Row],[Area_Sanitaria]]))</f>
        <v>0.30140379851362509</v>
      </c>
    </row>
    <row r="137" spans="1:28" hidden="1" x14ac:dyDescent="0.3">
      <c r="A137" s="1">
        <v>44186</v>
      </c>
      <c r="B137" s="2" t="s">
        <v>3</v>
      </c>
      <c r="C137" s="15">
        <v>59602</v>
      </c>
      <c r="D137" s="15">
        <v>5603</v>
      </c>
      <c r="E137" s="15">
        <v>52658</v>
      </c>
      <c r="F137">
        <v>306</v>
      </c>
      <c r="G137">
        <v>51</v>
      </c>
      <c r="H137" s="15">
        <v>1052713</v>
      </c>
      <c r="I137" s="15">
        <v>1346</v>
      </c>
      <c r="J137" s="15">
        <v>439883</v>
      </c>
      <c r="K137" s="15">
        <v>249</v>
      </c>
      <c r="L137">
        <v>7</v>
      </c>
      <c r="M137">
        <v>5</v>
      </c>
      <c r="N137">
        <v>-2</v>
      </c>
      <c r="O137" s="15">
        <v>6857</v>
      </c>
      <c r="P137" s="15">
        <v>1026</v>
      </c>
      <c r="Q137" s="15">
        <v>7883</v>
      </c>
      <c r="R137">
        <v>1.0012508934953539</v>
      </c>
      <c r="S137" s="15">
        <v>237</v>
      </c>
      <c r="T137" t="s">
        <v>385</v>
      </c>
      <c r="U137" s="15" t="str">
        <f>TEXT(EvolucionIncidencia[[#This Row],[Fecha]],"DDDD")</f>
        <v>lunes</v>
      </c>
      <c r="V1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0.90458015267175573</v>
      </c>
      <c r="W1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309.25135628329059</v>
      </c>
      <c r="X137" s="2">
        <f>IF(EvolucionIncidencia[[#This Row],[Fecha]]&lt;=MIN(EvolucionIncidencia[Fecha])+14,"",EvolucionIncidencia[[#This Row],[NuevasAltas]]-EvolucionIncidencia[[#This Row],[Previsión Altas]])</f>
        <v>-72.25135628329059</v>
      </c>
      <c r="Y1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2500</v>
      </c>
      <c r="Z1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4867</v>
      </c>
      <c r="AA137" s="2">
        <f>IF(LEN(EvolucionIncidencia[[#This Row],[Nuevos 7 dias]])=0,"",EvolucionIncidencia[[#This Row],[Nuevos 7 dias]]/_xlfn.MAXIFS(EvolucionIncidencia[Nuevos 7 dias],EvolucionIncidencia[Area_Sanitaria],EvolucionIncidencia[[#This Row],[Area_Sanitaria]]))</f>
        <v>0.22038081805359661</v>
      </c>
      <c r="AB137" s="2">
        <f>IF(LEN(EvolucionIncidencia[[#This Row],[Nuevos 14 dias]])=0,"",EvolucionIncidencia[[#This Row],[Nuevos 14 dias]]/_xlfn.MAXIFS(EvolucionIncidencia[Nuevos 14 dias],EvolucionIncidencia[Area_Sanitaria],EvolucionIncidencia[[#This Row],[Area_Sanitaria]]))</f>
        <v>0.23333972576469461</v>
      </c>
    </row>
    <row r="138" spans="1:28" hidden="1" x14ac:dyDescent="0.3">
      <c r="A138" s="1">
        <v>44187</v>
      </c>
      <c r="B138" s="2" t="s">
        <v>4</v>
      </c>
      <c r="C138" s="15">
        <v>13090</v>
      </c>
      <c r="D138" s="15">
        <v>880</v>
      </c>
      <c r="E138" s="15">
        <v>11909</v>
      </c>
      <c r="F138">
        <v>56</v>
      </c>
      <c r="G138">
        <v>15</v>
      </c>
      <c r="H138" s="15">
        <v>222182</v>
      </c>
      <c r="I138" s="15">
        <v>305</v>
      </c>
      <c r="J138" s="15">
        <v>76028</v>
      </c>
      <c r="K138" s="15">
        <v>64</v>
      </c>
      <c r="L138">
        <v>14</v>
      </c>
      <c r="M138">
        <v>-7</v>
      </c>
      <c r="N138">
        <v>0</v>
      </c>
      <c r="O138" s="15">
        <v>1705</v>
      </c>
      <c r="P138" s="15">
        <v>197</v>
      </c>
      <c r="Q138" s="15">
        <v>1902</v>
      </c>
      <c r="R138">
        <v>1.0161662817551964</v>
      </c>
      <c r="S138" s="15">
        <v>50</v>
      </c>
      <c r="T138" t="s">
        <v>386</v>
      </c>
      <c r="U138" s="15" t="str">
        <f>TEXT(EvolucionIncidencia[[#This Row],[Fecha]],"DDDD")</f>
        <v>martes</v>
      </c>
      <c r="V1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1.0638297872340425</v>
      </c>
      <c r="W1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53.241500934897161</v>
      </c>
      <c r="X138" s="2">
        <f>IF(EvolucionIncidencia[[#This Row],[Fecha]]&lt;=MIN(EvolucionIncidencia[Fecha])+14,"",EvolucionIncidencia[[#This Row],[NuevasAltas]]-EvolucionIncidencia[[#This Row],[Previsión Altas]])</f>
        <v>-3.2415009348971608</v>
      </c>
      <c r="Y1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389</v>
      </c>
      <c r="Z1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699</v>
      </c>
      <c r="AA138" s="2">
        <f>IF(LEN(EvolucionIncidencia[[#This Row],[Nuevos 7 dias]])=0,"",EvolucionIncidencia[[#This Row],[Nuevos 7 dias]]/_xlfn.MAXIFS(EvolucionIncidencia[Nuevos 7 dias],EvolucionIncidencia[Area_Sanitaria],EvolucionIncidencia[[#This Row],[Area_Sanitaria]]))</f>
        <v>0.130580731789191</v>
      </c>
      <c r="AB138" s="2">
        <f>IF(LEN(EvolucionIncidencia[[#This Row],[Nuevos 14 dias]])=0,"",EvolucionIncidencia[[#This Row],[Nuevos 14 dias]]/_xlfn.MAXIFS(EvolucionIncidencia[Nuevos 14 dias],EvolucionIncidencia[Area_Sanitaria],EvolucionIncidencia[[#This Row],[Area_Sanitaria]]))</f>
        <v>0.12856354607320214</v>
      </c>
    </row>
    <row r="139" spans="1:28" hidden="1" x14ac:dyDescent="0.3">
      <c r="A139" s="1">
        <v>44187</v>
      </c>
      <c r="B139" s="2" t="s">
        <v>5</v>
      </c>
      <c r="C139" s="15">
        <v>3846</v>
      </c>
      <c r="D139" s="15">
        <v>426</v>
      </c>
      <c r="E139" s="15">
        <v>3333</v>
      </c>
      <c r="F139">
        <v>30</v>
      </c>
      <c r="G139">
        <v>3</v>
      </c>
      <c r="H139" s="15">
        <v>73442</v>
      </c>
      <c r="I139" s="15">
        <v>85</v>
      </c>
      <c r="J139" s="15">
        <v>29928</v>
      </c>
      <c r="K139" s="15">
        <v>17</v>
      </c>
      <c r="L139">
        <v>-20</v>
      </c>
      <c r="M139">
        <v>-3</v>
      </c>
      <c r="N139">
        <v>-1</v>
      </c>
      <c r="O139" s="15">
        <v>841</v>
      </c>
      <c r="P139" s="15">
        <v>57</v>
      </c>
      <c r="Q139" s="15">
        <v>898</v>
      </c>
      <c r="R139">
        <v>0.95515695067264572</v>
      </c>
      <c r="S139" s="15">
        <v>37</v>
      </c>
      <c r="T139" t="s">
        <v>386</v>
      </c>
      <c r="U139" s="15" t="str">
        <f>TEXT(EvolucionIncidencia[[#This Row],[Fecha]],"DDDD")</f>
        <v>martes</v>
      </c>
      <c r="V1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0.72549019607843135</v>
      </c>
      <c r="W1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87.407306763285021</v>
      </c>
      <c r="X139" s="2">
        <f>IF(EvolucionIncidencia[[#This Row],[Fecha]]&lt;=MIN(EvolucionIncidencia[Fecha])+14,"",EvolucionIncidencia[[#This Row],[NuevasAltas]]-EvolucionIncidencia[[#This Row],[Previsión Altas]])</f>
        <v>-50.407306763285021</v>
      </c>
      <c r="Y1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v>
      </c>
      <c r="Z1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313</v>
      </c>
      <c r="AA139" s="2">
        <f>IF(LEN(EvolucionIncidencia[[#This Row],[Nuevos 7 dias]])=0,"",EvolucionIncidencia[[#This Row],[Nuevos 7 dias]]/_xlfn.MAXIFS(EvolucionIncidencia[Nuevos 7 dias],EvolucionIncidencia[Area_Sanitaria],EvolucionIncidencia[[#This Row],[Area_Sanitaria]]))</f>
        <v>0.12934131736526946</v>
      </c>
      <c r="AB139" s="2">
        <f>IF(LEN(EvolucionIncidencia[[#This Row],[Nuevos 14 dias]])=0,"",EvolucionIncidencia[[#This Row],[Nuevos 14 dias]]/_xlfn.MAXIFS(EvolucionIncidencia[Nuevos 14 dias],EvolucionIncidencia[Area_Sanitaria],EvolucionIncidencia[[#This Row],[Area_Sanitaria]]))</f>
        <v>0.19097010372178158</v>
      </c>
    </row>
    <row r="140" spans="1:28" hidden="1" x14ac:dyDescent="0.3">
      <c r="A140" s="1">
        <v>44187</v>
      </c>
      <c r="B140" s="2" t="s">
        <v>8</v>
      </c>
      <c r="C140" s="15">
        <v>6841</v>
      </c>
      <c r="D140" s="15">
        <v>356</v>
      </c>
      <c r="E140" s="15">
        <v>6339</v>
      </c>
      <c r="F140">
        <v>9</v>
      </c>
      <c r="G140">
        <v>4</v>
      </c>
      <c r="H140" s="15">
        <v>119586</v>
      </c>
      <c r="I140" s="15">
        <v>144</v>
      </c>
      <c r="J140" s="15">
        <v>74133</v>
      </c>
      <c r="K140" s="15">
        <v>26</v>
      </c>
      <c r="L140">
        <v>-4</v>
      </c>
      <c r="M140">
        <v>-5</v>
      </c>
      <c r="N140">
        <v>0</v>
      </c>
      <c r="O140" s="15">
        <v>844</v>
      </c>
      <c r="P140" s="15">
        <v>106</v>
      </c>
      <c r="Q140" s="15">
        <v>950</v>
      </c>
      <c r="R140">
        <v>0.98888888888888893</v>
      </c>
      <c r="S140" s="15">
        <v>29</v>
      </c>
      <c r="T140" t="s">
        <v>386</v>
      </c>
      <c r="U140" s="15" t="str">
        <f>TEXT(EvolucionIncidencia[[#This Row],[Fecha]],"DDDD")</f>
        <v>martes</v>
      </c>
      <c r="V1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0.96666666666666667</v>
      </c>
      <c r="W1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39.885057471264368</v>
      </c>
      <c r="X140" s="2">
        <f>IF(EvolucionIncidencia[[#This Row],[Fecha]]&lt;=MIN(EvolucionIncidencia[Fecha])+14,"",EvolucionIncidencia[[#This Row],[NuevasAltas]]-EvolucionIncidencia[[#This Row],[Previsión Altas]])</f>
        <v>-10.885057471264368</v>
      </c>
      <c r="Y1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156</v>
      </c>
      <c r="Z1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309</v>
      </c>
      <c r="AA140" s="2">
        <f>IF(LEN(EvolucionIncidencia[[#This Row],[Nuevos 7 dias]])=0,"",EvolucionIncidencia[[#This Row],[Nuevos 7 dias]]/_xlfn.MAXIFS(EvolucionIncidencia[Nuevos 7 dias],EvolucionIncidencia[Area_Sanitaria],EvolucionIncidencia[[#This Row],[Area_Sanitaria]]))</f>
        <v>0.1410488245931284</v>
      </c>
      <c r="AB140" s="2">
        <f>IF(LEN(EvolucionIncidencia[[#This Row],[Nuevos 14 dias]])=0,"",EvolucionIncidencia[[#This Row],[Nuevos 14 dias]]/_xlfn.MAXIFS(EvolucionIncidencia[Nuevos 14 dias],EvolucionIncidencia[Area_Sanitaria],EvolucionIncidencia[[#This Row],[Area_Sanitaria]]))</f>
        <v>0.15606060606060607</v>
      </c>
    </row>
    <row r="141" spans="1:28" hidden="1" x14ac:dyDescent="0.3">
      <c r="A141" s="1">
        <v>44187</v>
      </c>
      <c r="B141" s="2" t="s">
        <v>9</v>
      </c>
      <c r="C141" s="15">
        <v>8232</v>
      </c>
      <c r="D141" s="15">
        <v>506</v>
      </c>
      <c r="E141" s="15">
        <v>7418</v>
      </c>
      <c r="F141">
        <v>24</v>
      </c>
      <c r="G141">
        <v>4</v>
      </c>
      <c r="H141" s="15">
        <v>131359</v>
      </c>
      <c r="I141" s="15">
        <v>307</v>
      </c>
      <c r="J141" s="15">
        <v>66797</v>
      </c>
      <c r="K141" s="15">
        <v>27</v>
      </c>
      <c r="L141">
        <v>-13</v>
      </c>
      <c r="M141">
        <v>-6</v>
      </c>
      <c r="N141">
        <v>0</v>
      </c>
      <c r="O141" s="15">
        <v>657</v>
      </c>
      <c r="P141" s="15">
        <v>110</v>
      </c>
      <c r="Q141" s="15">
        <v>767</v>
      </c>
      <c r="R141">
        <v>0.97495183044315992</v>
      </c>
      <c r="S141" s="15">
        <v>40</v>
      </c>
      <c r="T141" t="s">
        <v>386</v>
      </c>
      <c r="U141" s="15" t="str">
        <f>TEXT(EvolucionIncidencia[[#This Row],[Fecha]],"DDDD")</f>
        <v>martes</v>
      </c>
      <c r="V1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1.1764705882352942</v>
      </c>
      <c r="W1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34.492753623188399</v>
      </c>
      <c r="X141" s="2">
        <f>IF(EvolucionIncidencia[[#This Row],[Fecha]]&lt;=MIN(EvolucionIncidencia[Fecha])+14,"",EvolucionIncidencia[[#This Row],[NuevasAltas]]-EvolucionIncidencia[[#This Row],[Previsión Altas]])</f>
        <v>5.5072463768116009</v>
      </c>
      <c r="Y1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252</v>
      </c>
      <c r="Z1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480</v>
      </c>
      <c r="AA141" s="2">
        <f>IF(LEN(EvolucionIncidencia[[#This Row],[Nuevos 7 dias]])=0,"",EvolucionIncidencia[[#This Row],[Nuevos 7 dias]]/_xlfn.MAXIFS(EvolucionIncidencia[Nuevos 7 dias],EvolucionIncidencia[Area_Sanitaria],EvolucionIncidencia[[#This Row],[Area_Sanitaria]]))</f>
        <v>0.16061185468451242</v>
      </c>
      <c r="AB141" s="2">
        <f>IF(LEN(EvolucionIncidencia[[#This Row],[Nuevos 14 dias]])=0,"",EvolucionIncidencia[[#This Row],[Nuevos 14 dias]]/_xlfn.MAXIFS(EvolucionIncidencia[Nuevos 14 dias],EvolucionIncidencia[Area_Sanitaria],EvolucionIncidencia[[#This Row],[Area_Sanitaria]]))</f>
        <v>0.16955139526669022</v>
      </c>
    </row>
    <row r="142" spans="1:28" x14ac:dyDescent="0.3">
      <c r="A142" s="1">
        <v>44187</v>
      </c>
      <c r="B142" s="2" t="s">
        <v>6</v>
      </c>
      <c r="C142" s="15">
        <v>6579</v>
      </c>
      <c r="D142" s="15">
        <v>911</v>
      </c>
      <c r="E142" s="15">
        <v>5595</v>
      </c>
      <c r="F142">
        <v>42</v>
      </c>
      <c r="G142">
        <v>6</v>
      </c>
      <c r="H142" s="15">
        <v>108212</v>
      </c>
      <c r="I142" s="15">
        <v>76</v>
      </c>
      <c r="J142" s="15">
        <v>45477</v>
      </c>
      <c r="K142" s="15">
        <v>36</v>
      </c>
      <c r="L142">
        <v>-11</v>
      </c>
      <c r="M142">
        <v>0</v>
      </c>
      <c r="N142">
        <v>-2</v>
      </c>
      <c r="O142" s="15">
        <v>881</v>
      </c>
      <c r="P142" s="15">
        <v>120</v>
      </c>
      <c r="Q142" s="15">
        <v>1001</v>
      </c>
      <c r="R142">
        <v>0.98806941431670281</v>
      </c>
      <c r="S142" s="15">
        <v>47</v>
      </c>
      <c r="T142" t="s">
        <v>386</v>
      </c>
      <c r="U142" s="15" t="str">
        <f>TEXT(EvolucionIncidencia[[#This Row],[Fecha]],"DDDD")</f>
        <v>martes</v>
      </c>
      <c r="V1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0.97916666666666663</v>
      </c>
      <c r="W1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55.338247338247342</v>
      </c>
      <c r="X142" s="2">
        <f>IF(EvolucionIncidencia[[#This Row],[Fecha]]&lt;=MIN(EvolucionIncidencia[Fecha])+14,"",EvolucionIncidencia[[#This Row],[NuevasAltas]]-EvolucionIncidencia[[#This Row],[Previsión Altas]])</f>
        <v>-8.3382473382473421</v>
      </c>
      <c r="Y1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362</v>
      </c>
      <c r="Z1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749</v>
      </c>
      <c r="AA142" s="2">
        <f>IF(LEN(EvolucionIncidencia[[#This Row],[Nuevos 7 dias]])=0,"",EvolucionIncidencia[[#This Row],[Nuevos 7 dias]]/_xlfn.MAXIFS(EvolucionIncidencia[Nuevos 7 dias],EvolucionIncidencia[Area_Sanitaria],EvolucionIncidencia[[#This Row],[Area_Sanitaria]]))</f>
        <v>0.2752851711026616</v>
      </c>
      <c r="AB142" s="2">
        <f>IF(LEN(EvolucionIncidencia[[#This Row],[Nuevos 14 dias]])=0,"",EvolucionIncidencia[[#This Row],[Nuevos 14 dias]]/_xlfn.MAXIFS(EvolucionIncidencia[Nuevos 14 dias],EvolucionIncidencia[Area_Sanitaria],EvolucionIncidencia[[#This Row],[Area_Sanitaria]]))</f>
        <v>0.3081036610448375</v>
      </c>
    </row>
    <row r="143" spans="1:28" hidden="1" x14ac:dyDescent="0.3">
      <c r="A143" s="1">
        <v>44187</v>
      </c>
      <c r="B143" s="2" t="s">
        <v>7</v>
      </c>
      <c r="C143" s="15">
        <v>9478</v>
      </c>
      <c r="D143" s="15">
        <v>1270</v>
      </c>
      <c r="E143" s="15">
        <v>8031</v>
      </c>
      <c r="F143">
        <v>76</v>
      </c>
      <c r="G143">
        <v>5</v>
      </c>
      <c r="H143" s="15">
        <v>178364</v>
      </c>
      <c r="I143" s="15">
        <v>179</v>
      </c>
      <c r="J143" s="15">
        <v>90898</v>
      </c>
      <c r="K143" s="15">
        <v>80</v>
      </c>
      <c r="L143">
        <v>22</v>
      </c>
      <c r="M143">
        <v>3</v>
      </c>
      <c r="N143">
        <v>-2</v>
      </c>
      <c r="O143" s="15">
        <v>1501</v>
      </c>
      <c r="P143" s="15">
        <v>250</v>
      </c>
      <c r="Q143" s="15">
        <v>1751</v>
      </c>
      <c r="R143">
        <v>1.0176282051282051</v>
      </c>
      <c r="S143" s="15">
        <v>56</v>
      </c>
      <c r="T143" t="s">
        <v>386</v>
      </c>
      <c r="U143" s="15" t="str">
        <f>TEXT(EvolucionIncidencia[[#This Row],[Fecha]],"DDDD")</f>
        <v>martes</v>
      </c>
      <c r="V1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1.0566037735849056</v>
      </c>
      <c r="W1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48.339007092198578</v>
      </c>
      <c r="X143" s="2">
        <f>IF(EvolucionIncidencia[[#This Row],[Fecha]]&lt;=MIN(EvolucionIncidencia[Fecha])+14,"",EvolucionIncidencia[[#This Row],[NuevasAltas]]-EvolucionIncidencia[[#This Row],[Previsión Altas]])</f>
        <v>7.6609929078014218</v>
      </c>
      <c r="Y1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595</v>
      </c>
      <c r="Z1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1209</v>
      </c>
      <c r="AA143" s="2">
        <f>IF(LEN(EvolucionIncidencia[[#This Row],[Nuevos 7 dias]])=0,"",EvolucionIncidencia[[#This Row],[Nuevos 7 dias]]/_xlfn.MAXIFS(EvolucionIncidencia[Nuevos 7 dias],EvolucionIncidencia[Area_Sanitaria],EvolucionIncidencia[[#This Row],[Area_Sanitaria]]))</f>
        <v>0.35041224970553592</v>
      </c>
      <c r="AB143" s="2">
        <f>IF(LEN(EvolucionIncidencia[[#This Row],[Nuevos 14 dias]])=0,"",EvolucionIncidencia[[#This Row],[Nuevos 14 dias]]/_xlfn.MAXIFS(EvolucionIncidencia[Nuevos 14 dias],EvolucionIncidencia[Area_Sanitaria],EvolucionIncidencia[[#This Row],[Area_Sanitaria]]))</f>
        <v>0.37994971715901948</v>
      </c>
    </row>
    <row r="144" spans="1:28" hidden="1" x14ac:dyDescent="0.3">
      <c r="A144" s="1">
        <v>44187</v>
      </c>
      <c r="B144" s="2" t="s">
        <v>2</v>
      </c>
      <c r="C144" s="15">
        <v>11878</v>
      </c>
      <c r="D144" s="15">
        <v>1216</v>
      </c>
      <c r="E144" s="15">
        <v>10409</v>
      </c>
      <c r="F144">
        <v>56</v>
      </c>
      <c r="G144">
        <v>11</v>
      </c>
      <c r="H144" s="15">
        <v>228944</v>
      </c>
      <c r="I144" s="15">
        <v>254</v>
      </c>
      <c r="J144" s="15">
        <v>57574</v>
      </c>
      <c r="K144" s="15">
        <v>92</v>
      </c>
      <c r="L144">
        <v>-26</v>
      </c>
      <c r="M144">
        <v>5</v>
      </c>
      <c r="N144">
        <v>2</v>
      </c>
      <c r="O144" s="15">
        <v>2947</v>
      </c>
      <c r="P144" s="15">
        <v>112</v>
      </c>
      <c r="Q144" s="15">
        <v>3059</v>
      </c>
      <c r="R144">
        <v>0.97906602254428343</v>
      </c>
      <c r="S144" s="15">
        <v>117</v>
      </c>
      <c r="T144" t="s">
        <v>386</v>
      </c>
      <c r="U144" s="15" t="str">
        <f>TEXT(EvolucionIncidencia[[#This Row],[Fecha]],"DDDD")</f>
        <v>martes</v>
      </c>
      <c r="V1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1.481012658227848</v>
      </c>
      <c r="W1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77.009302647038481</v>
      </c>
      <c r="X144" s="2">
        <f>IF(EvolucionIncidencia[[#This Row],[Fecha]]&lt;=MIN(EvolucionIncidencia[Fecha])+14,"",EvolucionIncidencia[[#This Row],[NuevasAltas]]-EvolucionIncidencia[[#This Row],[Previsión Altas]])</f>
        <v>39.990697352961519</v>
      </c>
      <c r="Y1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556</v>
      </c>
      <c r="Z1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1108</v>
      </c>
      <c r="AA144" s="2">
        <f>IF(LEN(EvolucionIncidencia[[#This Row],[Nuevos 7 dias]])=0,"",EvolucionIncidencia[[#This Row],[Nuevos 7 dias]]/_xlfn.MAXIFS(EvolucionIncidencia[Nuevos 7 dias],EvolucionIncidencia[Area_Sanitaria],EvolucionIncidencia[[#This Row],[Area_Sanitaria]]))</f>
        <v>0.28674574522949975</v>
      </c>
      <c r="AB144" s="2">
        <f>IF(LEN(EvolucionIncidencia[[#This Row],[Nuevos 14 dias]])=0,"",EvolucionIncidencia[[#This Row],[Nuevos 14 dias]]/_xlfn.MAXIFS(EvolucionIncidencia[Nuevos 14 dias],EvolucionIncidencia[Area_Sanitaria],EvolucionIncidencia[[#This Row],[Area_Sanitaria]]))</f>
        <v>0.30498210845031654</v>
      </c>
    </row>
    <row r="145" spans="1:28" hidden="1" x14ac:dyDescent="0.3">
      <c r="A145" s="1">
        <v>44187</v>
      </c>
      <c r="B145" s="2" t="s">
        <v>3</v>
      </c>
      <c r="C145" s="15">
        <v>59944</v>
      </c>
      <c r="D145" s="15">
        <v>5565</v>
      </c>
      <c r="E145" s="15">
        <v>53034</v>
      </c>
      <c r="F145">
        <v>293</v>
      </c>
      <c r="G145">
        <v>48</v>
      </c>
      <c r="H145" s="15">
        <v>1062089</v>
      </c>
      <c r="I145" s="15">
        <v>1350</v>
      </c>
      <c r="J145" s="15">
        <v>440835</v>
      </c>
      <c r="K145" s="15">
        <v>342</v>
      </c>
      <c r="L145">
        <v>-38</v>
      </c>
      <c r="M145">
        <v>-13</v>
      </c>
      <c r="N145">
        <v>-3</v>
      </c>
      <c r="O145" s="15">
        <v>9376</v>
      </c>
      <c r="P145" s="15">
        <v>952</v>
      </c>
      <c r="Q145" s="15">
        <v>10328</v>
      </c>
      <c r="R145">
        <v>0.99321791897197931</v>
      </c>
      <c r="S145" s="15">
        <v>376</v>
      </c>
      <c r="T145" t="s">
        <v>386</v>
      </c>
      <c r="U145" s="15" t="str">
        <f>TEXT(EvolucionIncidencia[[#This Row],[Fecha]],"DDDD")</f>
        <v>martes</v>
      </c>
      <c r="V1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1.0994152046783625</v>
      </c>
      <c r="W1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372.24163829232918</v>
      </c>
      <c r="X145" s="2">
        <f>IF(EvolucionIncidencia[[#This Row],[Fecha]]&lt;=MIN(EvolucionIncidencia[Fecha])+14,"",EvolucionIncidencia[[#This Row],[NuevasAltas]]-EvolucionIncidencia[[#This Row],[Previsión Altas]])</f>
        <v>3.7583617076708151</v>
      </c>
      <c r="Y1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2418</v>
      </c>
      <c r="Z1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4867</v>
      </c>
      <c r="AA145" s="2">
        <f>IF(LEN(EvolucionIncidencia[[#This Row],[Nuevos 7 dias]])=0,"",EvolucionIncidencia[[#This Row],[Nuevos 7 dias]]/_xlfn.MAXIFS(EvolucionIncidencia[Nuevos 7 dias],EvolucionIncidencia[Area_Sanitaria],EvolucionIncidencia[[#This Row],[Area_Sanitaria]]))</f>
        <v>0.21315232722143865</v>
      </c>
      <c r="AB145" s="2">
        <f>IF(LEN(EvolucionIncidencia[[#This Row],[Nuevos 14 dias]])=0,"",EvolucionIncidencia[[#This Row],[Nuevos 14 dias]]/_xlfn.MAXIFS(EvolucionIncidencia[Nuevos 14 dias],EvolucionIncidencia[Area_Sanitaria],EvolucionIncidencia[[#This Row],[Area_Sanitaria]]))</f>
        <v>0.23333972576469461</v>
      </c>
    </row>
    <row r="146" spans="1:28" hidden="1" x14ac:dyDescent="0.3">
      <c r="A146" s="1">
        <v>44188</v>
      </c>
      <c r="B146" s="2" t="s">
        <v>4</v>
      </c>
      <c r="C146" s="15">
        <v>13150</v>
      </c>
      <c r="D146" s="15">
        <v>878</v>
      </c>
      <c r="E146" s="15">
        <v>11971</v>
      </c>
      <c r="F146">
        <v>55</v>
      </c>
      <c r="G146">
        <v>17</v>
      </c>
      <c r="H146" s="15">
        <v>224846</v>
      </c>
      <c r="I146" s="15">
        <v>305</v>
      </c>
      <c r="J146" s="15">
        <v>76244</v>
      </c>
      <c r="K146" s="15">
        <v>60</v>
      </c>
      <c r="L146">
        <v>-2</v>
      </c>
      <c r="M146">
        <v>-1</v>
      </c>
      <c r="N146">
        <v>2</v>
      </c>
      <c r="O146" s="15">
        <v>2664</v>
      </c>
      <c r="P146" s="15">
        <v>216</v>
      </c>
      <c r="Q146" s="15">
        <v>2880</v>
      </c>
      <c r="R146">
        <v>0.99772727272727268</v>
      </c>
      <c r="S146" s="15">
        <v>62</v>
      </c>
      <c r="T146" t="s">
        <v>367</v>
      </c>
      <c r="U146" s="15" t="str">
        <f>TEXT(EvolucionIncidencia[[#This Row],[Fecha]],"DDDD")</f>
        <v>miércoles</v>
      </c>
      <c r="V1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1.441860465116279</v>
      </c>
      <c r="W1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47.968902237243263</v>
      </c>
      <c r="X146" s="2">
        <f>IF(EvolucionIncidencia[[#This Row],[Fecha]]&lt;=MIN(EvolucionIncidencia[Fecha])+14,"",EvolucionIncidencia[[#This Row],[NuevasAltas]]-EvolucionIncidencia[[#This Row],[Previsión Altas]])</f>
        <v>14.031097762756737</v>
      </c>
      <c r="Y1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388</v>
      </c>
      <c r="Z1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716</v>
      </c>
      <c r="AA146" s="2">
        <f>IF(LEN(EvolucionIncidencia[[#This Row],[Nuevos 7 dias]])=0,"",EvolucionIncidencia[[#This Row],[Nuevos 7 dias]]/_xlfn.MAXIFS(EvolucionIncidencia[Nuevos 7 dias],EvolucionIncidencia[Area_Sanitaria],EvolucionIncidencia[[#This Row],[Area_Sanitaria]]))</f>
        <v>0.13024504867405171</v>
      </c>
      <c r="AB146" s="2">
        <f>IF(LEN(EvolucionIncidencia[[#This Row],[Nuevos 14 dias]])=0,"",EvolucionIncidencia[[#This Row],[Nuevos 14 dias]]/_xlfn.MAXIFS(EvolucionIncidencia[Nuevos 14 dias],EvolucionIncidencia[Area_Sanitaria],EvolucionIncidencia[[#This Row],[Area_Sanitaria]]))</f>
        <v>0.13169027036968917</v>
      </c>
    </row>
    <row r="147" spans="1:28" hidden="1" x14ac:dyDescent="0.3">
      <c r="A147" s="1">
        <v>44188</v>
      </c>
      <c r="B147" s="2" t="s">
        <v>5</v>
      </c>
      <c r="C147" s="15">
        <v>3866</v>
      </c>
      <c r="D147" s="15">
        <v>395</v>
      </c>
      <c r="E147" s="15">
        <v>3384</v>
      </c>
      <c r="F147">
        <v>30</v>
      </c>
      <c r="G147">
        <v>2</v>
      </c>
      <c r="H147" s="15">
        <v>74153</v>
      </c>
      <c r="I147" s="15">
        <v>85</v>
      </c>
      <c r="J147" s="15">
        <v>29966</v>
      </c>
      <c r="K147" s="15">
        <v>20</v>
      </c>
      <c r="L147">
        <v>-31</v>
      </c>
      <c r="M147">
        <v>0</v>
      </c>
      <c r="N147">
        <v>-1</v>
      </c>
      <c r="O147" s="15">
        <v>711</v>
      </c>
      <c r="P147" s="15">
        <v>38</v>
      </c>
      <c r="Q147" s="15">
        <v>749</v>
      </c>
      <c r="R147">
        <v>0.92723004694835676</v>
      </c>
      <c r="S147" s="15">
        <v>51</v>
      </c>
      <c r="T147" t="s">
        <v>367</v>
      </c>
      <c r="U147" s="15" t="str">
        <f>TEXT(EvolucionIncidencia[[#This Row],[Fecha]],"DDDD")</f>
        <v>miércoles</v>
      </c>
      <c r="V1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2.125</v>
      </c>
      <c r="W1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35.202578857630009</v>
      </c>
      <c r="X147" s="2">
        <f>IF(EvolucionIncidencia[[#This Row],[Fecha]]&lt;=MIN(EvolucionIncidencia[Fecha])+14,"",EvolucionIncidencia[[#This Row],[NuevasAltas]]-EvolucionIncidencia[[#This Row],[Previsión Altas]])</f>
        <v>15.797421142369991</v>
      </c>
      <c r="Y1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v>
      </c>
      <c r="Z1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309</v>
      </c>
      <c r="AA147" s="2">
        <f>IF(LEN(EvolucionIncidencia[[#This Row],[Nuevos 7 dias]])=0,"",EvolucionIncidencia[[#This Row],[Nuevos 7 dias]]/_xlfn.MAXIFS(EvolucionIncidencia[Nuevos 7 dias],EvolucionIncidencia[Area_Sanitaria],EvolucionIncidencia[[#This Row],[Area_Sanitaria]]))</f>
        <v>0.1341317365269461</v>
      </c>
      <c r="AB147" s="2">
        <f>IF(LEN(EvolucionIncidencia[[#This Row],[Nuevos 14 dias]])=0,"",EvolucionIncidencia[[#This Row],[Nuevos 14 dias]]/_xlfn.MAXIFS(EvolucionIncidencia[Nuevos 14 dias],EvolucionIncidencia[Area_Sanitaria],EvolucionIncidencia[[#This Row],[Area_Sanitaria]]))</f>
        <v>0.18852959121415497</v>
      </c>
    </row>
    <row r="148" spans="1:28" hidden="1" x14ac:dyDescent="0.3">
      <c r="A148" s="1">
        <v>44188</v>
      </c>
      <c r="B148" s="2" t="s">
        <v>8</v>
      </c>
      <c r="C148" s="15">
        <v>6876</v>
      </c>
      <c r="D148" s="15">
        <v>370</v>
      </c>
      <c r="E148" s="15">
        <v>6360</v>
      </c>
      <c r="F148">
        <v>10</v>
      </c>
      <c r="G148">
        <v>3</v>
      </c>
      <c r="H148" s="15">
        <v>120792</v>
      </c>
      <c r="I148" s="15">
        <v>144</v>
      </c>
      <c r="J148" s="15">
        <v>74228</v>
      </c>
      <c r="K148" s="15">
        <v>35</v>
      </c>
      <c r="L148">
        <v>14</v>
      </c>
      <c r="M148">
        <v>1</v>
      </c>
      <c r="N148">
        <v>-1</v>
      </c>
      <c r="O148" s="15">
        <v>1206</v>
      </c>
      <c r="P148" s="15">
        <v>95</v>
      </c>
      <c r="Q148" s="15">
        <v>1301</v>
      </c>
      <c r="R148">
        <v>1.0393258426966292</v>
      </c>
      <c r="S148" s="15">
        <v>21</v>
      </c>
      <c r="T148" t="s">
        <v>367</v>
      </c>
      <c r="U148" s="15" t="str">
        <f>TEXT(EvolucionIncidencia[[#This Row],[Fecha]],"DDDD")</f>
        <v>miércoles</v>
      </c>
      <c r="V1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v>
      </c>
      <c r="W1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24.775862068965516</v>
      </c>
      <c r="X148" s="2">
        <f>IF(EvolucionIncidencia[[#This Row],[Fecha]]&lt;=MIN(EvolucionIncidencia[Fecha])+14,"",EvolucionIncidencia[[#This Row],[NuevasAltas]]-EvolucionIncidencia[[#This Row],[Previsión Altas]])</f>
        <v>-3.775862068965516</v>
      </c>
      <c r="Y1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168</v>
      </c>
      <c r="Z1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324</v>
      </c>
      <c r="AA148" s="2">
        <f>IF(LEN(EvolucionIncidencia[[#This Row],[Nuevos 7 dias]])=0,"",EvolucionIncidencia[[#This Row],[Nuevos 7 dias]]/_xlfn.MAXIFS(EvolucionIncidencia[Nuevos 7 dias],EvolucionIncidencia[Area_Sanitaria],EvolucionIncidencia[[#This Row],[Area_Sanitaria]]))</f>
        <v>0.15189873417721519</v>
      </c>
      <c r="AB148" s="2">
        <f>IF(LEN(EvolucionIncidencia[[#This Row],[Nuevos 14 dias]])=0,"",EvolucionIncidencia[[#This Row],[Nuevos 14 dias]]/_xlfn.MAXIFS(EvolucionIncidencia[Nuevos 14 dias],EvolucionIncidencia[Area_Sanitaria],EvolucionIncidencia[[#This Row],[Area_Sanitaria]]))</f>
        <v>0.16363636363636364</v>
      </c>
    </row>
    <row r="149" spans="1:28" hidden="1" x14ac:dyDescent="0.3">
      <c r="A149" s="1">
        <v>44188</v>
      </c>
      <c r="B149" s="2" t="s">
        <v>9</v>
      </c>
      <c r="C149" s="15">
        <v>8277</v>
      </c>
      <c r="D149" s="15">
        <v>522</v>
      </c>
      <c r="E149" s="15">
        <v>7446</v>
      </c>
      <c r="F149">
        <v>27</v>
      </c>
      <c r="G149">
        <v>4</v>
      </c>
      <c r="H149" s="15">
        <v>132051</v>
      </c>
      <c r="I149" s="15">
        <v>308</v>
      </c>
      <c r="J149" s="15">
        <v>66920</v>
      </c>
      <c r="K149" s="15">
        <v>45</v>
      </c>
      <c r="L149">
        <v>16</v>
      </c>
      <c r="M149">
        <v>3</v>
      </c>
      <c r="N149">
        <v>0</v>
      </c>
      <c r="O149" s="15">
        <v>692</v>
      </c>
      <c r="P149" s="15">
        <v>123</v>
      </c>
      <c r="Q149" s="15">
        <v>815</v>
      </c>
      <c r="R149">
        <v>1.0316205533596838</v>
      </c>
      <c r="S149" s="15">
        <v>28</v>
      </c>
      <c r="T149" t="s">
        <v>367</v>
      </c>
      <c r="U149" s="15" t="str">
        <f>TEXT(EvolucionIncidencia[[#This Row],[Fecha]],"DDDD")</f>
        <v>miércoles</v>
      </c>
      <c r="V1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0.90322580645161288</v>
      </c>
      <c r="W1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32.704603580562654</v>
      </c>
      <c r="X149" s="2">
        <f>IF(EvolucionIncidencia[[#This Row],[Fecha]]&lt;=MIN(EvolucionIncidencia[Fecha])+14,"",EvolucionIncidencia[[#This Row],[NuevasAltas]]-EvolucionIncidencia[[#This Row],[Previsión Altas]])</f>
        <v>-4.7046035805626545</v>
      </c>
      <c r="Y1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256</v>
      </c>
      <c r="Z1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494</v>
      </c>
      <c r="AA149" s="2">
        <f>IF(LEN(EvolucionIncidencia[[#This Row],[Nuevos 7 dias]])=0,"",EvolucionIncidencia[[#This Row],[Nuevos 7 dias]]/_xlfn.MAXIFS(EvolucionIncidencia[Nuevos 7 dias],EvolucionIncidencia[Area_Sanitaria],EvolucionIncidencia[[#This Row],[Area_Sanitaria]]))</f>
        <v>0.16316124920331421</v>
      </c>
      <c r="AB149" s="2">
        <f>IF(LEN(EvolucionIncidencia[[#This Row],[Nuevos 14 dias]])=0,"",EvolucionIncidencia[[#This Row],[Nuevos 14 dias]]/_xlfn.MAXIFS(EvolucionIncidencia[Nuevos 14 dias],EvolucionIncidencia[Area_Sanitaria],EvolucionIncidencia[[#This Row],[Area_Sanitaria]]))</f>
        <v>0.17449664429530201</v>
      </c>
    </row>
    <row r="150" spans="1:28" x14ac:dyDescent="0.3">
      <c r="A150" s="1">
        <v>44188</v>
      </c>
      <c r="B150" s="2" t="s">
        <v>6</v>
      </c>
      <c r="C150" s="15">
        <v>6639</v>
      </c>
      <c r="D150" s="15">
        <v>904</v>
      </c>
      <c r="E150" s="15">
        <v>5662</v>
      </c>
      <c r="F150">
        <v>40</v>
      </c>
      <c r="G150">
        <v>8</v>
      </c>
      <c r="H150" s="15">
        <v>109184</v>
      </c>
      <c r="I150" s="15">
        <v>76</v>
      </c>
      <c r="J150" s="15">
        <v>45607</v>
      </c>
      <c r="K150" s="15">
        <v>60</v>
      </c>
      <c r="L150">
        <v>-7</v>
      </c>
      <c r="M150">
        <v>-2</v>
      </c>
      <c r="N150">
        <v>2</v>
      </c>
      <c r="O150" s="15">
        <v>972</v>
      </c>
      <c r="P150" s="15">
        <v>130</v>
      </c>
      <c r="Q150" s="15">
        <v>1102</v>
      </c>
      <c r="R150">
        <v>0.99231613611416025</v>
      </c>
      <c r="S150" s="15">
        <v>67</v>
      </c>
      <c r="T150" t="s">
        <v>367</v>
      </c>
      <c r="U150" s="15" t="str">
        <f>TEXT(EvolucionIncidencia[[#This Row],[Fecha]],"DDDD")</f>
        <v>miércoles</v>
      </c>
      <c r="V1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1.7179487179487178</v>
      </c>
      <c r="W1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43.268619471744479</v>
      </c>
      <c r="X150" s="2">
        <f>IF(EvolucionIncidencia[[#This Row],[Fecha]]&lt;=MIN(EvolucionIncidencia[Fecha])+14,"",EvolucionIncidencia[[#This Row],[NuevasAltas]]-EvolucionIncidencia[[#This Row],[Previsión Altas]])</f>
        <v>23.731380528255521</v>
      </c>
      <c r="Y1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361</v>
      </c>
      <c r="Z1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770</v>
      </c>
      <c r="AA150" s="2">
        <f>IF(LEN(EvolucionIncidencia[[#This Row],[Nuevos 7 dias]])=0,"",EvolucionIncidencia[[#This Row],[Nuevos 7 dias]]/_xlfn.MAXIFS(EvolucionIncidencia[Nuevos 7 dias],EvolucionIncidencia[Area_Sanitaria],EvolucionIncidencia[[#This Row],[Area_Sanitaria]]))</f>
        <v>0.27452471482889734</v>
      </c>
      <c r="AB150" s="2">
        <f>IF(LEN(EvolucionIncidencia[[#This Row],[Nuevos 14 dias]])=0,"",EvolucionIncidencia[[#This Row],[Nuevos 14 dias]]/_xlfn.MAXIFS(EvolucionIncidencia[Nuevos 14 dias],EvolucionIncidencia[Area_Sanitaria],EvolucionIncidencia[[#This Row],[Area_Sanitaria]]))</f>
        <v>0.31674208144796379</v>
      </c>
    </row>
    <row r="151" spans="1:28" hidden="1" x14ac:dyDescent="0.3">
      <c r="A151" s="1">
        <v>44188</v>
      </c>
      <c r="B151" s="2" t="s">
        <v>7</v>
      </c>
      <c r="C151" s="15">
        <v>9592</v>
      </c>
      <c r="D151" s="15">
        <v>1321</v>
      </c>
      <c r="E151" s="15">
        <v>8094</v>
      </c>
      <c r="F151">
        <v>70</v>
      </c>
      <c r="G151">
        <v>6</v>
      </c>
      <c r="H151" s="15">
        <v>179948</v>
      </c>
      <c r="I151" s="15">
        <v>179</v>
      </c>
      <c r="J151" s="15">
        <v>91144</v>
      </c>
      <c r="K151" s="15">
        <v>114</v>
      </c>
      <c r="L151">
        <v>51</v>
      </c>
      <c r="M151">
        <v>-6</v>
      </c>
      <c r="N151">
        <v>1</v>
      </c>
      <c r="O151" s="15">
        <v>1584</v>
      </c>
      <c r="P151" s="15">
        <v>246</v>
      </c>
      <c r="Q151" s="15">
        <v>1830</v>
      </c>
      <c r="R151">
        <v>1.0401574803149607</v>
      </c>
      <c r="S151" s="15">
        <v>63</v>
      </c>
      <c r="T151" t="s">
        <v>367</v>
      </c>
      <c r="U151" s="15" t="str">
        <f>TEXT(EvolucionIncidencia[[#This Row],[Fecha]],"DDDD")</f>
        <v>miércoles</v>
      </c>
      <c r="V1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0.81818181818181823</v>
      </c>
      <c r="W1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73.010899237254108</v>
      </c>
      <c r="X151" s="2">
        <f>IF(EvolucionIncidencia[[#This Row],[Fecha]]&lt;=MIN(EvolucionIncidencia[Fecha])+14,"",EvolucionIncidencia[[#This Row],[NuevasAltas]]-EvolucionIncidencia[[#This Row],[Previsión Altas]])</f>
        <v>-10.010899237254108</v>
      </c>
      <c r="Y1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599</v>
      </c>
      <c r="Z1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1246</v>
      </c>
      <c r="AA151" s="2">
        <f>IF(LEN(EvolucionIncidencia[[#This Row],[Nuevos 7 dias]])=0,"",EvolucionIncidencia[[#This Row],[Nuevos 7 dias]]/_xlfn.MAXIFS(EvolucionIncidencia[Nuevos 7 dias],EvolucionIncidencia[Area_Sanitaria],EvolucionIncidencia[[#This Row],[Area_Sanitaria]]))</f>
        <v>0.35276796230859836</v>
      </c>
      <c r="AB151" s="2">
        <f>IF(LEN(EvolucionIncidencia[[#This Row],[Nuevos 14 dias]])=0,"",EvolucionIncidencia[[#This Row],[Nuevos 14 dias]]/_xlfn.MAXIFS(EvolucionIncidencia[Nuevos 14 dias],EvolucionIncidencia[Area_Sanitaria],EvolucionIncidencia[[#This Row],[Area_Sanitaria]]))</f>
        <v>0.39157762413576369</v>
      </c>
    </row>
    <row r="152" spans="1:28" hidden="1" x14ac:dyDescent="0.3">
      <c r="A152" s="1">
        <v>44188</v>
      </c>
      <c r="B152" s="2" t="s">
        <v>2</v>
      </c>
      <c r="C152" s="15">
        <v>11995</v>
      </c>
      <c r="D152" s="15">
        <v>1265</v>
      </c>
      <c r="E152" s="15">
        <v>10474</v>
      </c>
      <c r="F152">
        <v>54</v>
      </c>
      <c r="G152">
        <v>11</v>
      </c>
      <c r="H152" s="15">
        <v>231728</v>
      </c>
      <c r="I152" s="15">
        <v>257</v>
      </c>
      <c r="J152" s="15">
        <v>57688</v>
      </c>
      <c r="K152" s="15">
        <v>117</v>
      </c>
      <c r="L152">
        <v>49</v>
      </c>
      <c r="M152">
        <v>-2</v>
      </c>
      <c r="N152">
        <v>0</v>
      </c>
      <c r="O152" s="15">
        <v>2784</v>
      </c>
      <c r="P152" s="15">
        <v>114</v>
      </c>
      <c r="Q152" s="15">
        <v>2898</v>
      </c>
      <c r="R152">
        <v>1.040296052631579</v>
      </c>
      <c r="S152" s="15">
        <v>65</v>
      </c>
      <c r="T152" t="s">
        <v>367</v>
      </c>
      <c r="U152" s="15" t="str">
        <f>TEXT(EvolucionIncidencia[[#This Row],[Fecha]],"DDDD")</f>
        <v>miércoles</v>
      </c>
      <c r="V1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1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57.270415230816468</v>
      </c>
      <c r="X152" s="2">
        <f>IF(EvolucionIncidencia[[#This Row],[Fecha]]&lt;=MIN(EvolucionIncidencia[Fecha])+14,"",EvolucionIncidencia[[#This Row],[NuevasAltas]]-EvolucionIncidencia[[#This Row],[Previsión Altas]])</f>
        <v>7.729584769183532</v>
      </c>
      <c r="Y1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578</v>
      </c>
      <c r="Z1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1173</v>
      </c>
      <c r="AA152" s="2">
        <f>IF(LEN(EvolucionIncidencia[[#This Row],[Nuevos 7 dias]])=0,"",EvolucionIncidencia[[#This Row],[Nuevos 7 dias]]/_xlfn.MAXIFS(EvolucionIncidencia[Nuevos 7 dias],EvolucionIncidencia[Area_Sanitaria],EvolucionIncidencia[[#This Row],[Area_Sanitaria]]))</f>
        <v>0.29809179989685403</v>
      </c>
      <c r="AB152" s="2">
        <f>IF(LEN(EvolucionIncidencia[[#This Row],[Nuevos 14 dias]])=0,"",EvolucionIncidencia[[#This Row],[Nuevos 14 dias]]/_xlfn.MAXIFS(EvolucionIncidencia[Nuevos 14 dias],EvolucionIncidencia[Area_Sanitaria],EvolucionIncidencia[[#This Row],[Area_Sanitaria]]))</f>
        <v>0.32287365813377372</v>
      </c>
    </row>
    <row r="153" spans="1:28" hidden="1" x14ac:dyDescent="0.3">
      <c r="A153" s="1">
        <v>44188</v>
      </c>
      <c r="B153" s="2" t="s">
        <v>3</v>
      </c>
      <c r="C153" s="15">
        <v>60395</v>
      </c>
      <c r="D153" s="15">
        <v>5655</v>
      </c>
      <c r="E153" s="15">
        <v>53391</v>
      </c>
      <c r="F153">
        <v>286</v>
      </c>
      <c r="G153">
        <v>51</v>
      </c>
      <c r="H153" s="15">
        <v>1072702</v>
      </c>
      <c r="I153" s="15">
        <v>1354</v>
      </c>
      <c r="J153" s="15">
        <v>441797</v>
      </c>
      <c r="K153" s="15">
        <v>451</v>
      </c>
      <c r="L153">
        <v>90</v>
      </c>
      <c r="M153">
        <v>-7</v>
      </c>
      <c r="N153">
        <v>3</v>
      </c>
      <c r="O153" s="15">
        <v>10613</v>
      </c>
      <c r="P153" s="15">
        <v>962</v>
      </c>
      <c r="Q153" s="15">
        <v>11575</v>
      </c>
      <c r="R153">
        <v>1.0161725067385445</v>
      </c>
      <c r="S153" s="15">
        <v>357</v>
      </c>
      <c r="T153" t="s">
        <v>367</v>
      </c>
      <c r="U153" s="15" t="str">
        <f>TEXT(EvolucionIncidencia[[#This Row],[Fecha]],"DDDD")</f>
        <v>miércoles</v>
      </c>
      <c r="V1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1.2482517482517483</v>
      </c>
      <c r="W1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312.0755304494287</v>
      </c>
      <c r="X153" s="2">
        <f>IF(EvolucionIncidencia[[#This Row],[Fecha]]&lt;=MIN(EvolucionIncidencia[Fecha])+14,"",EvolucionIncidencia[[#This Row],[NuevasAltas]]-EvolucionIncidencia[[#This Row],[Previsión Altas]])</f>
        <v>44.924469550571303</v>
      </c>
      <c r="Y1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2462</v>
      </c>
      <c r="Z1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5032</v>
      </c>
      <c r="AA153" s="2">
        <f>IF(LEN(EvolucionIncidencia[[#This Row],[Nuevos 7 dias]])=0,"",EvolucionIncidencia[[#This Row],[Nuevos 7 dias]]/_xlfn.MAXIFS(EvolucionIncidencia[Nuevos 7 dias],EvolucionIncidencia[Area_Sanitaria],EvolucionIncidencia[[#This Row],[Area_Sanitaria]]))</f>
        <v>0.21703102961918194</v>
      </c>
      <c r="AB153" s="2">
        <f>IF(LEN(EvolucionIncidencia[[#This Row],[Nuevos 14 dias]])=0,"",EvolucionIncidencia[[#This Row],[Nuevos 14 dias]]/_xlfn.MAXIFS(EvolucionIncidencia[Nuevos 14 dias],EvolucionIncidencia[Area_Sanitaria],EvolucionIncidencia[[#This Row],[Area_Sanitaria]]))</f>
        <v>0.24125035957426408</v>
      </c>
    </row>
    <row r="154" spans="1:28" hidden="1" x14ac:dyDescent="0.3">
      <c r="A154" s="1">
        <v>44189</v>
      </c>
      <c r="B154" s="2" t="s">
        <v>4</v>
      </c>
      <c r="C154" s="15">
        <v>13217</v>
      </c>
      <c r="D154" s="15">
        <v>899</v>
      </c>
      <c r="E154" s="15">
        <v>12017</v>
      </c>
      <c r="F154">
        <v>56</v>
      </c>
      <c r="G154">
        <v>18</v>
      </c>
      <c r="H154" s="15">
        <v>227089</v>
      </c>
      <c r="I154" s="15">
        <v>305</v>
      </c>
      <c r="J154" s="15">
        <v>76462</v>
      </c>
      <c r="K154" s="15">
        <v>67</v>
      </c>
      <c r="L154">
        <v>21</v>
      </c>
      <c r="M154">
        <v>1</v>
      </c>
      <c r="N154">
        <v>1</v>
      </c>
      <c r="O154" s="15">
        <v>2243</v>
      </c>
      <c r="P154" s="15">
        <v>218</v>
      </c>
      <c r="Q154" s="15">
        <v>2461</v>
      </c>
      <c r="R154">
        <v>1.0239179954441913</v>
      </c>
      <c r="S154" s="15">
        <v>46</v>
      </c>
      <c r="T154" t="s">
        <v>343</v>
      </c>
      <c r="U154" s="15" t="str">
        <f>TEXT(EvolucionIncidencia[[#This Row],[Fecha]],"DDDD")</f>
        <v>jueves</v>
      </c>
      <c r="V1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1.069767441860465</v>
      </c>
      <c r="W1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50.775121789794611</v>
      </c>
      <c r="X154" s="2">
        <f>IF(EvolucionIncidencia[[#This Row],[Fecha]]&lt;=MIN(EvolucionIncidencia[Fecha])+14,"",EvolucionIncidencia[[#This Row],[NuevasAltas]]-EvolucionIncidencia[[#This Row],[Previsión Altas]])</f>
        <v>-4.7751217897946105</v>
      </c>
      <c r="Y1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411</v>
      </c>
      <c r="Z1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740</v>
      </c>
      <c r="AA154" s="2">
        <f>IF(LEN(EvolucionIncidencia[[#This Row],[Nuevos 7 dias]])=0,"",EvolucionIncidencia[[#This Row],[Nuevos 7 dias]]/_xlfn.MAXIFS(EvolucionIncidencia[Nuevos 7 dias],EvolucionIncidencia[Area_Sanitaria],EvolucionIncidencia[[#This Row],[Area_Sanitaria]]))</f>
        <v>0.1379657603222558</v>
      </c>
      <c r="AB154" s="2">
        <f>IF(LEN(EvolucionIncidencia[[#This Row],[Nuevos 14 dias]])=0,"",EvolucionIncidencia[[#This Row],[Nuevos 14 dias]]/_xlfn.MAXIFS(EvolucionIncidencia[Nuevos 14 dias],EvolucionIncidencia[Area_Sanitaria],EvolucionIncidencia[[#This Row],[Area_Sanitaria]]))</f>
        <v>0.1361044693764944</v>
      </c>
    </row>
    <row r="155" spans="1:28" hidden="1" x14ac:dyDescent="0.3">
      <c r="A155" s="1">
        <v>44189</v>
      </c>
      <c r="B155" s="2" t="s">
        <v>5</v>
      </c>
      <c r="C155" s="15">
        <v>3888</v>
      </c>
      <c r="D155" s="15">
        <v>398</v>
      </c>
      <c r="E155" s="15">
        <v>3403</v>
      </c>
      <c r="F155">
        <v>29</v>
      </c>
      <c r="G155">
        <v>1</v>
      </c>
      <c r="H155" s="15">
        <v>74785</v>
      </c>
      <c r="I155" s="15">
        <v>85</v>
      </c>
      <c r="J155" s="15">
        <v>30005</v>
      </c>
      <c r="K155" s="15">
        <v>22</v>
      </c>
      <c r="L155">
        <v>3</v>
      </c>
      <c r="M155">
        <v>-1</v>
      </c>
      <c r="N155">
        <v>-1</v>
      </c>
      <c r="O155" s="15">
        <v>632</v>
      </c>
      <c r="P155" s="15">
        <v>39</v>
      </c>
      <c r="Q155" s="15">
        <v>671</v>
      </c>
      <c r="R155">
        <v>1.0075949367088608</v>
      </c>
      <c r="S155" s="15">
        <v>19</v>
      </c>
      <c r="T155" t="s">
        <v>343</v>
      </c>
      <c r="U155" s="15" t="str">
        <f>TEXT(EvolucionIncidencia[[#This Row],[Fecha]],"DDDD")</f>
        <v>jueves</v>
      </c>
      <c r="V1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0.82608695652173914</v>
      </c>
      <c r="W1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36.763643790849677</v>
      </c>
      <c r="X155" s="2">
        <f>IF(EvolucionIncidencia[[#This Row],[Fecha]]&lt;=MIN(EvolucionIncidencia[Fecha])+14,"",EvolucionIncidencia[[#This Row],[NuevasAltas]]-EvolucionIncidencia[[#This Row],[Previsión Altas]])</f>
        <v>-17.763643790849677</v>
      </c>
      <c r="Y1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v>
      </c>
      <c r="Z1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308</v>
      </c>
      <c r="AA155" s="2">
        <f>IF(LEN(EvolucionIncidencia[[#This Row],[Nuevos 7 dias]])=0,"",EvolucionIncidencia[[#This Row],[Nuevos 7 dias]]/_xlfn.MAXIFS(EvolucionIncidencia[Nuevos 7 dias],EvolucionIncidencia[Area_Sanitaria],EvolucionIncidencia[[#This Row],[Area_Sanitaria]]))</f>
        <v>0.12574850299401197</v>
      </c>
      <c r="AB155" s="2">
        <f>IF(LEN(EvolucionIncidencia[[#This Row],[Nuevos 14 dias]])=0,"",EvolucionIncidencia[[#This Row],[Nuevos 14 dias]]/_xlfn.MAXIFS(EvolucionIncidencia[Nuevos 14 dias],EvolucionIncidencia[Area_Sanitaria],EvolucionIncidencia[[#This Row],[Area_Sanitaria]]))</f>
        <v>0.18791946308724833</v>
      </c>
    </row>
    <row r="156" spans="1:28" hidden="1" x14ac:dyDescent="0.3">
      <c r="A156" s="1">
        <v>44189</v>
      </c>
      <c r="B156" s="2" t="s">
        <v>8</v>
      </c>
      <c r="C156" s="15">
        <v>6904</v>
      </c>
      <c r="D156" s="15">
        <v>382</v>
      </c>
      <c r="E156" s="15">
        <v>6376</v>
      </c>
      <c r="F156">
        <v>10</v>
      </c>
      <c r="G156">
        <v>3</v>
      </c>
      <c r="H156" s="15">
        <v>121740</v>
      </c>
      <c r="I156" s="15">
        <v>144</v>
      </c>
      <c r="J156" s="15">
        <v>74356</v>
      </c>
      <c r="K156" s="15">
        <v>28</v>
      </c>
      <c r="L156">
        <v>12</v>
      </c>
      <c r="M156">
        <v>0</v>
      </c>
      <c r="N156">
        <v>0</v>
      </c>
      <c r="O156" s="15">
        <v>948</v>
      </c>
      <c r="P156" s="15">
        <v>128</v>
      </c>
      <c r="Q156" s="15">
        <v>1076</v>
      </c>
      <c r="R156">
        <v>1.0324324324324323</v>
      </c>
      <c r="S156" s="15">
        <v>16</v>
      </c>
      <c r="T156" t="s">
        <v>343</v>
      </c>
      <c r="U156" s="15" t="str">
        <f>TEXT(EvolucionIncidencia[[#This Row],[Fecha]],"DDDD")</f>
        <v>jueves</v>
      </c>
      <c r="V1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v>
      </c>
      <c r="W1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30.025862068965516</v>
      </c>
      <c r="X156" s="2">
        <f>IF(EvolucionIncidencia[[#This Row],[Fecha]]&lt;=MIN(EvolucionIncidencia[Fecha])+14,"",EvolucionIncidencia[[#This Row],[NuevasAltas]]-EvolucionIncidencia[[#This Row],[Previsión Altas]])</f>
        <v>-14.025862068965516</v>
      </c>
      <c r="Y1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183</v>
      </c>
      <c r="Z1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327</v>
      </c>
      <c r="AA156" s="2">
        <f>IF(LEN(EvolucionIncidencia[[#This Row],[Nuevos 7 dias]])=0,"",EvolucionIncidencia[[#This Row],[Nuevos 7 dias]]/_xlfn.MAXIFS(EvolucionIncidencia[Nuevos 7 dias],EvolucionIncidencia[Area_Sanitaria],EvolucionIncidencia[[#This Row],[Area_Sanitaria]]))</f>
        <v>0.1654611211573237</v>
      </c>
      <c r="AB156" s="2">
        <f>IF(LEN(EvolucionIncidencia[[#This Row],[Nuevos 14 dias]])=0,"",EvolucionIncidencia[[#This Row],[Nuevos 14 dias]]/_xlfn.MAXIFS(EvolucionIncidencia[Nuevos 14 dias],EvolucionIncidencia[Area_Sanitaria],EvolucionIncidencia[[#This Row],[Area_Sanitaria]]))</f>
        <v>0.16515151515151516</v>
      </c>
    </row>
    <row r="157" spans="1:28" hidden="1" x14ac:dyDescent="0.3">
      <c r="A157" s="1">
        <v>44189</v>
      </c>
      <c r="B157" s="2" t="s">
        <v>9</v>
      </c>
      <c r="C157" s="15">
        <v>8329</v>
      </c>
      <c r="D157" s="15">
        <v>551</v>
      </c>
      <c r="E157" s="15">
        <v>7469</v>
      </c>
      <c r="F157">
        <v>18</v>
      </c>
      <c r="G157">
        <v>4</v>
      </c>
      <c r="H157" s="15">
        <v>132831</v>
      </c>
      <c r="I157" s="15">
        <v>308</v>
      </c>
      <c r="J157" s="15">
        <v>67077</v>
      </c>
      <c r="K157" s="15">
        <v>52</v>
      </c>
      <c r="L157">
        <v>29</v>
      </c>
      <c r="M157">
        <v>-9</v>
      </c>
      <c r="N157">
        <v>0</v>
      </c>
      <c r="O157" s="15">
        <v>780</v>
      </c>
      <c r="P157" s="15">
        <v>157</v>
      </c>
      <c r="Q157" s="15">
        <v>937</v>
      </c>
      <c r="R157">
        <v>1.0555555555555556</v>
      </c>
      <c r="S157" s="15">
        <v>23</v>
      </c>
      <c r="T157" t="s">
        <v>343</v>
      </c>
      <c r="U157" s="15" t="str">
        <f>TEXT(EvolucionIncidencia[[#This Row],[Fecha]],"DDDD")</f>
        <v>jueves</v>
      </c>
      <c r="V1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0.6216216216216216</v>
      </c>
      <c r="W1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37.911492451117887</v>
      </c>
      <c r="X157" s="2">
        <f>IF(EvolucionIncidencia[[#This Row],[Fecha]]&lt;=MIN(EvolucionIncidencia[Fecha])+14,"",EvolucionIncidencia[[#This Row],[NuevasAltas]]-EvolucionIncidencia[[#This Row],[Previsión Altas]])</f>
        <v>-14.911492451117887</v>
      </c>
      <c r="Y1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257</v>
      </c>
      <c r="Z1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509</v>
      </c>
      <c r="AA157" s="2">
        <f>IF(LEN(EvolucionIncidencia[[#This Row],[Nuevos 7 dias]])=0,"",EvolucionIncidencia[[#This Row],[Nuevos 7 dias]]/_xlfn.MAXIFS(EvolucionIncidencia[Nuevos 7 dias],EvolucionIncidencia[Area_Sanitaria],EvolucionIncidencia[[#This Row],[Area_Sanitaria]]))</f>
        <v>0.16379859783301465</v>
      </c>
      <c r="AB157" s="2">
        <f>IF(LEN(EvolucionIncidencia[[#This Row],[Nuevos 14 dias]])=0,"",EvolucionIncidencia[[#This Row],[Nuevos 14 dias]]/_xlfn.MAXIFS(EvolucionIncidencia[Nuevos 14 dias],EvolucionIncidencia[Area_Sanitaria],EvolucionIncidencia[[#This Row],[Area_Sanitaria]]))</f>
        <v>0.1797951253973861</v>
      </c>
    </row>
    <row r="158" spans="1:28" x14ac:dyDescent="0.3">
      <c r="A158" s="1">
        <v>44189</v>
      </c>
      <c r="B158" s="2" t="s">
        <v>6</v>
      </c>
      <c r="C158" s="15">
        <v>6697</v>
      </c>
      <c r="D158" s="15">
        <v>922</v>
      </c>
      <c r="E158" s="15">
        <v>5702</v>
      </c>
      <c r="F158">
        <v>39</v>
      </c>
      <c r="G158">
        <v>9</v>
      </c>
      <c r="H158" s="15">
        <v>110201</v>
      </c>
      <c r="I158" s="15">
        <v>76</v>
      </c>
      <c r="J158" s="15">
        <v>45722</v>
      </c>
      <c r="K158" s="15">
        <v>58</v>
      </c>
      <c r="L158">
        <v>18</v>
      </c>
      <c r="M158">
        <v>-1</v>
      </c>
      <c r="N158">
        <v>1</v>
      </c>
      <c r="O158" s="15">
        <v>1017</v>
      </c>
      <c r="P158" s="15">
        <v>115</v>
      </c>
      <c r="Q158" s="15">
        <v>1132</v>
      </c>
      <c r="R158">
        <v>1.0199115044247788</v>
      </c>
      <c r="S158" s="15">
        <v>40</v>
      </c>
      <c r="T158" t="s">
        <v>343</v>
      </c>
      <c r="U158" s="15" t="str">
        <f>TEXT(EvolucionIncidencia[[#This Row],[Fecha]],"DDDD")</f>
        <v>jueves</v>
      </c>
      <c r="V1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1.0810810810810811</v>
      </c>
      <c r="W1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45.552593240093245</v>
      </c>
      <c r="X158" s="2">
        <f>IF(EvolucionIncidencia[[#This Row],[Fecha]]&lt;=MIN(EvolucionIncidencia[Fecha])+14,"",EvolucionIncidencia[[#This Row],[NuevasAltas]]-EvolucionIncidencia[[#This Row],[Previsión Altas]])</f>
        <v>-5.5525932400932447</v>
      </c>
      <c r="Y1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347</v>
      </c>
      <c r="Z1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791</v>
      </c>
      <c r="AA158" s="2">
        <f>IF(LEN(EvolucionIncidencia[[#This Row],[Nuevos 7 dias]])=0,"",EvolucionIncidencia[[#This Row],[Nuevos 7 dias]]/_xlfn.MAXIFS(EvolucionIncidencia[Nuevos 7 dias],EvolucionIncidencia[Area_Sanitaria],EvolucionIncidencia[[#This Row],[Area_Sanitaria]]))</f>
        <v>0.26387832699619773</v>
      </c>
      <c r="AB158" s="2">
        <f>IF(LEN(EvolucionIncidencia[[#This Row],[Nuevos 14 dias]])=0,"",EvolucionIncidencia[[#This Row],[Nuevos 14 dias]]/_xlfn.MAXIFS(EvolucionIncidencia[Nuevos 14 dias],EvolucionIncidencia[Area_Sanitaria],EvolucionIncidencia[[#This Row],[Area_Sanitaria]]))</f>
        <v>0.32538050185109008</v>
      </c>
    </row>
    <row r="159" spans="1:28" hidden="1" x14ac:dyDescent="0.3">
      <c r="A159" s="1">
        <v>44189</v>
      </c>
      <c r="B159" s="2" t="s">
        <v>7</v>
      </c>
      <c r="C159" s="15">
        <v>9670</v>
      </c>
      <c r="D159" s="15">
        <v>1323</v>
      </c>
      <c r="E159" s="15">
        <v>8170</v>
      </c>
      <c r="F159">
        <v>63</v>
      </c>
      <c r="G159">
        <v>7</v>
      </c>
      <c r="H159" s="15">
        <v>182331</v>
      </c>
      <c r="I159" s="15">
        <v>179</v>
      </c>
      <c r="J159" s="15">
        <v>91366</v>
      </c>
      <c r="K159" s="15">
        <v>78</v>
      </c>
      <c r="L159">
        <v>2</v>
      </c>
      <c r="M159">
        <v>-7</v>
      </c>
      <c r="N159">
        <v>1</v>
      </c>
      <c r="O159" s="15">
        <v>2383</v>
      </c>
      <c r="P159" s="15">
        <v>222</v>
      </c>
      <c r="Q159" s="15">
        <v>2605</v>
      </c>
      <c r="R159">
        <v>1.0015140045420137</v>
      </c>
      <c r="S159" s="15">
        <v>76</v>
      </c>
      <c r="T159" t="s">
        <v>343</v>
      </c>
      <c r="U159" s="15" t="str">
        <f>TEXT(EvolucionIncidencia[[#This Row],[Fecha]],"DDDD")</f>
        <v>jueves</v>
      </c>
      <c r="V1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1.1515151515151516</v>
      </c>
      <c r="W1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60.864616619831388</v>
      </c>
      <c r="X159" s="2">
        <f>IF(EvolucionIncidencia[[#This Row],[Fecha]]&lt;=MIN(EvolucionIncidencia[Fecha])+14,"",EvolucionIncidencia[[#This Row],[NuevasAltas]]-EvolucionIncidencia[[#This Row],[Previsión Altas]])</f>
        <v>15.135383380168612</v>
      </c>
      <c r="Y1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573</v>
      </c>
      <c r="Z1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1258</v>
      </c>
      <c r="AA159" s="2">
        <f>IF(LEN(EvolucionIncidencia[[#This Row],[Nuevos 7 dias]])=0,"",EvolucionIncidencia[[#This Row],[Nuevos 7 dias]]/_xlfn.MAXIFS(EvolucionIncidencia[Nuevos 7 dias],EvolucionIncidencia[Area_Sanitaria],EvolucionIncidencia[[#This Row],[Area_Sanitaria]]))</f>
        <v>0.33745583038869259</v>
      </c>
      <c r="AB159" s="2">
        <f>IF(LEN(EvolucionIncidencia[[#This Row],[Nuevos 14 dias]])=0,"",EvolucionIncidencia[[#This Row],[Nuevos 14 dias]]/_xlfn.MAXIFS(EvolucionIncidencia[Nuevos 14 dias],EvolucionIncidencia[Area_Sanitaria],EvolucionIncidencia[[#This Row],[Area_Sanitaria]]))</f>
        <v>0.39534883720930231</v>
      </c>
    </row>
    <row r="160" spans="1:28" hidden="1" x14ac:dyDescent="0.3">
      <c r="A160" s="1">
        <v>44189</v>
      </c>
      <c r="B160" s="2" t="s">
        <v>2</v>
      </c>
      <c r="C160" s="15">
        <v>12060</v>
      </c>
      <c r="D160" s="15">
        <v>1279</v>
      </c>
      <c r="E160" s="15">
        <v>10525</v>
      </c>
      <c r="F160">
        <v>50</v>
      </c>
      <c r="G160">
        <v>12</v>
      </c>
      <c r="H160" s="15">
        <v>233697</v>
      </c>
      <c r="I160" s="15">
        <v>257</v>
      </c>
      <c r="J160" s="15">
        <v>57808</v>
      </c>
      <c r="K160" s="15">
        <v>65</v>
      </c>
      <c r="L160">
        <v>14</v>
      </c>
      <c r="M160">
        <v>-4</v>
      </c>
      <c r="N160">
        <v>1</v>
      </c>
      <c r="O160" s="15">
        <v>1969</v>
      </c>
      <c r="P160" s="15">
        <v>120</v>
      </c>
      <c r="Q160" s="15">
        <v>2089</v>
      </c>
      <c r="R160">
        <v>1.0110671936758893</v>
      </c>
      <c r="S160" s="15">
        <v>51</v>
      </c>
      <c r="T160" t="s">
        <v>343</v>
      </c>
      <c r="U160" s="15" t="str">
        <f>TEXT(EvolucionIncidencia[[#This Row],[Fecha]],"DDDD")</f>
        <v>jueves</v>
      </c>
      <c r="V1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0.40157480314960631</v>
      </c>
      <c r="W1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143.64758052790293</v>
      </c>
      <c r="X160" s="2">
        <f>IF(EvolucionIncidencia[[#This Row],[Fecha]]&lt;=MIN(EvolucionIncidencia[Fecha])+14,"",EvolucionIncidencia[[#This Row],[NuevasAltas]]-EvolucionIncidencia[[#This Row],[Previsión Altas]])</f>
        <v>-92.647580527902932</v>
      </c>
      <c r="Y1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548</v>
      </c>
      <c r="Z1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1111</v>
      </c>
      <c r="AA160" s="2">
        <f>IF(LEN(EvolucionIncidencia[[#This Row],[Nuevos 7 dias]])=0,"",EvolucionIncidencia[[#This Row],[Nuevos 7 dias]]/_xlfn.MAXIFS(EvolucionIncidencia[Nuevos 7 dias],EvolucionIncidencia[Area_Sanitaria],EvolucionIncidencia[[#This Row],[Area_Sanitaria]]))</f>
        <v>0.28261990716864366</v>
      </c>
      <c r="AB160" s="2">
        <f>IF(LEN(EvolucionIncidencia[[#This Row],[Nuevos 14 dias]])=0,"",EvolucionIncidencia[[#This Row],[Nuevos 14 dias]]/_xlfn.MAXIFS(EvolucionIncidencia[Nuevos 14 dias],EvolucionIncidencia[Area_Sanitaria],EvolucionIncidencia[[#This Row],[Area_Sanitaria]]))</f>
        <v>0.30580787228186074</v>
      </c>
    </row>
    <row r="161" spans="1:28" hidden="1" x14ac:dyDescent="0.3">
      <c r="A161" s="1">
        <v>44189</v>
      </c>
      <c r="B161" s="2" t="s">
        <v>3</v>
      </c>
      <c r="C161" s="15">
        <v>60765</v>
      </c>
      <c r="D161" s="15">
        <v>5754</v>
      </c>
      <c r="E161" s="15">
        <v>53662</v>
      </c>
      <c r="F161">
        <v>265</v>
      </c>
      <c r="G161">
        <v>54</v>
      </c>
      <c r="H161" s="15">
        <v>1082674</v>
      </c>
      <c r="I161" s="15">
        <v>1354</v>
      </c>
      <c r="J161" s="15">
        <v>442796</v>
      </c>
      <c r="K161" s="15">
        <v>370</v>
      </c>
      <c r="L161">
        <v>99</v>
      </c>
      <c r="M161">
        <v>-21</v>
      </c>
      <c r="N161">
        <v>3</v>
      </c>
      <c r="O161" s="15">
        <v>9972</v>
      </c>
      <c r="P161" s="15">
        <v>999</v>
      </c>
      <c r="Q161" s="15">
        <v>10971</v>
      </c>
      <c r="R161">
        <v>1.0175066312997347</v>
      </c>
      <c r="S161" s="15">
        <v>271</v>
      </c>
      <c r="T161" t="s">
        <v>343</v>
      </c>
      <c r="U161" s="15" t="str">
        <f>TEXT(EvolucionIncidencia[[#This Row],[Fecha]],"DDDD")</f>
        <v>jueves</v>
      </c>
      <c r="V1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0.75698324022346364</v>
      </c>
      <c r="W1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401.8868248976097</v>
      </c>
      <c r="X161" s="2">
        <f>IF(EvolucionIncidencia[[#This Row],[Fecha]]&lt;=MIN(EvolucionIncidencia[Fecha])+14,"",EvolucionIncidencia[[#This Row],[NuevasAltas]]-EvolucionIncidencia[[#This Row],[Previsión Altas]])</f>
        <v>-130.8868248976097</v>
      </c>
      <c r="Y1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2424</v>
      </c>
      <c r="Z1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5044</v>
      </c>
      <c r="AA161" s="2">
        <f>IF(LEN(EvolucionIncidencia[[#This Row],[Nuevos 7 dias]])=0,"",EvolucionIncidencia[[#This Row],[Nuevos 7 dias]]/_xlfn.MAXIFS(EvolucionIncidencia[Nuevos 7 dias],EvolucionIncidencia[Area_Sanitaria],EvolucionIncidencia[[#This Row],[Area_Sanitaria]]))</f>
        <v>0.21368124118476728</v>
      </c>
      <c r="AB161" s="2">
        <f>IF(LEN(EvolucionIncidencia[[#This Row],[Nuevos 14 dias]])=0,"",EvolucionIncidencia[[#This Row],[Nuevos 14 dias]]/_xlfn.MAXIFS(EvolucionIncidencia[Nuevos 14 dias],EvolucionIncidencia[Area_Sanitaria],EvolucionIncidencia[[#This Row],[Area_Sanitaria]]))</f>
        <v>0.24182567839677821</v>
      </c>
    </row>
    <row r="162" spans="1:28" hidden="1" x14ac:dyDescent="0.3">
      <c r="A162" s="1">
        <v>44190</v>
      </c>
      <c r="B162" s="2" t="s">
        <v>4</v>
      </c>
      <c r="C162" s="15">
        <v>13276</v>
      </c>
      <c r="D162" s="15">
        <v>901</v>
      </c>
      <c r="E162" s="15">
        <v>12072</v>
      </c>
      <c r="F162">
        <v>56</v>
      </c>
      <c r="G162">
        <v>17</v>
      </c>
      <c r="H162" s="15">
        <v>228245</v>
      </c>
      <c r="I162" s="15">
        <v>307</v>
      </c>
      <c r="J162" s="15">
        <v>76537</v>
      </c>
      <c r="K162" s="15">
        <v>59</v>
      </c>
      <c r="L162">
        <v>2</v>
      </c>
      <c r="M162">
        <v>0</v>
      </c>
      <c r="N162">
        <v>-1</v>
      </c>
      <c r="O162" s="15">
        <v>1156</v>
      </c>
      <c r="P162" s="15">
        <v>75</v>
      </c>
      <c r="Q162" s="15">
        <v>1231</v>
      </c>
      <c r="R162">
        <v>1.0022246941045607</v>
      </c>
      <c r="S162" s="15">
        <v>55</v>
      </c>
      <c r="T162" t="s">
        <v>344</v>
      </c>
      <c r="U162" s="15" t="str">
        <f>TEXT(EvolucionIncidencia[[#This Row],[Fecha]],"DDDD")</f>
        <v>viernes</v>
      </c>
      <c r="V1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1.0784313725490196</v>
      </c>
      <c r="W1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59.277736652703972</v>
      </c>
      <c r="X162" s="2">
        <f>IF(EvolucionIncidencia[[#This Row],[Fecha]]&lt;=MIN(EvolucionIncidencia[Fecha])+14,"",EvolucionIncidencia[[#This Row],[NuevasAltas]]-EvolucionIncidencia[[#This Row],[Previsión Altas]])</f>
        <v>-4.2777366527039717</v>
      </c>
      <c r="Y1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393</v>
      </c>
      <c r="Z1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748</v>
      </c>
      <c r="AA162" s="2">
        <f>IF(LEN(EvolucionIncidencia[[#This Row],[Nuevos 7 dias]])=0,"",EvolucionIncidencia[[#This Row],[Nuevos 7 dias]]/_xlfn.MAXIFS(EvolucionIncidencia[Nuevos 7 dias],EvolucionIncidencia[Area_Sanitaria],EvolucionIncidencia[[#This Row],[Area_Sanitaria]]))</f>
        <v>0.13192346424974824</v>
      </c>
      <c r="AB162" s="2">
        <f>IF(LEN(EvolucionIncidencia[[#This Row],[Nuevos 14 dias]])=0,"",EvolucionIncidencia[[#This Row],[Nuevos 14 dias]]/_xlfn.MAXIFS(EvolucionIncidencia[Nuevos 14 dias],EvolucionIncidencia[Area_Sanitaria],EvolucionIncidencia[[#This Row],[Area_Sanitaria]]))</f>
        <v>0.13757586904542946</v>
      </c>
    </row>
    <row r="163" spans="1:28" hidden="1" x14ac:dyDescent="0.3">
      <c r="A163" s="1">
        <v>44190</v>
      </c>
      <c r="B163" s="2" t="s">
        <v>5</v>
      </c>
      <c r="C163" s="15">
        <v>3900</v>
      </c>
      <c r="D163" s="15">
        <v>382</v>
      </c>
      <c r="E163" s="15">
        <v>3429</v>
      </c>
      <c r="F163">
        <v>26</v>
      </c>
      <c r="G163">
        <v>2</v>
      </c>
      <c r="H163" s="15">
        <v>75272</v>
      </c>
      <c r="I163" s="15">
        <v>87</v>
      </c>
      <c r="J163" s="15">
        <v>30026</v>
      </c>
      <c r="K163" s="15">
        <v>12</v>
      </c>
      <c r="L163">
        <v>-16</v>
      </c>
      <c r="M163">
        <v>-3</v>
      </c>
      <c r="N163">
        <v>1</v>
      </c>
      <c r="O163" s="15">
        <v>487</v>
      </c>
      <c r="P163" s="15">
        <v>21</v>
      </c>
      <c r="Q163" s="15">
        <v>508</v>
      </c>
      <c r="R163">
        <v>0.95979899497487442</v>
      </c>
      <c r="S163" s="15">
        <v>26</v>
      </c>
      <c r="T163" t="s">
        <v>344</v>
      </c>
      <c r="U163" s="15" t="str">
        <f>TEXT(EvolucionIncidencia[[#This Row],[Fecha]],"DDDD")</f>
        <v>viernes</v>
      </c>
      <c r="V1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0.83870967741935487</v>
      </c>
      <c r="W1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45.560614402765943</v>
      </c>
      <c r="X163" s="2">
        <f>IF(EvolucionIncidencia[[#This Row],[Fecha]]&lt;=MIN(EvolucionIncidencia[Fecha])+14,"",EvolucionIncidencia[[#This Row],[NuevasAltas]]-EvolucionIncidencia[[#This Row],[Previsión Altas]])</f>
        <v>-19.560614402765943</v>
      </c>
      <c r="Y1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107</v>
      </c>
      <c r="Z1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289</v>
      </c>
      <c r="AA163" s="2">
        <f>IF(LEN(EvolucionIncidencia[[#This Row],[Nuevos 7 dias]])=0,"",EvolucionIncidencia[[#This Row],[Nuevos 7 dias]]/_xlfn.MAXIFS(EvolucionIncidencia[Nuevos 7 dias],EvolucionIncidencia[Area_Sanitaria],EvolucionIncidencia[[#This Row],[Area_Sanitaria]]))</f>
        <v>0.1281437125748503</v>
      </c>
      <c r="AB163" s="2">
        <f>IF(LEN(EvolucionIncidencia[[#This Row],[Nuevos 14 dias]])=0,"",EvolucionIncidencia[[#This Row],[Nuevos 14 dias]]/_xlfn.MAXIFS(EvolucionIncidencia[Nuevos 14 dias],EvolucionIncidencia[Area_Sanitaria],EvolucionIncidencia[[#This Row],[Area_Sanitaria]]))</f>
        <v>0.17632702867602196</v>
      </c>
    </row>
    <row r="164" spans="1:28" hidden="1" x14ac:dyDescent="0.3">
      <c r="A164" s="1">
        <v>44190</v>
      </c>
      <c r="B164" s="2" t="s">
        <v>8</v>
      </c>
      <c r="C164" s="15">
        <v>6939</v>
      </c>
      <c r="D164" s="15">
        <v>381</v>
      </c>
      <c r="E164" s="15">
        <v>6412</v>
      </c>
      <c r="F164">
        <v>10</v>
      </c>
      <c r="G164">
        <v>4</v>
      </c>
      <c r="H164" s="15">
        <v>122144</v>
      </c>
      <c r="I164" s="15">
        <v>144</v>
      </c>
      <c r="J164" s="15">
        <v>74395</v>
      </c>
      <c r="K164" s="15">
        <v>35</v>
      </c>
      <c r="L164">
        <v>-1</v>
      </c>
      <c r="M164">
        <v>0</v>
      </c>
      <c r="N164">
        <v>1</v>
      </c>
      <c r="O164" s="15">
        <v>404</v>
      </c>
      <c r="P164" s="15">
        <v>39</v>
      </c>
      <c r="Q164" s="15">
        <v>443</v>
      </c>
      <c r="R164">
        <v>0.99738219895287961</v>
      </c>
      <c r="S164" s="15">
        <v>36</v>
      </c>
      <c r="T164" t="s">
        <v>344</v>
      </c>
      <c r="U164" s="15" t="str">
        <f>TEXT(EvolucionIncidencia[[#This Row],[Fecha]],"DDDD")</f>
        <v>viernes</v>
      </c>
      <c r="V1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1.8947368421052631</v>
      </c>
      <c r="W1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21.043045977011491</v>
      </c>
      <c r="X164" s="2">
        <f>IF(EvolucionIncidencia[[#This Row],[Fecha]]&lt;=MIN(EvolucionIncidencia[Fecha])+14,"",EvolucionIncidencia[[#This Row],[NuevasAltas]]-EvolucionIncidencia[[#This Row],[Previsión Altas]])</f>
        <v>14.956954022988509</v>
      </c>
      <c r="Y1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187</v>
      </c>
      <c r="Z1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343</v>
      </c>
      <c r="AA164" s="2">
        <f>IF(LEN(EvolucionIncidencia[[#This Row],[Nuevos 7 dias]])=0,"",EvolucionIncidencia[[#This Row],[Nuevos 7 dias]]/_xlfn.MAXIFS(EvolucionIncidencia[Nuevos 7 dias],EvolucionIncidencia[Area_Sanitaria],EvolucionIncidencia[[#This Row],[Area_Sanitaria]]))</f>
        <v>0.16907775768535263</v>
      </c>
      <c r="AB164" s="2">
        <f>IF(LEN(EvolucionIncidencia[[#This Row],[Nuevos 14 dias]])=0,"",EvolucionIncidencia[[#This Row],[Nuevos 14 dias]]/_xlfn.MAXIFS(EvolucionIncidencia[Nuevos 14 dias],EvolucionIncidencia[Area_Sanitaria],EvolucionIncidencia[[#This Row],[Area_Sanitaria]]))</f>
        <v>0.17323232323232324</v>
      </c>
    </row>
    <row r="165" spans="1:28" hidden="1" x14ac:dyDescent="0.3">
      <c r="A165" s="1">
        <v>44190</v>
      </c>
      <c r="B165" s="2" t="s">
        <v>9</v>
      </c>
      <c r="C165" s="15">
        <v>8371</v>
      </c>
      <c r="D165" s="15">
        <v>558</v>
      </c>
      <c r="E165" s="15">
        <v>7504</v>
      </c>
      <c r="F165">
        <v>20</v>
      </c>
      <c r="G165">
        <v>3</v>
      </c>
      <c r="H165" s="15">
        <v>133368</v>
      </c>
      <c r="I165" s="15">
        <v>308</v>
      </c>
      <c r="J165" s="15">
        <v>67117</v>
      </c>
      <c r="K165" s="15">
        <v>42</v>
      </c>
      <c r="L165">
        <v>7</v>
      </c>
      <c r="M165">
        <v>2</v>
      </c>
      <c r="N165">
        <v>-1</v>
      </c>
      <c r="O165" s="15">
        <v>537</v>
      </c>
      <c r="P165" s="15">
        <v>40</v>
      </c>
      <c r="Q165" s="15">
        <v>577</v>
      </c>
      <c r="R165">
        <v>1.0127041742286751</v>
      </c>
      <c r="S165" s="15">
        <v>35</v>
      </c>
      <c r="T165" t="s">
        <v>344</v>
      </c>
      <c r="U165" s="15" t="str">
        <f>TEXT(EvolucionIncidencia[[#This Row],[Fecha]],"DDDD")</f>
        <v>viernes</v>
      </c>
      <c r="V1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1.1290322580645162</v>
      </c>
      <c r="W1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29.68144743208682</v>
      </c>
      <c r="X165" s="2">
        <f>IF(EvolucionIncidencia[[#This Row],[Fecha]]&lt;=MIN(EvolucionIncidencia[Fecha])+14,"",EvolucionIncidencia[[#This Row],[NuevasAltas]]-EvolucionIncidencia[[#This Row],[Previsión Altas]])</f>
        <v>5.31855256791318</v>
      </c>
      <c r="Y1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276</v>
      </c>
      <c r="Z1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520</v>
      </c>
      <c r="AA165" s="2">
        <f>IF(LEN(EvolucionIncidencia[[#This Row],[Nuevos 7 dias]])=0,"",EvolucionIncidencia[[#This Row],[Nuevos 7 dias]]/_xlfn.MAXIFS(EvolucionIncidencia[Nuevos 7 dias],EvolucionIncidencia[Area_Sanitaria],EvolucionIncidencia[[#This Row],[Area_Sanitaria]]))</f>
        <v>0.17590822179732313</v>
      </c>
      <c r="AB165" s="2">
        <f>IF(LEN(EvolucionIncidencia[[#This Row],[Nuevos 14 dias]])=0,"",EvolucionIncidencia[[#This Row],[Nuevos 14 dias]]/_xlfn.MAXIFS(EvolucionIncidencia[Nuevos 14 dias],EvolucionIncidencia[Area_Sanitaria],EvolucionIncidencia[[#This Row],[Area_Sanitaria]]))</f>
        <v>0.18368067820558107</v>
      </c>
    </row>
    <row r="166" spans="1:28" x14ac:dyDescent="0.3">
      <c r="A166" s="1">
        <v>44190</v>
      </c>
      <c r="B166" s="2" t="s">
        <v>6</v>
      </c>
      <c r="C166" s="15">
        <v>6736</v>
      </c>
      <c r="D166" s="15">
        <v>907</v>
      </c>
      <c r="E166" s="15">
        <v>5755</v>
      </c>
      <c r="F166">
        <v>45</v>
      </c>
      <c r="G166">
        <v>9</v>
      </c>
      <c r="H166" s="15">
        <v>110689</v>
      </c>
      <c r="I166" s="15">
        <v>77</v>
      </c>
      <c r="J166" s="15">
        <v>45786</v>
      </c>
      <c r="K166" s="15">
        <v>39</v>
      </c>
      <c r="L166">
        <v>-15</v>
      </c>
      <c r="M166">
        <v>6</v>
      </c>
      <c r="N166">
        <v>0</v>
      </c>
      <c r="O166" s="15">
        <v>488</v>
      </c>
      <c r="P166" s="15">
        <v>64</v>
      </c>
      <c r="Q166" s="15">
        <v>552</v>
      </c>
      <c r="R166">
        <v>0.98373101952277653</v>
      </c>
      <c r="S166" s="15">
        <v>53</v>
      </c>
      <c r="T166" t="s">
        <v>344</v>
      </c>
      <c r="U166" s="15" t="str">
        <f>TEXT(EvolucionIncidencia[[#This Row],[Fecha]],"DDDD")</f>
        <v>viernes</v>
      </c>
      <c r="V1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0.828125</v>
      </c>
      <c r="W1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77.192927192927201</v>
      </c>
      <c r="X166" s="2">
        <f>IF(EvolucionIncidencia[[#This Row],[Fecha]]&lt;=MIN(EvolucionIncidencia[Fecha])+14,"",EvolucionIncidencia[[#This Row],[NuevasAltas]]-EvolucionIncidencia[[#This Row],[Previsión Altas]])</f>
        <v>-24.192927192927201</v>
      </c>
      <c r="Y1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322</v>
      </c>
      <c r="Z1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766</v>
      </c>
      <c r="AA166" s="2">
        <f>IF(LEN(EvolucionIncidencia[[#This Row],[Nuevos 7 dias]])=0,"",EvolucionIncidencia[[#This Row],[Nuevos 7 dias]]/_xlfn.MAXIFS(EvolucionIncidencia[Nuevos 7 dias],EvolucionIncidencia[Area_Sanitaria],EvolucionIncidencia[[#This Row],[Area_Sanitaria]]))</f>
        <v>0.24486692015209124</v>
      </c>
      <c r="AB166" s="2">
        <f>IF(LEN(EvolucionIncidencia[[#This Row],[Nuevos 14 dias]])=0,"",EvolucionIncidencia[[#This Row],[Nuevos 14 dias]]/_xlfn.MAXIFS(EvolucionIncidencia[Nuevos 14 dias],EvolucionIncidencia[Area_Sanitaria],EvolucionIncidencia[[#This Row],[Area_Sanitaria]]))</f>
        <v>0.31509666803784453</v>
      </c>
    </row>
    <row r="167" spans="1:28" hidden="1" x14ac:dyDescent="0.3">
      <c r="A167" s="1">
        <v>44190</v>
      </c>
      <c r="B167" s="2" t="s">
        <v>7</v>
      </c>
      <c r="C167" s="15">
        <v>9769</v>
      </c>
      <c r="D167" s="15">
        <v>1355</v>
      </c>
      <c r="E167" s="15">
        <v>8234</v>
      </c>
      <c r="F167">
        <v>65</v>
      </c>
      <c r="G167">
        <v>7</v>
      </c>
      <c r="H167" s="15">
        <v>184272</v>
      </c>
      <c r="I167" s="15">
        <v>182</v>
      </c>
      <c r="J167" s="15">
        <v>91457</v>
      </c>
      <c r="K167" s="15">
        <v>99</v>
      </c>
      <c r="L167">
        <v>32</v>
      </c>
      <c r="M167">
        <v>2</v>
      </c>
      <c r="N167">
        <v>0</v>
      </c>
      <c r="O167" s="15">
        <v>1941</v>
      </c>
      <c r="P167" s="15">
        <v>91</v>
      </c>
      <c r="Q167" s="15">
        <v>2032</v>
      </c>
      <c r="R167">
        <v>1.0241874527588812</v>
      </c>
      <c r="S167" s="15">
        <v>64</v>
      </c>
      <c r="T167" t="s">
        <v>344</v>
      </c>
      <c r="U167" s="15" t="str">
        <f>TEXT(EvolucionIncidencia[[#This Row],[Fecha]],"DDDD")</f>
        <v>viernes</v>
      </c>
      <c r="V1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0.70329670329670335</v>
      </c>
      <c r="W1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87.397476166725454</v>
      </c>
      <c r="X167" s="2">
        <f>IF(EvolucionIncidencia[[#This Row],[Fecha]]&lt;=MIN(EvolucionIncidencia[Fecha])+14,"",EvolucionIncidencia[[#This Row],[NuevasAltas]]-EvolucionIncidencia[[#This Row],[Previsión Altas]])</f>
        <v>-23.397476166725454</v>
      </c>
      <c r="Y1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571</v>
      </c>
      <c r="Z1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1266</v>
      </c>
      <c r="AA167" s="2">
        <f>IF(LEN(EvolucionIncidencia[[#This Row],[Nuevos 7 dias]])=0,"",EvolucionIncidencia[[#This Row],[Nuevos 7 dias]]/_xlfn.MAXIFS(EvolucionIncidencia[Nuevos 7 dias],EvolucionIncidencia[Area_Sanitaria],EvolucionIncidencia[[#This Row],[Area_Sanitaria]]))</f>
        <v>0.33627797408716137</v>
      </c>
      <c r="AB167" s="2">
        <f>IF(LEN(EvolucionIncidencia[[#This Row],[Nuevos 14 dias]])=0,"",EvolucionIncidencia[[#This Row],[Nuevos 14 dias]]/_xlfn.MAXIFS(EvolucionIncidencia[Nuevos 14 dias],EvolucionIncidencia[Area_Sanitaria],EvolucionIncidencia[[#This Row],[Area_Sanitaria]]))</f>
        <v>0.39786297925832809</v>
      </c>
    </row>
    <row r="168" spans="1:28" hidden="1" x14ac:dyDescent="0.3">
      <c r="A168" s="1">
        <v>44190</v>
      </c>
      <c r="B168" s="2" t="s">
        <v>2</v>
      </c>
      <c r="C168" s="15">
        <v>12148</v>
      </c>
      <c r="D168" s="15">
        <v>1232</v>
      </c>
      <c r="E168" s="15">
        <v>10659</v>
      </c>
      <c r="F168">
        <v>51</v>
      </c>
      <c r="G168">
        <v>13</v>
      </c>
      <c r="H168" s="15">
        <v>234881</v>
      </c>
      <c r="I168" s="15">
        <v>258</v>
      </c>
      <c r="J168" s="15">
        <v>57852</v>
      </c>
      <c r="K168" s="15">
        <v>88</v>
      </c>
      <c r="L168">
        <v>-47</v>
      </c>
      <c r="M168">
        <v>1</v>
      </c>
      <c r="N168">
        <v>1</v>
      </c>
      <c r="O168" s="15">
        <v>1184</v>
      </c>
      <c r="P168" s="15">
        <v>44</v>
      </c>
      <c r="Q168" s="15">
        <v>1228</v>
      </c>
      <c r="R168">
        <v>0.96325254104769353</v>
      </c>
      <c r="S168" s="15">
        <v>134</v>
      </c>
      <c r="T168" t="s">
        <v>344</v>
      </c>
      <c r="U168" s="15" t="str">
        <f>TEXT(EvolucionIncidencia[[#This Row],[Fecha]],"DDDD")</f>
        <v>viernes</v>
      </c>
      <c r="V1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2.5283018867924527</v>
      </c>
      <c r="W1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53.503423674401937</v>
      </c>
      <c r="X168" s="2">
        <f>IF(EvolucionIncidencia[[#This Row],[Fecha]]&lt;=MIN(EvolucionIncidencia[Fecha])+14,"",EvolucionIncidencia[[#This Row],[NuevasAltas]]-EvolucionIncidencia[[#This Row],[Previsión Altas]])</f>
        <v>80.496576325598056</v>
      </c>
      <c r="Y1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553</v>
      </c>
      <c r="Z1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1146</v>
      </c>
      <c r="AA168" s="2">
        <f>IF(LEN(EvolucionIncidencia[[#This Row],[Nuevos 7 dias]])=0,"",EvolucionIncidencia[[#This Row],[Nuevos 7 dias]]/_xlfn.MAXIFS(EvolucionIncidencia[Nuevos 7 dias],EvolucionIncidencia[Area_Sanitaria],EvolucionIncidencia[[#This Row],[Area_Sanitaria]]))</f>
        <v>0.2851985559566787</v>
      </c>
      <c r="AB168" s="2">
        <f>IF(LEN(EvolucionIncidencia[[#This Row],[Nuevos 14 dias]])=0,"",EvolucionIncidencia[[#This Row],[Nuevos 14 dias]]/_xlfn.MAXIFS(EvolucionIncidencia[Nuevos 14 dias],EvolucionIncidencia[Area_Sanitaria],EvolucionIncidencia[[#This Row],[Area_Sanitaria]]))</f>
        <v>0.31544178364987613</v>
      </c>
    </row>
    <row r="169" spans="1:28" hidden="1" x14ac:dyDescent="0.3">
      <c r="A169" s="1">
        <v>44190</v>
      </c>
      <c r="B169" s="2" t="s">
        <v>3</v>
      </c>
      <c r="C169" s="15">
        <v>61139</v>
      </c>
      <c r="D169" s="15">
        <v>5716</v>
      </c>
      <c r="E169" s="15">
        <v>54065</v>
      </c>
      <c r="F169">
        <v>273</v>
      </c>
      <c r="G169">
        <v>55</v>
      </c>
      <c r="H169" s="15">
        <v>1088871</v>
      </c>
      <c r="I169" s="15">
        <v>1363</v>
      </c>
      <c r="J169" s="15">
        <v>443170</v>
      </c>
      <c r="K169" s="15">
        <v>374</v>
      </c>
      <c r="L169">
        <v>-38</v>
      </c>
      <c r="M169">
        <v>8</v>
      </c>
      <c r="N169">
        <v>1</v>
      </c>
      <c r="O169" s="15">
        <v>6197</v>
      </c>
      <c r="P169" s="15">
        <v>374</v>
      </c>
      <c r="Q169" s="15">
        <v>6571</v>
      </c>
      <c r="R169">
        <v>0.99339589850538756</v>
      </c>
      <c r="S169" s="15">
        <v>403</v>
      </c>
      <c r="T169" t="s">
        <v>344</v>
      </c>
      <c r="U169" s="15" t="str">
        <f>TEXT(EvolucionIncidencia[[#This Row],[Fecha]],"DDDD")</f>
        <v>viernes</v>
      </c>
      <c r="V1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1.1852941176470588</v>
      </c>
      <c r="W1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360.96257091524046</v>
      </c>
      <c r="X169" s="2">
        <f>IF(EvolucionIncidencia[[#This Row],[Fecha]]&lt;=MIN(EvolucionIncidencia[Fecha])+14,"",EvolucionIncidencia[[#This Row],[NuevasAltas]]-EvolucionIncidencia[[#This Row],[Previsión Altas]])</f>
        <v>42.037429084759538</v>
      </c>
      <c r="Y1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2409</v>
      </c>
      <c r="Z1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5078</v>
      </c>
      <c r="AA169" s="2">
        <f>IF(LEN(EvolucionIncidencia[[#This Row],[Nuevos 7 dias]])=0,"",EvolucionIncidencia[[#This Row],[Nuevos 7 dias]]/_xlfn.MAXIFS(EvolucionIncidencia[Nuevos 7 dias],EvolucionIncidencia[Area_Sanitaria],EvolucionIncidencia[[#This Row],[Area_Sanitaria]]))</f>
        <v>0.21235895627644569</v>
      </c>
      <c r="AB169" s="2">
        <f>IF(LEN(EvolucionIncidencia[[#This Row],[Nuevos 14 dias]])=0,"",EvolucionIncidencia[[#This Row],[Nuevos 14 dias]]/_xlfn.MAXIFS(EvolucionIncidencia[Nuevos 14 dias],EvolucionIncidencia[Area_Sanitaria],EvolucionIncidencia[[#This Row],[Area_Sanitaria]]))</f>
        <v>0.24345574839390163</v>
      </c>
    </row>
    <row r="170" spans="1:28" hidden="1" x14ac:dyDescent="0.3">
      <c r="A170" s="1">
        <v>44191</v>
      </c>
      <c r="B170" s="2" t="s">
        <v>4</v>
      </c>
      <c r="C170" s="15">
        <v>13312</v>
      </c>
      <c r="D170" s="15">
        <v>873</v>
      </c>
      <c r="E170" s="15">
        <v>12136</v>
      </c>
      <c r="F170">
        <v>61</v>
      </c>
      <c r="G170">
        <v>18</v>
      </c>
      <c r="H170" s="15">
        <v>228586</v>
      </c>
      <c r="I170" s="15">
        <v>307</v>
      </c>
      <c r="J170" s="15">
        <v>76600</v>
      </c>
      <c r="K170" s="15">
        <v>36</v>
      </c>
      <c r="L170">
        <v>-28</v>
      </c>
      <c r="M170">
        <v>5</v>
      </c>
      <c r="N170">
        <v>1</v>
      </c>
      <c r="O170" s="15">
        <v>341</v>
      </c>
      <c r="P170" s="15">
        <v>63</v>
      </c>
      <c r="Q170" s="15">
        <v>404</v>
      </c>
      <c r="R170">
        <v>0.96892341842397334</v>
      </c>
      <c r="S170" s="15">
        <v>64</v>
      </c>
      <c r="T170" t="s">
        <v>345</v>
      </c>
      <c r="U170" s="15" t="str">
        <f>TEXT(EvolucionIncidencia[[#This Row],[Fecha]],"DDDD")</f>
        <v>sábado</v>
      </c>
      <c r="V1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1.5238095238095237</v>
      </c>
      <c r="W1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48.313696460732217</v>
      </c>
      <c r="X170" s="2">
        <f>IF(EvolucionIncidencia[[#This Row],[Fecha]]&lt;=MIN(EvolucionIncidencia[Fecha])+14,"",EvolucionIncidencia[[#This Row],[NuevasAltas]]-EvolucionIncidencia[[#This Row],[Previsión Altas]])</f>
        <v>15.686303539267783</v>
      </c>
      <c r="Y1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362</v>
      </c>
      <c r="Z1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742</v>
      </c>
      <c r="AA170" s="2">
        <f>IF(LEN(EvolucionIncidencia[[#This Row],[Nuevos 7 dias]])=0,"",EvolucionIncidencia[[#This Row],[Nuevos 7 dias]]/_xlfn.MAXIFS(EvolucionIncidencia[Nuevos 7 dias],EvolucionIncidencia[Area_Sanitaria],EvolucionIncidencia[[#This Row],[Area_Sanitaria]]))</f>
        <v>0.12151728768042967</v>
      </c>
      <c r="AB170" s="2">
        <f>IF(LEN(EvolucionIncidencia[[#This Row],[Nuevos 14 dias]])=0,"",EvolucionIncidencia[[#This Row],[Nuevos 14 dias]]/_xlfn.MAXIFS(EvolucionIncidencia[Nuevos 14 dias],EvolucionIncidencia[Area_Sanitaria],EvolucionIncidencia[[#This Row],[Area_Sanitaria]]))</f>
        <v>0.13647231929372816</v>
      </c>
    </row>
    <row r="171" spans="1:28" hidden="1" x14ac:dyDescent="0.3">
      <c r="A171" s="1">
        <v>44191</v>
      </c>
      <c r="B171" s="2" t="s">
        <v>5</v>
      </c>
      <c r="C171" s="15">
        <v>3909</v>
      </c>
      <c r="D171" s="15">
        <v>348</v>
      </c>
      <c r="E171" s="15">
        <v>3472</v>
      </c>
      <c r="F171">
        <v>25</v>
      </c>
      <c r="G171">
        <v>3</v>
      </c>
      <c r="H171" s="15">
        <v>75538</v>
      </c>
      <c r="I171" s="15">
        <v>87</v>
      </c>
      <c r="J171" s="15">
        <v>30043</v>
      </c>
      <c r="K171" s="15">
        <v>9</v>
      </c>
      <c r="L171">
        <v>-34</v>
      </c>
      <c r="M171">
        <v>-1</v>
      </c>
      <c r="N171">
        <v>1</v>
      </c>
      <c r="O171" s="15">
        <v>266</v>
      </c>
      <c r="P171" s="15">
        <v>17</v>
      </c>
      <c r="Q171" s="15">
        <v>283</v>
      </c>
      <c r="R171">
        <v>0.91099476439790572</v>
      </c>
      <c r="S171" s="15">
        <v>43</v>
      </c>
      <c r="T171" t="s">
        <v>345</v>
      </c>
      <c r="U171" s="15" t="str">
        <f>TEXT(EvolucionIncidencia[[#This Row],[Fecha]],"DDDD")</f>
        <v>sábado</v>
      </c>
      <c r="V1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1.6538461538461537</v>
      </c>
      <c r="W1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35.868460123647395</v>
      </c>
      <c r="X171" s="2">
        <f>IF(EvolucionIncidencia[[#This Row],[Fecha]]&lt;=MIN(EvolucionIncidencia[Fecha])+14,"",EvolucionIncidencia[[#This Row],[NuevasAltas]]-EvolucionIncidencia[[#This Row],[Previsión Altas]])</f>
        <v>7.1315398763526048</v>
      </c>
      <c r="Y1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v>
      </c>
      <c r="Z1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272</v>
      </c>
      <c r="AA171" s="2">
        <f>IF(LEN(EvolucionIncidencia[[#This Row],[Nuevos 7 dias]])=0,"",EvolucionIncidencia[[#This Row],[Nuevos 7 dias]]/_xlfn.MAXIFS(EvolucionIncidencia[Nuevos 7 dias],EvolucionIncidencia[Area_Sanitaria],EvolucionIncidencia[[#This Row],[Area_Sanitaria]]))</f>
        <v>0.12574850299401197</v>
      </c>
      <c r="AB171" s="2">
        <f>IF(LEN(EvolucionIncidencia[[#This Row],[Nuevos 14 dias]])=0,"",EvolucionIncidencia[[#This Row],[Nuevos 14 dias]]/_xlfn.MAXIFS(EvolucionIncidencia[Nuevos 14 dias],EvolucionIncidencia[Area_Sanitaria],EvolucionIncidencia[[#This Row],[Area_Sanitaria]]))</f>
        <v>0.16595485051860892</v>
      </c>
    </row>
    <row r="172" spans="1:28" hidden="1" x14ac:dyDescent="0.3">
      <c r="A172" s="1">
        <v>44191</v>
      </c>
      <c r="B172" s="2" t="s">
        <v>8</v>
      </c>
      <c r="C172" s="15">
        <v>6950</v>
      </c>
      <c r="D172" s="15">
        <v>374</v>
      </c>
      <c r="E172" s="15">
        <v>6429</v>
      </c>
      <c r="F172">
        <v>9</v>
      </c>
      <c r="G172">
        <v>4</v>
      </c>
      <c r="H172" s="15">
        <v>122460</v>
      </c>
      <c r="I172" s="15">
        <v>145</v>
      </c>
      <c r="J172" s="15">
        <v>74455</v>
      </c>
      <c r="K172" s="15">
        <v>11</v>
      </c>
      <c r="L172">
        <v>-7</v>
      </c>
      <c r="M172">
        <v>-1</v>
      </c>
      <c r="N172">
        <v>0</v>
      </c>
      <c r="O172" s="15">
        <v>316</v>
      </c>
      <c r="P172" s="15">
        <v>60</v>
      </c>
      <c r="Q172" s="15">
        <v>376</v>
      </c>
      <c r="R172">
        <v>0.98162729658792647</v>
      </c>
      <c r="S172" s="15">
        <v>17</v>
      </c>
      <c r="T172" t="s">
        <v>345</v>
      </c>
      <c r="U172" s="15" t="str">
        <f>TEXT(EvolucionIncidencia[[#This Row],[Fecha]],"DDDD")</f>
        <v>sábado</v>
      </c>
      <c r="V1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0.73913043478260865</v>
      </c>
      <c r="W1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28.059701840808916</v>
      </c>
      <c r="X172" s="2">
        <f>IF(EvolucionIncidencia[[#This Row],[Fecha]]&lt;=MIN(EvolucionIncidencia[Fecha])+14,"",EvolucionIncidencia[[#This Row],[NuevasAltas]]-EvolucionIncidencia[[#This Row],[Previsión Altas]])</f>
        <v>-11.059701840808916</v>
      </c>
      <c r="Y1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v>
      </c>
      <c r="Z1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331</v>
      </c>
      <c r="AA172" s="2">
        <f>IF(LEN(EvolucionIncidencia[[#This Row],[Nuevos 7 dias]])=0,"",EvolucionIncidencia[[#This Row],[Nuevos 7 dias]]/_xlfn.MAXIFS(EvolucionIncidencia[Nuevos 7 dias],EvolucionIncidencia[Area_Sanitaria],EvolucionIncidencia[[#This Row],[Area_Sanitaria]]))</f>
        <v>0.15280289330922242</v>
      </c>
      <c r="AB172" s="2">
        <f>IF(LEN(EvolucionIncidencia[[#This Row],[Nuevos 14 dias]])=0,"",EvolucionIncidencia[[#This Row],[Nuevos 14 dias]]/_xlfn.MAXIFS(EvolucionIncidencia[Nuevos 14 dias],EvolucionIncidencia[Area_Sanitaria],EvolucionIncidencia[[#This Row],[Area_Sanitaria]]))</f>
        <v>0.16717171717171717</v>
      </c>
    </row>
    <row r="173" spans="1:28" hidden="1" x14ac:dyDescent="0.3">
      <c r="A173" s="1">
        <v>44191</v>
      </c>
      <c r="B173" s="2" t="s">
        <v>9</v>
      </c>
      <c r="C173" s="15">
        <v>8387</v>
      </c>
      <c r="D173" s="15">
        <v>540</v>
      </c>
      <c r="E173" s="15">
        <v>7538</v>
      </c>
      <c r="F173">
        <v>19</v>
      </c>
      <c r="G173">
        <v>4</v>
      </c>
      <c r="H173" s="15">
        <v>133619</v>
      </c>
      <c r="I173" s="15">
        <v>308</v>
      </c>
      <c r="J173" s="15">
        <v>67183</v>
      </c>
      <c r="K173" s="15">
        <v>16</v>
      </c>
      <c r="L173">
        <v>-18</v>
      </c>
      <c r="M173">
        <v>-1</v>
      </c>
      <c r="N173">
        <v>1</v>
      </c>
      <c r="O173" s="15">
        <v>251</v>
      </c>
      <c r="P173" s="15">
        <v>66</v>
      </c>
      <c r="Q173" s="15">
        <v>317</v>
      </c>
      <c r="R173">
        <v>0.967741935483871</v>
      </c>
      <c r="S173" s="15">
        <v>34</v>
      </c>
      <c r="T173" t="s">
        <v>345</v>
      </c>
      <c r="U173" s="15" t="str">
        <f>TEXT(EvolucionIncidencia[[#This Row],[Fecha]],"DDDD")</f>
        <v>sábado</v>
      </c>
      <c r="V1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0.70833333333333337</v>
      </c>
      <c r="W1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47.134824241663608</v>
      </c>
      <c r="X173" s="2">
        <f>IF(EvolucionIncidencia[[#This Row],[Fecha]]&lt;=MIN(EvolucionIncidencia[Fecha])+14,"",EvolucionIncidencia[[#This Row],[NuevasAltas]]-EvolucionIncidencia[[#This Row],[Previsión Altas]])</f>
        <v>-13.134824241663608</v>
      </c>
      <c r="Y1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277</v>
      </c>
      <c r="Z1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488</v>
      </c>
      <c r="AA173" s="2">
        <f>IF(LEN(EvolucionIncidencia[[#This Row],[Nuevos 7 dias]])=0,"",EvolucionIncidencia[[#This Row],[Nuevos 7 dias]]/_xlfn.MAXIFS(EvolucionIncidencia[Nuevos 7 dias],EvolucionIncidencia[Area_Sanitaria],EvolucionIncidencia[[#This Row],[Area_Sanitaria]]))</f>
        <v>0.17654557042702357</v>
      </c>
      <c r="AB173" s="2">
        <f>IF(LEN(EvolucionIncidencia[[#This Row],[Nuevos 14 dias]])=0,"",EvolucionIncidencia[[#This Row],[Nuevos 14 dias]]/_xlfn.MAXIFS(EvolucionIncidencia[Nuevos 14 dias],EvolucionIncidencia[Area_Sanitaria],EvolucionIncidencia[[#This Row],[Area_Sanitaria]]))</f>
        <v>0.17237725185446839</v>
      </c>
    </row>
    <row r="174" spans="1:28" x14ac:dyDescent="0.3">
      <c r="A174" s="1">
        <v>44191</v>
      </c>
      <c r="B174" s="2" t="s">
        <v>6</v>
      </c>
      <c r="C174" s="15">
        <v>6782</v>
      </c>
      <c r="D174" s="15">
        <v>896</v>
      </c>
      <c r="E174" s="15">
        <v>5812</v>
      </c>
      <c r="F174">
        <v>45</v>
      </c>
      <c r="G174">
        <v>11</v>
      </c>
      <c r="H174" s="15">
        <v>111195</v>
      </c>
      <c r="I174" s="15">
        <v>77</v>
      </c>
      <c r="J174" s="15">
        <v>45839</v>
      </c>
      <c r="K174" s="15">
        <v>46</v>
      </c>
      <c r="L174">
        <v>-11</v>
      </c>
      <c r="M174">
        <v>0</v>
      </c>
      <c r="N174">
        <v>2</v>
      </c>
      <c r="O174" s="15">
        <v>506</v>
      </c>
      <c r="P174" s="15">
        <v>53</v>
      </c>
      <c r="Q174" s="15">
        <v>559</v>
      </c>
      <c r="R174">
        <v>0.98787210584343987</v>
      </c>
      <c r="S174" s="15">
        <v>57</v>
      </c>
      <c r="T174" t="s">
        <v>345</v>
      </c>
      <c r="U174" s="15" t="str">
        <f>TEXT(EvolucionIncidencia[[#This Row],[Fecha]],"DDDD")</f>
        <v>sábado</v>
      </c>
      <c r="V1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0.83823529411764708</v>
      </c>
      <c r="W1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78.345344407844422</v>
      </c>
      <c r="X174" s="2">
        <f>IF(EvolucionIncidencia[[#This Row],[Fecha]]&lt;=MIN(EvolucionIncidencia[Fecha])+14,"",EvolucionIncidencia[[#This Row],[NuevasAltas]]-EvolucionIncidencia[[#This Row],[Previsión Altas]])</f>
        <v>-21.345344407844422</v>
      </c>
      <c r="Y1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310</v>
      </c>
      <c r="Z1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744</v>
      </c>
      <c r="AA174" s="2">
        <f>IF(LEN(EvolucionIncidencia[[#This Row],[Nuevos 7 dias]])=0,"",EvolucionIncidencia[[#This Row],[Nuevos 7 dias]]/_xlfn.MAXIFS(EvolucionIncidencia[Nuevos 7 dias],EvolucionIncidencia[Area_Sanitaria],EvolucionIncidencia[[#This Row],[Area_Sanitaria]]))</f>
        <v>0.23574144486692014</v>
      </c>
      <c r="AB174" s="2">
        <f>IF(LEN(EvolucionIncidencia[[#This Row],[Nuevos 14 dias]])=0,"",EvolucionIncidencia[[#This Row],[Nuevos 14 dias]]/_xlfn.MAXIFS(EvolucionIncidencia[Nuevos 14 dias],EvolucionIncidencia[Area_Sanitaria],EvolucionIncidencia[[#This Row],[Area_Sanitaria]]))</f>
        <v>0.3060468942821884</v>
      </c>
    </row>
    <row r="175" spans="1:28" hidden="1" x14ac:dyDescent="0.3">
      <c r="A175" s="1">
        <v>44191</v>
      </c>
      <c r="B175" s="2" t="s">
        <v>7</v>
      </c>
      <c r="C175" s="15">
        <v>9848</v>
      </c>
      <c r="D175" s="15">
        <v>1352</v>
      </c>
      <c r="E175" s="15">
        <v>8314</v>
      </c>
      <c r="F175">
        <v>69</v>
      </c>
      <c r="G175">
        <v>7</v>
      </c>
      <c r="H175" s="15">
        <v>184920</v>
      </c>
      <c r="I175" s="15">
        <v>184</v>
      </c>
      <c r="J175" s="15">
        <v>91549</v>
      </c>
      <c r="K175" s="15">
        <v>79</v>
      </c>
      <c r="L175">
        <v>-3</v>
      </c>
      <c r="M175">
        <v>4</v>
      </c>
      <c r="N175">
        <v>0</v>
      </c>
      <c r="O175" s="15">
        <v>648</v>
      </c>
      <c r="P175" s="15">
        <v>92</v>
      </c>
      <c r="Q175" s="15">
        <v>740</v>
      </c>
      <c r="R175">
        <v>0.99778597785977863</v>
      </c>
      <c r="S175" s="15">
        <v>80</v>
      </c>
      <c r="T175" t="s">
        <v>345</v>
      </c>
      <c r="U175" s="15" t="str">
        <f>TEXT(EvolucionIncidencia[[#This Row],[Fecha]],"DDDD")</f>
        <v>sábado</v>
      </c>
      <c r="V1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1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88.673385042439349</v>
      </c>
      <c r="X175" s="2">
        <f>IF(EvolucionIncidencia[[#This Row],[Fecha]]&lt;=MIN(EvolucionIncidencia[Fecha])+14,"",EvolucionIncidencia[[#This Row],[NuevasAltas]]-EvolucionIncidencia[[#This Row],[Previsión Altas]])</f>
        <v>-8.6733850424393495</v>
      </c>
      <c r="Y1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569</v>
      </c>
      <c r="Z1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1249</v>
      </c>
      <c r="AA175" s="2">
        <f>IF(LEN(EvolucionIncidencia[[#This Row],[Nuevos 7 dias]])=0,"",EvolucionIncidencia[[#This Row],[Nuevos 7 dias]]/_xlfn.MAXIFS(EvolucionIncidencia[Nuevos 7 dias],EvolucionIncidencia[Area_Sanitaria],EvolucionIncidencia[[#This Row],[Area_Sanitaria]]))</f>
        <v>0.33510011778563015</v>
      </c>
      <c r="AB175" s="2">
        <f>IF(LEN(EvolucionIncidencia[[#This Row],[Nuevos 14 dias]])=0,"",EvolucionIncidencia[[#This Row],[Nuevos 14 dias]]/_xlfn.MAXIFS(EvolucionIncidencia[Nuevos 14 dias],EvolucionIncidencia[Area_Sanitaria],EvolucionIncidencia[[#This Row],[Area_Sanitaria]]))</f>
        <v>0.39252042740414833</v>
      </c>
    </row>
    <row r="176" spans="1:28" hidden="1" x14ac:dyDescent="0.3">
      <c r="A176" s="1">
        <v>44191</v>
      </c>
      <c r="B176" s="2" t="s">
        <v>2</v>
      </c>
      <c r="C176" s="15">
        <v>12187</v>
      </c>
      <c r="D176" s="15">
        <v>1226</v>
      </c>
      <c r="E176" s="15">
        <v>10701</v>
      </c>
      <c r="F176">
        <v>50</v>
      </c>
      <c r="G176">
        <v>11</v>
      </c>
      <c r="H176" s="15">
        <v>235406</v>
      </c>
      <c r="I176" s="15">
        <v>261</v>
      </c>
      <c r="J176" s="15">
        <v>57919</v>
      </c>
      <c r="K176" s="15">
        <v>39</v>
      </c>
      <c r="L176">
        <v>-6</v>
      </c>
      <c r="M176">
        <v>-1</v>
      </c>
      <c r="N176">
        <v>-2</v>
      </c>
      <c r="O176" s="15">
        <v>525</v>
      </c>
      <c r="P176" s="15">
        <v>67</v>
      </c>
      <c r="Q176" s="15">
        <v>592</v>
      </c>
      <c r="R176">
        <v>0.99512987012987009</v>
      </c>
      <c r="S176" s="15">
        <v>42</v>
      </c>
      <c r="T176" t="s">
        <v>345</v>
      </c>
      <c r="U176" s="15" t="str">
        <f>TEXT(EvolucionIncidencia[[#This Row],[Fecha]],"DDDD")</f>
        <v>sábado</v>
      </c>
      <c r="V1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0.45161290322580644</v>
      </c>
      <c r="W1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114.06175312753714</v>
      </c>
      <c r="X176" s="2">
        <f>IF(EvolucionIncidencia[[#This Row],[Fecha]]&lt;=MIN(EvolucionIncidencia[Fecha])+14,"",EvolucionIncidencia[[#This Row],[NuevasAltas]]-EvolucionIncidencia[[#This Row],[Previsión Altas]])</f>
        <v>-72.061753127537145</v>
      </c>
      <c r="Y1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516</v>
      </c>
      <c r="Z1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1092</v>
      </c>
      <c r="AA176" s="2">
        <f>IF(LEN(EvolucionIncidencia[[#This Row],[Nuevos 7 dias]])=0,"",EvolucionIncidencia[[#This Row],[Nuevos 7 dias]]/_xlfn.MAXIFS(EvolucionIncidencia[Nuevos 7 dias],EvolucionIncidencia[Area_Sanitaria],EvolucionIncidencia[[#This Row],[Area_Sanitaria]]))</f>
        <v>0.26611655492521918</v>
      </c>
      <c r="AB176" s="2">
        <f>IF(LEN(EvolucionIncidencia[[#This Row],[Nuevos 14 dias]])=0,"",EvolucionIncidencia[[#This Row],[Nuevos 14 dias]]/_xlfn.MAXIFS(EvolucionIncidencia[Nuevos 14 dias],EvolucionIncidencia[Area_Sanitaria],EvolucionIncidencia[[#This Row],[Area_Sanitaria]]))</f>
        <v>0.30057803468208094</v>
      </c>
    </row>
    <row r="177" spans="1:28" hidden="1" x14ac:dyDescent="0.3">
      <c r="A177" s="1">
        <v>44191</v>
      </c>
      <c r="B177" s="2" t="s">
        <v>3</v>
      </c>
      <c r="C177" s="15">
        <v>61375</v>
      </c>
      <c r="D177" s="15">
        <v>5609</v>
      </c>
      <c r="E177" s="15">
        <v>54402</v>
      </c>
      <c r="F177">
        <v>278</v>
      </c>
      <c r="G177">
        <v>58</v>
      </c>
      <c r="H177" s="15">
        <v>1091724</v>
      </c>
      <c r="I177" s="15">
        <v>1369</v>
      </c>
      <c r="J177" s="15">
        <v>443588</v>
      </c>
      <c r="K177" s="15">
        <v>236</v>
      </c>
      <c r="L177">
        <v>-107</v>
      </c>
      <c r="M177">
        <v>5</v>
      </c>
      <c r="N177">
        <v>3</v>
      </c>
      <c r="O177" s="15">
        <v>2853</v>
      </c>
      <c r="P177" s="15">
        <v>418</v>
      </c>
      <c r="Q177" s="15">
        <v>3271</v>
      </c>
      <c r="R177">
        <v>0.98128061581525539</v>
      </c>
      <c r="S177" s="15">
        <v>337</v>
      </c>
      <c r="T177" t="s">
        <v>345</v>
      </c>
      <c r="U177" s="15" t="str">
        <f>TEXT(EvolucionIncidencia[[#This Row],[Fecha]],"DDDD")</f>
        <v>sábado</v>
      </c>
      <c r="V1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0.85101010101010099</v>
      </c>
      <c r="W1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427.40969264479469</v>
      </c>
      <c r="X177" s="2">
        <f>IF(EvolucionIncidencia[[#This Row],[Fecha]]&lt;=MIN(EvolucionIncidencia[Fecha])+14,"",EvolucionIncidencia[[#This Row],[NuevasAltas]]-EvolucionIncidencia[[#This Row],[Previsión Altas]])</f>
        <v>-90.409692644794688</v>
      </c>
      <c r="Y1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2308</v>
      </c>
      <c r="Z1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4918</v>
      </c>
      <c r="AA177" s="2">
        <f>IF(LEN(EvolucionIncidencia[[#This Row],[Nuevos 7 dias]])=0,"",EvolucionIncidencia[[#This Row],[Nuevos 7 dias]]/_xlfn.MAXIFS(EvolucionIncidencia[Nuevos 7 dias],EvolucionIncidencia[Area_Sanitaria],EvolucionIncidencia[[#This Row],[Area_Sanitaria]]))</f>
        <v>0.20345557122708038</v>
      </c>
      <c r="AB177" s="2">
        <f>IF(LEN(EvolucionIncidencia[[#This Row],[Nuevos 14 dias]])=0,"",EvolucionIncidencia[[#This Row],[Nuevos 14 dias]]/_xlfn.MAXIFS(EvolucionIncidencia[Nuevos 14 dias],EvolucionIncidencia[Area_Sanitaria],EvolucionIncidencia[[#This Row],[Area_Sanitaria]]))</f>
        <v>0.2357848307603797</v>
      </c>
    </row>
    <row r="178" spans="1:28" hidden="1" x14ac:dyDescent="0.3">
      <c r="A178" s="1">
        <v>44192</v>
      </c>
      <c r="B178" s="2" t="s">
        <v>4</v>
      </c>
      <c r="C178" s="15">
        <v>13360</v>
      </c>
      <c r="D178" s="15">
        <v>860</v>
      </c>
      <c r="E178" s="15">
        <v>12197</v>
      </c>
      <c r="F178">
        <v>66</v>
      </c>
      <c r="G178">
        <v>17</v>
      </c>
      <c r="H178" s="15">
        <v>229720</v>
      </c>
      <c r="I178" s="15">
        <v>307</v>
      </c>
      <c r="J178" s="15">
        <v>76680</v>
      </c>
      <c r="K178" s="15">
        <v>48</v>
      </c>
      <c r="L178">
        <v>-13</v>
      </c>
      <c r="M178">
        <v>5</v>
      </c>
      <c r="N178">
        <v>-1</v>
      </c>
      <c r="O178" s="15">
        <v>1134</v>
      </c>
      <c r="P178" s="15">
        <v>80</v>
      </c>
      <c r="Q178" s="15">
        <v>1214</v>
      </c>
      <c r="R178">
        <v>0.98510882016036661</v>
      </c>
      <c r="S178" s="15">
        <v>61</v>
      </c>
      <c r="T178" t="s">
        <v>346</v>
      </c>
      <c r="U178" s="15" t="str">
        <f>TEXT(EvolucionIncidencia[[#This Row],[Fecha]],"DDDD")</f>
        <v>domingo</v>
      </c>
      <c r="V1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0.93846153846153846</v>
      </c>
      <c r="W1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77.805749671527266</v>
      </c>
      <c r="X178" s="2">
        <f>IF(EvolucionIncidencia[[#This Row],[Fecha]]&lt;=MIN(EvolucionIncidencia[Fecha])+14,"",EvolucionIncidencia[[#This Row],[NuevasAltas]]-EvolucionIncidencia[[#This Row],[Previsión Altas]])</f>
        <v>-16.805749671527266</v>
      </c>
      <c r="Y1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357</v>
      </c>
      <c r="Z1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725</v>
      </c>
      <c r="AA178" s="2">
        <f>IF(LEN(EvolucionIncidencia[[#This Row],[Nuevos 7 dias]])=0,"",EvolucionIncidencia[[#This Row],[Nuevos 7 dias]]/_xlfn.MAXIFS(EvolucionIncidencia[Nuevos 7 dias],EvolucionIncidencia[Area_Sanitaria],EvolucionIncidencia[[#This Row],[Area_Sanitaria]]))</f>
        <v>0.11983887210473314</v>
      </c>
      <c r="AB178" s="2">
        <f>IF(LEN(EvolucionIncidencia[[#This Row],[Nuevos 14 dias]])=0,"",EvolucionIncidencia[[#This Row],[Nuevos 14 dias]]/_xlfn.MAXIFS(EvolucionIncidencia[Nuevos 14 dias],EvolucionIncidencia[Area_Sanitaria],EvolucionIncidencia[[#This Row],[Area_Sanitaria]]))</f>
        <v>0.13334559499724113</v>
      </c>
    </row>
    <row r="179" spans="1:28" hidden="1" x14ac:dyDescent="0.3">
      <c r="A179" s="1">
        <v>44192</v>
      </c>
      <c r="B179" s="2" t="s">
        <v>5</v>
      </c>
      <c r="C179" s="15">
        <v>3925</v>
      </c>
      <c r="D179" s="15">
        <v>336</v>
      </c>
      <c r="E179" s="15">
        <v>3500</v>
      </c>
      <c r="F179">
        <v>24</v>
      </c>
      <c r="G179">
        <v>4</v>
      </c>
      <c r="H179" s="15">
        <v>75919</v>
      </c>
      <c r="I179" s="15">
        <v>87</v>
      </c>
      <c r="J179" s="15">
        <v>30082</v>
      </c>
      <c r="K179" s="15">
        <v>16</v>
      </c>
      <c r="L179">
        <v>-12</v>
      </c>
      <c r="M179">
        <v>-1</v>
      </c>
      <c r="N179">
        <v>1</v>
      </c>
      <c r="O179" s="15">
        <v>381</v>
      </c>
      <c r="P179" s="15">
        <v>39</v>
      </c>
      <c r="Q179" s="15">
        <v>420</v>
      </c>
      <c r="R179">
        <v>0.96551724137931039</v>
      </c>
      <c r="S179" s="15">
        <v>28</v>
      </c>
      <c r="T179" t="s">
        <v>346</v>
      </c>
      <c r="U179" s="15" t="str">
        <f>TEXT(EvolucionIncidencia[[#This Row],[Fecha]],"DDDD")</f>
        <v>domingo</v>
      </c>
      <c r="V1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0.5714285714285714</v>
      </c>
      <c r="W1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69.278277992360856</v>
      </c>
      <c r="X179" s="2">
        <f>IF(EvolucionIncidencia[[#This Row],[Fecha]]&lt;=MIN(EvolucionIncidencia[Fecha])+14,"",EvolucionIncidencia[[#This Row],[NuevasAltas]]-EvolucionIncidencia[[#This Row],[Previsión Altas]])</f>
        <v>-41.278277992360856</v>
      </c>
      <c r="Y1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v>
      </c>
      <c r="Z1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239</v>
      </c>
      <c r="AA179" s="2">
        <f>IF(LEN(EvolucionIncidencia[[#This Row],[Nuevos 7 dias]])=0,"",EvolucionIncidencia[[#This Row],[Nuevos 7 dias]]/_xlfn.MAXIFS(EvolucionIncidencia[Nuevos 7 dias],EvolucionIncidencia[Area_Sanitaria],EvolucionIncidencia[[#This Row],[Area_Sanitaria]]))</f>
        <v>0.12934131736526946</v>
      </c>
      <c r="AB179" s="2">
        <f>IF(LEN(EvolucionIncidencia[[#This Row],[Nuevos 14 dias]])=0,"",EvolucionIncidencia[[#This Row],[Nuevos 14 dias]]/_xlfn.MAXIFS(EvolucionIncidencia[Nuevos 14 dias],EvolucionIncidencia[Area_Sanitaria],EvolucionIncidencia[[#This Row],[Area_Sanitaria]]))</f>
        <v>0.14582062233068943</v>
      </c>
    </row>
    <row r="180" spans="1:28" hidden="1" x14ac:dyDescent="0.3">
      <c r="A180" s="1">
        <v>44192</v>
      </c>
      <c r="B180" s="2" t="s">
        <v>8</v>
      </c>
      <c r="C180" s="15">
        <v>6993</v>
      </c>
      <c r="D180" s="15">
        <v>397</v>
      </c>
      <c r="E180" s="15">
        <v>6449</v>
      </c>
      <c r="F180">
        <v>11</v>
      </c>
      <c r="G180">
        <v>3</v>
      </c>
      <c r="H180" s="15">
        <v>123071</v>
      </c>
      <c r="I180" s="15">
        <v>145</v>
      </c>
      <c r="J180" s="15">
        <v>74519</v>
      </c>
      <c r="K180" s="15">
        <v>43</v>
      </c>
      <c r="L180">
        <v>23</v>
      </c>
      <c r="M180">
        <v>2</v>
      </c>
      <c r="N180">
        <v>-1</v>
      </c>
      <c r="O180" s="15">
        <v>611</v>
      </c>
      <c r="P180" s="15">
        <v>64</v>
      </c>
      <c r="Q180" s="15">
        <v>675</v>
      </c>
      <c r="R180">
        <v>1.0614973262032086</v>
      </c>
      <c r="S180" s="15">
        <v>20</v>
      </c>
      <c r="T180" t="s">
        <v>346</v>
      </c>
      <c r="U180" s="15" t="str">
        <f>TEXT(EvolucionIncidencia[[#This Row],[Fecha]],"DDDD")</f>
        <v>domingo</v>
      </c>
      <c r="V1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1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23.197599226702437</v>
      </c>
      <c r="X180" s="2">
        <f>IF(EvolucionIncidencia[[#This Row],[Fecha]]&lt;=MIN(EvolucionIncidencia[Fecha])+14,"",EvolucionIncidencia[[#This Row],[NuevasAltas]]-EvolucionIncidencia[[#This Row],[Previsión Altas]])</f>
        <v>-3.1975992267024367</v>
      </c>
      <c r="Y1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195</v>
      </c>
      <c r="Z1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354</v>
      </c>
      <c r="AA180" s="2">
        <f>IF(LEN(EvolucionIncidencia[[#This Row],[Nuevos 7 dias]])=0,"",EvolucionIncidencia[[#This Row],[Nuevos 7 dias]]/_xlfn.MAXIFS(EvolucionIncidencia[Nuevos 7 dias],EvolucionIncidencia[Area_Sanitaria],EvolucionIncidencia[[#This Row],[Area_Sanitaria]]))</f>
        <v>0.1763110307414105</v>
      </c>
      <c r="AB180" s="2">
        <f>IF(LEN(EvolucionIncidencia[[#This Row],[Nuevos 14 dias]])=0,"",EvolucionIncidencia[[#This Row],[Nuevos 14 dias]]/_xlfn.MAXIFS(EvolucionIncidencia[Nuevos 14 dias],EvolucionIncidencia[Area_Sanitaria],EvolucionIncidencia[[#This Row],[Area_Sanitaria]]))</f>
        <v>0.1787878787878788</v>
      </c>
    </row>
    <row r="181" spans="1:28" hidden="1" x14ac:dyDescent="0.3">
      <c r="A181" s="1">
        <v>44192</v>
      </c>
      <c r="B181" s="2" t="s">
        <v>9</v>
      </c>
      <c r="C181" s="15">
        <v>8408</v>
      </c>
      <c r="D181" s="15">
        <v>525</v>
      </c>
      <c r="E181" s="15">
        <v>7574</v>
      </c>
      <c r="F181">
        <v>22</v>
      </c>
      <c r="G181">
        <v>4</v>
      </c>
      <c r="H181" s="15">
        <v>134040</v>
      </c>
      <c r="I181" s="15">
        <v>308</v>
      </c>
      <c r="J181" s="15">
        <v>67234</v>
      </c>
      <c r="K181" s="15">
        <v>21</v>
      </c>
      <c r="L181">
        <v>-15</v>
      </c>
      <c r="M181">
        <v>3</v>
      </c>
      <c r="N181">
        <v>0</v>
      </c>
      <c r="O181" s="15">
        <v>421</v>
      </c>
      <c r="P181" s="15">
        <v>51</v>
      </c>
      <c r="Q181" s="15">
        <v>472</v>
      </c>
      <c r="R181">
        <v>0.97222222222222221</v>
      </c>
      <c r="S181" s="15">
        <v>36</v>
      </c>
      <c r="T181" t="s">
        <v>346</v>
      </c>
      <c r="U181" s="15" t="str">
        <f>TEXT(EvolucionIncidencia[[#This Row],[Fecha]],"DDDD")</f>
        <v>domingo</v>
      </c>
      <c r="V1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0.87804878048780488</v>
      </c>
      <c r="W1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38.85857957645171</v>
      </c>
      <c r="X181" s="2">
        <f>IF(EvolucionIncidencia[[#This Row],[Fecha]]&lt;=MIN(EvolucionIncidencia[Fecha])+14,"",EvolucionIncidencia[[#This Row],[NuevasAltas]]-EvolucionIncidencia[[#This Row],[Previsión Altas]])</f>
        <v>-2.8585795764517101</v>
      </c>
      <c r="Y1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254</v>
      </c>
      <c r="Z1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468</v>
      </c>
      <c r="AA181" s="2">
        <f>IF(LEN(EvolucionIncidencia[[#This Row],[Nuevos 7 dias]])=0,"",EvolucionIncidencia[[#This Row],[Nuevos 7 dias]]/_xlfn.MAXIFS(EvolucionIncidencia[Nuevos 7 dias],EvolucionIncidencia[Area_Sanitaria],EvolucionIncidencia[[#This Row],[Area_Sanitaria]]))</f>
        <v>0.16188655194391333</v>
      </c>
      <c r="AB181" s="2">
        <f>IF(LEN(EvolucionIncidencia[[#This Row],[Nuevos 14 dias]])=0,"",EvolucionIncidencia[[#This Row],[Nuevos 14 dias]]/_xlfn.MAXIFS(EvolucionIncidencia[Nuevos 14 dias],EvolucionIncidencia[Area_Sanitaria],EvolucionIncidencia[[#This Row],[Area_Sanitaria]]))</f>
        <v>0.16531261038502296</v>
      </c>
    </row>
    <row r="182" spans="1:28" x14ac:dyDescent="0.3">
      <c r="A182" s="1">
        <v>44192</v>
      </c>
      <c r="B182" s="2" t="s">
        <v>6</v>
      </c>
      <c r="C182" s="15">
        <v>6819</v>
      </c>
      <c r="D182" s="15">
        <v>866</v>
      </c>
      <c r="E182" s="15">
        <v>5879</v>
      </c>
      <c r="F182">
        <v>50</v>
      </c>
      <c r="G182">
        <v>11</v>
      </c>
      <c r="H182" s="15">
        <v>111937</v>
      </c>
      <c r="I182" s="15">
        <v>77</v>
      </c>
      <c r="J182" s="15">
        <v>45905</v>
      </c>
      <c r="K182" s="15">
        <v>37</v>
      </c>
      <c r="L182">
        <v>-30</v>
      </c>
      <c r="M182">
        <v>5</v>
      </c>
      <c r="N182">
        <v>0</v>
      </c>
      <c r="O182" s="15">
        <v>742</v>
      </c>
      <c r="P182" s="15">
        <v>66</v>
      </c>
      <c r="Q182" s="15">
        <v>808</v>
      </c>
      <c r="R182">
        <v>0.9665178571428571</v>
      </c>
      <c r="S182" s="15">
        <v>67</v>
      </c>
      <c r="T182" t="s">
        <v>346</v>
      </c>
      <c r="U182" s="15" t="str">
        <f>TEXT(EvolucionIncidencia[[#This Row],[Fecha]],"DDDD")</f>
        <v>domingo</v>
      </c>
      <c r="V1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1.2884615384615385</v>
      </c>
      <c r="W1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57.870781919954723</v>
      </c>
      <c r="X182" s="2">
        <f>IF(EvolucionIncidencia[[#This Row],[Fecha]]&lt;=MIN(EvolucionIncidencia[Fecha])+14,"",EvolucionIncidencia[[#This Row],[NuevasAltas]]-EvolucionIncidencia[[#This Row],[Previsión Altas]])</f>
        <v>9.1292180800452769</v>
      </c>
      <c r="Y1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321</v>
      </c>
      <c r="Z1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729</v>
      </c>
      <c r="AA182" s="2">
        <f>IF(LEN(EvolucionIncidencia[[#This Row],[Nuevos 7 dias]])=0,"",EvolucionIncidencia[[#This Row],[Nuevos 7 dias]]/_xlfn.MAXIFS(EvolucionIncidencia[Nuevos 7 dias],EvolucionIncidencia[Area_Sanitaria],EvolucionIncidencia[[#This Row],[Area_Sanitaria]]))</f>
        <v>0.24410646387832699</v>
      </c>
      <c r="AB182" s="2">
        <f>IF(LEN(EvolucionIncidencia[[#This Row],[Nuevos 14 dias]])=0,"",EvolucionIncidencia[[#This Row],[Nuevos 14 dias]]/_xlfn.MAXIFS(EvolucionIncidencia[Nuevos 14 dias],EvolucionIncidencia[Area_Sanitaria],EvolucionIncidencia[[#This Row],[Area_Sanitaria]]))</f>
        <v>0.29987659399424105</v>
      </c>
    </row>
    <row r="183" spans="1:28" hidden="1" x14ac:dyDescent="0.3">
      <c r="A183" s="1">
        <v>44192</v>
      </c>
      <c r="B183" s="2" t="s">
        <v>7</v>
      </c>
      <c r="C183" s="15">
        <v>9924</v>
      </c>
      <c r="D183" s="15">
        <v>1347</v>
      </c>
      <c r="E183" s="15">
        <v>8395</v>
      </c>
      <c r="F183">
        <v>71</v>
      </c>
      <c r="G183">
        <v>7</v>
      </c>
      <c r="H183" s="15">
        <v>185800</v>
      </c>
      <c r="I183" s="15">
        <v>184</v>
      </c>
      <c r="J183" s="15">
        <v>91655</v>
      </c>
      <c r="K183" s="15">
        <v>76</v>
      </c>
      <c r="L183">
        <v>-5</v>
      </c>
      <c r="M183">
        <v>2</v>
      </c>
      <c r="N183">
        <v>0</v>
      </c>
      <c r="O183" s="15">
        <v>880</v>
      </c>
      <c r="P183" s="15">
        <v>106</v>
      </c>
      <c r="Q183" s="15">
        <v>986</v>
      </c>
      <c r="R183">
        <v>0.99630177514792895</v>
      </c>
      <c r="S183" s="15">
        <v>81</v>
      </c>
      <c r="T183" t="s">
        <v>346</v>
      </c>
      <c r="U183" s="15" t="str">
        <f>TEXT(EvolucionIncidencia[[#This Row],[Fecha]],"DDDD")</f>
        <v>domingo</v>
      </c>
      <c r="V1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0.92045454545454541</v>
      </c>
      <c r="W1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80.290110919456552</v>
      </c>
      <c r="X183" s="2">
        <f>IF(EvolucionIncidencia[[#This Row],[Fecha]]&lt;=MIN(EvolucionIncidencia[Fecha])+14,"",EvolucionIncidencia[[#This Row],[NuevasAltas]]-EvolucionIncidencia[[#This Row],[Previsión Altas]])</f>
        <v>0.7098890805434479</v>
      </c>
      <c r="Y1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581</v>
      </c>
      <c r="Z1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1237</v>
      </c>
      <c r="AA183" s="2">
        <f>IF(LEN(EvolucionIncidencia[[#This Row],[Nuevos 7 dias]])=0,"",EvolucionIncidencia[[#This Row],[Nuevos 7 dias]]/_xlfn.MAXIFS(EvolucionIncidencia[Nuevos 7 dias],EvolucionIncidencia[Area_Sanitaria],EvolucionIncidencia[[#This Row],[Area_Sanitaria]]))</f>
        <v>0.34216725559481742</v>
      </c>
      <c r="AB183" s="2">
        <f>IF(LEN(EvolucionIncidencia[[#This Row],[Nuevos 14 dias]])=0,"",EvolucionIncidencia[[#This Row],[Nuevos 14 dias]]/_xlfn.MAXIFS(EvolucionIncidencia[Nuevos 14 dias],EvolucionIncidencia[Area_Sanitaria],EvolucionIncidencia[[#This Row],[Area_Sanitaria]]))</f>
        <v>0.38874921433060966</v>
      </c>
    </row>
    <row r="184" spans="1:28" hidden="1" x14ac:dyDescent="0.3">
      <c r="A184" s="1">
        <v>44192</v>
      </c>
      <c r="B184" s="2" t="s">
        <v>2</v>
      </c>
      <c r="C184" s="15">
        <v>12239</v>
      </c>
      <c r="D184" s="15">
        <v>1177</v>
      </c>
      <c r="E184" s="15">
        <v>10801</v>
      </c>
      <c r="F184">
        <v>51</v>
      </c>
      <c r="G184">
        <v>12</v>
      </c>
      <c r="H184" s="15">
        <v>236261</v>
      </c>
      <c r="I184" s="15">
        <v>262</v>
      </c>
      <c r="J184" s="15">
        <v>57983</v>
      </c>
      <c r="K184" s="15">
        <v>52</v>
      </c>
      <c r="L184">
        <v>-49</v>
      </c>
      <c r="M184">
        <v>1</v>
      </c>
      <c r="N184">
        <v>1</v>
      </c>
      <c r="O184" s="15">
        <v>855</v>
      </c>
      <c r="P184" s="15">
        <v>64</v>
      </c>
      <c r="Q184" s="15">
        <v>919</v>
      </c>
      <c r="R184">
        <v>0.96003262642740617</v>
      </c>
      <c r="S184" s="15">
        <v>100</v>
      </c>
      <c r="T184" t="s">
        <v>346</v>
      </c>
      <c r="U184" s="15" t="str">
        <f>TEXT(EvolucionIncidencia[[#This Row],[Fecha]],"DDDD")</f>
        <v>domingo</v>
      </c>
      <c r="V1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1.7857142857142858</v>
      </c>
      <c r="W1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63.25834304569161</v>
      </c>
      <c r="X184" s="2">
        <f>IF(EvolucionIncidencia[[#This Row],[Fecha]]&lt;=MIN(EvolucionIncidencia[Fecha])+14,"",EvolucionIncidencia[[#This Row],[NuevasAltas]]-EvolucionIncidencia[[#This Row],[Previsión Altas]])</f>
        <v>36.74165695430839</v>
      </c>
      <c r="Y1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499</v>
      </c>
      <c r="Z1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1088</v>
      </c>
      <c r="AA184" s="2">
        <f>IF(LEN(EvolucionIncidencia[[#This Row],[Nuevos 7 dias]])=0,"",EvolucionIncidencia[[#This Row],[Nuevos 7 dias]]/_xlfn.MAXIFS(EvolucionIncidencia[Nuevos 7 dias],EvolucionIncidencia[Area_Sanitaria],EvolucionIncidencia[[#This Row],[Area_Sanitaria]]))</f>
        <v>0.25734914904589995</v>
      </c>
      <c r="AB184" s="2">
        <f>IF(LEN(EvolucionIncidencia[[#This Row],[Nuevos 14 dias]])=0,"",EvolucionIncidencia[[#This Row],[Nuevos 14 dias]]/_xlfn.MAXIFS(EvolucionIncidencia[Nuevos 14 dias],EvolucionIncidencia[Area_Sanitaria],EvolucionIncidencia[[#This Row],[Area_Sanitaria]]))</f>
        <v>0.29947701624002204</v>
      </c>
    </row>
    <row r="185" spans="1:28" hidden="1" x14ac:dyDescent="0.3">
      <c r="A185" s="1">
        <v>44192</v>
      </c>
      <c r="B185" s="2" t="s">
        <v>3</v>
      </c>
      <c r="C185" s="15">
        <v>61668</v>
      </c>
      <c r="D185" s="15">
        <v>5508</v>
      </c>
      <c r="E185" s="15">
        <v>54795</v>
      </c>
      <c r="F185">
        <v>295</v>
      </c>
      <c r="G185">
        <v>58</v>
      </c>
      <c r="H185" s="15">
        <v>1096748</v>
      </c>
      <c r="I185" s="15">
        <v>1370</v>
      </c>
      <c r="J185" s="15">
        <v>444058</v>
      </c>
      <c r="K185" s="15">
        <v>293</v>
      </c>
      <c r="L185">
        <v>-101</v>
      </c>
      <c r="M185">
        <v>17</v>
      </c>
      <c r="N185">
        <v>0</v>
      </c>
      <c r="O185" s="15">
        <v>5024</v>
      </c>
      <c r="P185" s="15">
        <v>470</v>
      </c>
      <c r="Q185" s="15">
        <v>5494</v>
      </c>
      <c r="R185">
        <v>0.98199322517382781</v>
      </c>
      <c r="S185" s="15">
        <v>393</v>
      </c>
      <c r="T185" t="s">
        <v>346</v>
      </c>
      <c r="U185" s="15" t="str">
        <f>TEXT(EvolucionIncidencia[[#This Row],[Fecha]],"DDDD")</f>
        <v>domingo</v>
      </c>
      <c r="V1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1.059299191374663</v>
      </c>
      <c r="W1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389.83900624953651</v>
      </c>
      <c r="X185" s="2">
        <f>IF(EvolucionIncidencia[[#This Row],[Fecha]]&lt;=MIN(EvolucionIncidencia[Fecha])+14,"",EvolucionIncidencia[[#This Row],[NuevasAltas]]-EvolucionIncidencia[[#This Row],[Previsión Altas]])</f>
        <v>3.16099375046349</v>
      </c>
      <c r="Y1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2315</v>
      </c>
      <c r="Z1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4840</v>
      </c>
      <c r="AA185" s="2">
        <f>IF(LEN(EvolucionIncidencia[[#This Row],[Nuevos 7 dias]])=0,"",EvolucionIncidencia[[#This Row],[Nuevos 7 dias]]/_xlfn.MAXIFS(EvolucionIncidencia[Nuevos 7 dias],EvolucionIncidencia[Area_Sanitaria],EvolucionIncidencia[[#This Row],[Area_Sanitaria]]))</f>
        <v>0.20407263751763047</v>
      </c>
      <c r="AB185" s="2">
        <f>IF(LEN(EvolucionIncidencia[[#This Row],[Nuevos 14 dias]])=0,"",EvolucionIncidencia[[#This Row],[Nuevos 14 dias]]/_xlfn.MAXIFS(EvolucionIncidencia[Nuevos 14 dias],EvolucionIncidencia[Area_Sanitaria],EvolucionIncidencia[[#This Row],[Area_Sanitaria]]))</f>
        <v>0.23204525841403778</v>
      </c>
    </row>
    <row r="186" spans="1:28" hidden="1" x14ac:dyDescent="0.3">
      <c r="A186" s="1">
        <v>44193</v>
      </c>
      <c r="B186" s="2" t="s">
        <v>4</v>
      </c>
      <c r="C186" s="15">
        <v>13414</v>
      </c>
      <c r="D186" s="15">
        <v>884</v>
      </c>
      <c r="E186" s="15">
        <v>12223</v>
      </c>
      <c r="F186">
        <v>71</v>
      </c>
      <c r="G186">
        <v>18</v>
      </c>
      <c r="H186" s="15">
        <v>230377</v>
      </c>
      <c r="I186" s="15">
        <v>311</v>
      </c>
      <c r="J186" s="15">
        <v>76850</v>
      </c>
      <c r="K186" s="15">
        <v>54</v>
      </c>
      <c r="L186">
        <v>24</v>
      </c>
      <c r="M186">
        <v>5</v>
      </c>
      <c r="N186">
        <v>1</v>
      </c>
      <c r="O186" s="15">
        <v>657</v>
      </c>
      <c r="P186" s="15">
        <v>170</v>
      </c>
      <c r="Q186" s="15">
        <v>827</v>
      </c>
      <c r="R186">
        <v>1.027906976744186</v>
      </c>
      <c r="S186" s="15">
        <v>26</v>
      </c>
      <c r="T186" t="s">
        <v>347</v>
      </c>
      <c r="U186" s="15" t="str">
        <f>TEXT(EvolucionIncidencia[[#This Row],[Fecha]],"DDDD")</f>
        <v>lunes</v>
      </c>
      <c r="V1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1.2380952380952381</v>
      </c>
      <c r="W1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24.53395888002834</v>
      </c>
      <c r="X186" s="2">
        <f>IF(EvolucionIncidencia[[#This Row],[Fecha]]&lt;=MIN(EvolucionIncidencia[Fecha])+14,"",EvolucionIncidencia[[#This Row],[NuevasAltas]]-EvolucionIncidencia[[#This Row],[Previsión Altas]])</f>
        <v>1.4660411199716599</v>
      </c>
      <c r="Y1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388</v>
      </c>
      <c r="Z1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758</v>
      </c>
      <c r="AA186" s="2">
        <f>IF(LEN(EvolucionIncidencia[[#This Row],[Nuevos 7 dias]])=0,"",EvolucionIncidencia[[#This Row],[Nuevos 7 dias]]/_xlfn.MAXIFS(EvolucionIncidencia[Nuevos 7 dias],EvolucionIncidencia[Area_Sanitaria],EvolucionIncidencia[[#This Row],[Area_Sanitaria]]))</f>
        <v>0.13024504867405171</v>
      </c>
      <c r="AB186" s="2">
        <f>IF(LEN(EvolucionIncidencia[[#This Row],[Nuevos 14 dias]])=0,"",EvolucionIncidencia[[#This Row],[Nuevos 14 dias]]/_xlfn.MAXIFS(EvolucionIncidencia[Nuevos 14 dias],EvolucionIncidencia[Area_Sanitaria],EvolucionIncidencia[[#This Row],[Area_Sanitaria]]))</f>
        <v>0.13941511863159831</v>
      </c>
    </row>
    <row r="187" spans="1:28" hidden="1" x14ac:dyDescent="0.3">
      <c r="A187" s="1">
        <v>44193</v>
      </c>
      <c r="B187" s="2" t="s">
        <v>5</v>
      </c>
      <c r="C187" s="15">
        <v>3954</v>
      </c>
      <c r="D187" s="15">
        <v>337</v>
      </c>
      <c r="E187" s="15">
        <v>3527</v>
      </c>
      <c r="F187">
        <v>27</v>
      </c>
      <c r="G187">
        <v>4</v>
      </c>
      <c r="H187" s="15">
        <v>76156</v>
      </c>
      <c r="I187" s="15">
        <v>88</v>
      </c>
      <c r="J187" s="15">
        <v>30134</v>
      </c>
      <c r="K187" s="15">
        <v>29</v>
      </c>
      <c r="L187">
        <v>1</v>
      </c>
      <c r="M187">
        <v>3</v>
      </c>
      <c r="N187">
        <v>0</v>
      </c>
      <c r="O187" s="15">
        <v>237</v>
      </c>
      <c r="P187" s="15">
        <v>52</v>
      </c>
      <c r="Q187" s="15">
        <v>289</v>
      </c>
      <c r="R187">
        <v>1.0029761904761905</v>
      </c>
      <c r="S187" s="15">
        <v>27</v>
      </c>
      <c r="T187" t="s">
        <v>347</v>
      </c>
      <c r="U187" s="15" t="str">
        <f>TEXT(EvolucionIncidencia[[#This Row],[Fecha]],"DDDD")</f>
        <v>lunes</v>
      </c>
      <c r="V1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1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23.764335670974972</v>
      </c>
      <c r="X187" s="2">
        <f>IF(EvolucionIncidencia[[#This Row],[Fecha]]&lt;=MIN(EvolucionIncidencia[Fecha])+14,"",EvolucionIncidencia[[#This Row],[NuevasAltas]]-EvolucionIncidencia[[#This Row],[Previsión Altas]])</f>
        <v>3.2356643290250275</v>
      </c>
      <c r="Y1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v>
      </c>
      <c r="Z1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250</v>
      </c>
      <c r="AA187" s="2">
        <f>IF(LEN(EvolucionIncidencia[[#This Row],[Nuevos 7 dias]])=0,"",EvolucionIncidencia[[#This Row],[Nuevos 7 dias]]/_xlfn.MAXIFS(EvolucionIncidencia[Nuevos 7 dias],EvolucionIncidencia[Area_Sanitaria],EvolucionIncidencia[[#This Row],[Area_Sanitaria]]))</f>
        <v>0.1497005988023952</v>
      </c>
      <c r="AB187" s="2">
        <f>IF(LEN(EvolucionIncidencia[[#This Row],[Nuevos 14 dias]])=0,"",EvolucionIncidencia[[#This Row],[Nuevos 14 dias]]/_xlfn.MAXIFS(EvolucionIncidencia[Nuevos 14 dias],EvolucionIncidencia[Area_Sanitaria],EvolucionIncidencia[[#This Row],[Area_Sanitaria]]))</f>
        <v>0.1525320317266626</v>
      </c>
    </row>
    <row r="188" spans="1:28" hidden="1" x14ac:dyDescent="0.3">
      <c r="A188" s="1">
        <v>44193</v>
      </c>
      <c r="B188" s="2" t="s">
        <v>8</v>
      </c>
      <c r="C188" s="15">
        <v>7009</v>
      </c>
      <c r="D188" s="15">
        <v>397</v>
      </c>
      <c r="E188" s="15">
        <v>6465</v>
      </c>
      <c r="F188">
        <v>10</v>
      </c>
      <c r="G188">
        <v>3</v>
      </c>
      <c r="H188" s="15">
        <v>123460</v>
      </c>
      <c r="I188" s="15">
        <v>145</v>
      </c>
      <c r="J188" s="15">
        <v>74626</v>
      </c>
      <c r="K188" s="15">
        <v>16</v>
      </c>
      <c r="L188">
        <v>0</v>
      </c>
      <c r="M188">
        <v>-1</v>
      </c>
      <c r="N188">
        <v>0</v>
      </c>
      <c r="O188" s="15">
        <v>389</v>
      </c>
      <c r="P188" s="15">
        <v>107</v>
      </c>
      <c r="Q188" s="15">
        <v>496</v>
      </c>
      <c r="R188">
        <v>1</v>
      </c>
      <c r="S188" s="15">
        <v>16</v>
      </c>
      <c r="T188" t="s">
        <v>347</v>
      </c>
      <c r="U188" s="15" t="str">
        <f>TEXT(EvolucionIncidencia[[#This Row],[Fecha]],"DDDD")</f>
        <v>lunes</v>
      </c>
      <c r="V1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1.2307692307692308</v>
      </c>
      <c r="W1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14.847501775428075</v>
      </c>
      <c r="X188" s="2">
        <f>IF(EvolucionIncidencia[[#This Row],[Fecha]]&lt;=MIN(EvolucionIncidencia[Fecha])+14,"",EvolucionIncidencia[[#This Row],[NuevasAltas]]-EvolucionIncidencia[[#This Row],[Previsión Altas]])</f>
        <v>1.1524982245719251</v>
      </c>
      <c r="Y1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194</v>
      </c>
      <c r="Z1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357</v>
      </c>
      <c r="AA188" s="2">
        <f>IF(LEN(EvolucionIncidencia[[#This Row],[Nuevos 7 dias]])=0,"",EvolucionIncidencia[[#This Row],[Nuevos 7 dias]]/_xlfn.MAXIFS(EvolucionIncidencia[Nuevos 7 dias],EvolucionIncidencia[Area_Sanitaria],EvolucionIncidencia[[#This Row],[Area_Sanitaria]]))</f>
        <v>0.17540687160940324</v>
      </c>
      <c r="AB188" s="2">
        <f>IF(LEN(EvolucionIncidencia[[#This Row],[Nuevos 14 dias]])=0,"",EvolucionIncidencia[[#This Row],[Nuevos 14 dias]]/_xlfn.MAXIFS(EvolucionIncidencia[Nuevos 14 dias],EvolucionIncidencia[Area_Sanitaria],EvolucionIncidencia[[#This Row],[Area_Sanitaria]]))</f>
        <v>0.1803030303030303</v>
      </c>
    </row>
    <row r="189" spans="1:28" hidden="1" x14ac:dyDescent="0.3">
      <c r="A189" s="1">
        <v>44193</v>
      </c>
      <c r="B189" s="2" t="s">
        <v>9</v>
      </c>
      <c r="C189" s="15">
        <v>8435</v>
      </c>
      <c r="D189" s="15">
        <v>525</v>
      </c>
      <c r="E189" s="15">
        <v>7601</v>
      </c>
      <c r="F189">
        <v>21</v>
      </c>
      <c r="G189">
        <v>4</v>
      </c>
      <c r="H189" s="15">
        <v>134691</v>
      </c>
      <c r="I189" s="15">
        <v>308</v>
      </c>
      <c r="J189" s="15">
        <v>67336</v>
      </c>
      <c r="K189" s="15">
        <v>27</v>
      </c>
      <c r="L189">
        <v>0</v>
      </c>
      <c r="M189">
        <v>-1</v>
      </c>
      <c r="N189">
        <v>0</v>
      </c>
      <c r="O189" s="15">
        <v>651</v>
      </c>
      <c r="P189" s="15">
        <v>102</v>
      </c>
      <c r="Q189" s="15">
        <v>753</v>
      </c>
      <c r="R189">
        <v>1</v>
      </c>
      <c r="S189" s="15">
        <v>27</v>
      </c>
      <c r="T189" t="s">
        <v>347</v>
      </c>
      <c r="U189" s="15" t="str">
        <f>TEXT(EvolucionIncidencia[[#This Row],[Fecha]],"DDDD")</f>
        <v>lunes</v>
      </c>
      <c r="V1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2.25</v>
      </c>
      <c r="W1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11.280280865418332</v>
      </c>
      <c r="X189" s="2">
        <f>IF(EvolucionIncidencia[[#This Row],[Fecha]]&lt;=MIN(EvolucionIncidencia[Fecha])+14,"",EvolucionIncidencia[[#This Row],[NuevasAltas]]-EvolucionIncidencia[[#This Row],[Previsión Altas]])</f>
        <v>15.719719134581668</v>
      </c>
      <c r="Y1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230</v>
      </c>
      <c r="Z1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483</v>
      </c>
      <c r="AA189" s="2">
        <f>IF(LEN(EvolucionIncidencia[[#This Row],[Nuevos 7 dias]])=0,"",EvolucionIncidencia[[#This Row],[Nuevos 7 dias]]/_xlfn.MAXIFS(EvolucionIncidencia[Nuevos 7 dias],EvolucionIncidencia[Area_Sanitaria],EvolucionIncidencia[[#This Row],[Area_Sanitaria]]))</f>
        <v>0.14659018483110262</v>
      </c>
      <c r="AB189" s="2">
        <f>IF(LEN(EvolucionIncidencia[[#This Row],[Nuevos 14 dias]])=0,"",EvolucionIncidencia[[#This Row],[Nuevos 14 dias]]/_xlfn.MAXIFS(EvolucionIncidencia[Nuevos 14 dias],EvolucionIncidencia[Area_Sanitaria],EvolucionIncidencia[[#This Row],[Area_Sanitaria]]))</f>
        <v>0.17061109148710704</v>
      </c>
    </row>
    <row r="190" spans="1:28" x14ac:dyDescent="0.3">
      <c r="A190" s="1">
        <v>44193</v>
      </c>
      <c r="B190" s="2" t="s">
        <v>6</v>
      </c>
      <c r="C190" s="15">
        <v>6858</v>
      </c>
      <c r="D190" s="15">
        <v>852</v>
      </c>
      <c r="E190" s="15">
        <v>5932</v>
      </c>
      <c r="F190">
        <v>44</v>
      </c>
      <c r="G190">
        <v>10</v>
      </c>
      <c r="H190" s="15">
        <v>112437</v>
      </c>
      <c r="I190" s="15">
        <v>77</v>
      </c>
      <c r="J190" s="15">
        <v>46011</v>
      </c>
      <c r="K190" s="15">
        <v>39</v>
      </c>
      <c r="L190">
        <v>-14</v>
      </c>
      <c r="M190">
        <v>-6</v>
      </c>
      <c r="N190">
        <v>-1</v>
      </c>
      <c r="O190" s="15">
        <v>500</v>
      </c>
      <c r="P190" s="15">
        <v>106</v>
      </c>
      <c r="Q190" s="15">
        <v>606</v>
      </c>
      <c r="R190">
        <v>0.9838337182448037</v>
      </c>
      <c r="S190" s="15">
        <v>53</v>
      </c>
      <c r="T190" t="s">
        <v>347</v>
      </c>
      <c r="U190" s="15" t="str">
        <f>TEXT(EvolucionIncidencia[[#This Row],[Fecha]],"DDDD")</f>
        <v>lunes</v>
      </c>
      <c r="V1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0.64634146341463417</v>
      </c>
      <c r="W1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92.857335340791238</v>
      </c>
      <c r="X190" s="2">
        <f>IF(EvolucionIncidencia[[#This Row],[Fecha]]&lt;=MIN(EvolucionIncidencia[Fecha])+14,"",EvolucionIncidencia[[#This Row],[NuevasAltas]]-EvolucionIncidencia[[#This Row],[Previsión Altas]])</f>
        <v>-39.857335340791238</v>
      </c>
      <c r="Y1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315</v>
      </c>
      <c r="Z1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686</v>
      </c>
      <c r="AA190" s="2">
        <f>IF(LEN(EvolucionIncidencia[[#This Row],[Nuevos 7 dias]])=0,"",EvolucionIncidencia[[#This Row],[Nuevos 7 dias]]/_xlfn.MAXIFS(EvolucionIncidencia[Nuevos 7 dias],EvolucionIncidencia[Area_Sanitaria],EvolucionIncidencia[[#This Row],[Area_Sanitaria]]))</f>
        <v>0.23954372623574144</v>
      </c>
      <c r="AB190" s="2">
        <f>IF(LEN(EvolucionIncidencia[[#This Row],[Nuevos 14 dias]])=0,"",EvolucionIncidencia[[#This Row],[Nuevos 14 dias]]/_xlfn.MAXIFS(EvolucionIncidencia[Nuevos 14 dias],EvolucionIncidencia[Area_Sanitaria],EvolucionIncidencia[[#This Row],[Area_Sanitaria]]))</f>
        <v>0.28218839983545868</v>
      </c>
    </row>
    <row r="191" spans="1:28" hidden="1" x14ac:dyDescent="0.3">
      <c r="A191" s="1">
        <v>44193</v>
      </c>
      <c r="B191" s="2" t="s">
        <v>7</v>
      </c>
      <c r="C191" s="15">
        <v>9996</v>
      </c>
      <c r="D191" s="15">
        <v>1336</v>
      </c>
      <c r="E191" s="15">
        <v>8474</v>
      </c>
      <c r="F191">
        <v>74</v>
      </c>
      <c r="G191">
        <v>5</v>
      </c>
      <c r="H191" s="15">
        <v>186535</v>
      </c>
      <c r="I191" s="15">
        <v>188</v>
      </c>
      <c r="J191" s="15">
        <v>91849</v>
      </c>
      <c r="K191" s="15">
        <v>72</v>
      </c>
      <c r="L191">
        <v>-11</v>
      </c>
      <c r="M191">
        <v>3</v>
      </c>
      <c r="N191">
        <v>-2</v>
      </c>
      <c r="O191" s="15">
        <v>735</v>
      </c>
      <c r="P191" s="15">
        <v>194</v>
      </c>
      <c r="Q191" s="15">
        <v>929</v>
      </c>
      <c r="R191">
        <v>0.99183370452858199</v>
      </c>
      <c r="S191" s="15">
        <v>79</v>
      </c>
      <c r="T191" t="s">
        <v>347</v>
      </c>
      <c r="U191" s="15" t="str">
        <f>TEXT(EvolucionIncidencia[[#This Row],[Fecha]],"DDDD")</f>
        <v>lunes</v>
      </c>
      <c r="V1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1.0128205128205128</v>
      </c>
      <c r="W1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71.236147997147597</v>
      </c>
      <c r="X191" s="2">
        <f>IF(EvolucionIncidencia[[#This Row],[Fecha]]&lt;=MIN(EvolucionIncidencia[Fecha])+14,"",EvolucionIncidencia[[#This Row],[NuevasAltas]]-EvolucionIncidencia[[#This Row],[Previsión Altas]])</f>
        <v>7.7638520028524027</v>
      </c>
      <c r="Y1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598</v>
      </c>
      <c r="Z1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1231</v>
      </c>
      <c r="AA191" s="2">
        <f>IF(LEN(EvolucionIncidencia[[#This Row],[Nuevos 7 dias]])=0,"",EvolucionIncidencia[[#This Row],[Nuevos 7 dias]]/_xlfn.MAXIFS(EvolucionIncidencia[Nuevos 7 dias],EvolucionIncidencia[Area_Sanitaria],EvolucionIncidencia[[#This Row],[Area_Sanitaria]]))</f>
        <v>0.35217903415783275</v>
      </c>
      <c r="AB191" s="2">
        <f>IF(LEN(EvolucionIncidencia[[#This Row],[Nuevos 14 dias]])=0,"",EvolucionIncidencia[[#This Row],[Nuevos 14 dias]]/_xlfn.MAXIFS(EvolucionIncidencia[Nuevos 14 dias],EvolucionIncidencia[Area_Sanitaria],EvolucionIncidencia[[#This Row],[Area_Sanitaria]]))</f>
        <v>0.38686360779384033</v>
      </c>
    </row>
    <row r="192" spans="1:28" hidden="1" x14ac:dyDescent="0.3">
      <c r="A192" s="1">
        <v>44193</v>
      </c>
      <c r="B192" s="2" t="s">
        <v>2</v>
      </c>
      <c r="C192" s="15">
        <v>12316</v>
      </c>
      <c r="D192" s="15">
        <v>1192</v>
      </c>
      <c r="E192" s="15">
        <v>10862</v>
      </c>
      <c r="F192">
        <v>44</v>
      </c>
      <c r="G192">
        <v>12</v>
      </c>
      <c r="H192" s="15">
        <v>236973</v>
      </c>
      <c r="I192" s="15">
        <v>263</v>
      </c>
      <c r="J192" s="15">
        <v>58090</v>
      </c>
      <c r="K192" s="15">
        <v>77</v>
      </c>
      <c r="L192">
        <v>15</v>
      </c>
      <c r="M192">
        <v>-7</v>
      </c>
      <c r="N192">
        <v>0</v>
      </c>
      <c r="O192" s="15">
        <v>712</v>
      </c>
      <c r="P192" s="15">
        <v>107</v>
      </c>
      <c r="Q192" s="15">
        <v>819</v>
      </c>
      <c r="R192">
        <v>1.0127442650807137</v>
      </c>
      <c r="S192" s="15">
        <v>61</v>
      </c>
      <c r="T192" t="s">
        <v>347</v>
      </c>
      <c r="U192" s="15" t="str">
        <f>TEXT(EvolucionIncidencia[[#This Row],[Fecha]],"DDDD")</f>
        <v>lunes</v>
      </c>
      <c r="V1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v>
      </c>
      <c r="W1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60.125669083882237</v>
      </c>
      <c r="X192" s="2">
        <f>IF(EvolucionIncidencia[[#This Row],[Fecha]]&lt;=MIN(EvolucionIncidencia[Fecha])+14,"",EvolucionIncidencia[[#This Row],[NuevasAltas]]-EvolucionIncidencia[[#This Row],[Previsión Altas]])</f>
        <v>0.87433091611776348</v>
      </c>
      <c r="Y1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530</v>
      </c>
      <c r="Z1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1115</v>
      </c>
      <c r="AA192" s="2">
        <f>IF(LEN(EvolucionIncidencia[[#This Row],[Nuevos 7 dias]])=0,"",EvolucionIncidencia[[#This Row],[Nuevos 7 dias]]/_xlfn.MAXIFS(EvolucionIncidencia[Nuevos 7 dias],EvolucionIncidencia[Area_Sanitaria],EvolucionIncidencia[[#This Row],[Area_Sanitaria]]))</f>
        <v>0.27333677153171737</v>
      </c>
      <c r="AB192" s="2">
        <f>IF(LEN(EvolucionIncidencia[[#This Row],[Nuevos 14 dias]])=0,"",EvolucionIncidencia[[#This Row],[Nuevos 14 dias]]/_xlfn.MAXIFS(EvolucionIncidencia[Nuevos 14 dias],EvolucionIncidencia[Area_Sanitaria],EvolucionIncidencia[[#This Row],[Area_Sanitaria]]))</f>
        <v>0.30690889072391964</v>
      </c>
    </row>
    <row r="193" spans="1:28" hidden="1" x14ac:dyDescent="0.3">
      <c r="A193" s="1">
        <v>44193</v>
      </c>
      <c r="B193" s="2" t="s">
        <v>3</v>
      </c>
      <c r="C193" s="15">
        <v>61982</v>
      </c>
      <c r="D193" s="15">
        <v>5523</v>
      </c>
      <c r="E193" s="15">
        <v>55084</v>
      </c>
      <c r="F193">
        <v>291</v>
      </c>
      <c r="G193">
        <v>56</v>
      </c>
      <c r="H193" s="15">
        <v>1100629</v>
      </c>
      <c r="I193" s="15">
        <v>1380</v>
      </c>
      <c r="J193" s="15">
        <v>444896</v>
      </c>
      <c r="K193" s="15">
        <v>314</v>
      </c>
      <c r="L193">
        <v>15</v>
      </c>
      <c r="M193">
        <v>-4</v>
      </c>
      <c r="N193">
        <v>-2</v>
      </c>
      <c r="O193" s="15">
        <v>3881</v>
      </c>
      <c r="P193" s="15">
        <v>838</v>
      </c>
      <c r="Q193" s="15">
        <v>4719</v>
      </c>
      <c r="R193">
        <v>1.002723311546841</v>
      </c>
      <c r="S193" s="15">
        <v>289</v>
      </c>
      <c r="T193" t="s">
        <v>347</v>
      </c>
      <c r="U193" s="15" t="str">
        <f>TEXT(EvolucionIncidencia[[#This Row],[Fecha]],"DDDD")</f>
        <v>lunes</v>
      </c>
      <c r="V1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1.0547445255474452</v>
      </c>
      <c r="W1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288.17283668732676</v>
      </c>
      <c r="X193" s="2">
        <f>IF(EvolucionIncidencia[[#This Row],[Fecha]]&lt;=MIN(EvolucionIncidencia[Fecha])+14,"",EvolucionIncidencia[[#This Row],[NuevasAltas]]-EvolucionIncidencia[[#This Row],[Previsión Altas]])</f>
        <v>0.8271633126732354</v>
      </c>
      <c r="Y1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2380</v>
      </c>
      <c r="Z1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4880</v>
      </c>
      <c r="AA193" s="2">
        <f>IF(LEN(EvolucionIncidencia[[#This Row],[Nuevos 7 dias]])=0,"",EvolucionIncidencia[[#This Row],[Nuevos 7 dias]]/_xlfn.MAXIFS(EvolucionIncidencia[Nuevos 7 dias],EvolucionIncidencia[Area_Sanitaria],EvolucionIncidencia[[#This Row],[Area_Sanitaria]]))</f>
        <v>0.20980253878702398</v>
      </c>
      <c r="AB193" s="2">
        <f>IF(LEN(EvolucionIncidencia[[#This Row],[Nuevos 14 dias]])=0,"",EvolucionIncidencia[[#This Row],[Nuevos 14 dias]]/_xlfn.MAXIFS(EvolucionIncidencia[Nuevos 14 dias],EvolucionIncidencia[Area_Sanitaria],EvolucionIncidencia[[#This Row],[Area_Sanitaria]]))</f>
        <v>0.23396298782241826</v>
      </c>
    </row>
    <row r="194" spans="1:28" hidden="1" x14ac:dyDescent="0.3">
      <c r="A194" s="1">
        <v>44194</v>
      </c>
      <c r="B194" s="2" t="s">
        <v>4</v>
      </c>
      <c r="C194" s="15">
        <v>13535</v>
      </c>
      <c r="D194" s="15">
        <v>956</v>
      </c>
      <c r="E194" s="15">
        <v>12272</v>
      </c>
      <c r="F194">
        <v>71</v>
      </c>
      <c r="G194">
        <v>18</v>
      </c>
      <c r="H194" s="15">
        <v>231633</v>
      </c>
      <c r="I194" s="15">
        <v>311</v>
      </c>
      <c r="J194" s="15">
        <v>77039</v>
      </c>
      <c r="K194" s="15">
        <v>121</v>
      </c>
      <c r="L194">
        <v>72</v>
      </c>
      <c r="M194">
        <v>0</v>
      </c>
      <c r="N194">
        <v>0</v>
      </c>
      <c r="O194" s="15">
        <v>1256</v>
      </c>
      <c r="P194" s="15">
        <v>189</v>
      </c>
      <c r="Q194" s="15">
        <v>1445</v>
      </c>
      <c r="R194">
        <v>1.0814479638009049</v>
      </c>
      <c r="S194" s="15">
        <v>49</v>
      </c>
      <c r="T194" t="s">
        <v>348</v>
      </c>
      <c r="U194" s="15" t="str">
        <f>TEXT(EvolucionIncidencia[[#This Row],[Fecha]],"DDDD")</f>
        <v>martes</v>
      </c>
      <c r="V1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1.0888888888888888</v>
      </c>
      <c r="W1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52.886920697197517</v>
      </c>
      <c r="X194" s="2">
        <f>IF(EvolucionIncidencia[[#This Row],[Fecha]]&lt;=MIN(EvolucionIncidencia[Fecha])+14,"",EvolucionIncidencia[[#This Row],[NuevasAltas]]-EvolucionIncidencia[[#This Row],[Previsión Altas]])</f>
        <v>-3.8869206971975174</v>
      </c>
      <c r="Y1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445</v>
      </c>
      <c r="Z1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834</v>
      </c>
      <c r="AA194" s="2">
        <f>IF(LEN(EvolucionIncidencia[[#This Row],[Nuevos 7 dias]])=0,"",EvolucionIncidencia[[#This Row],[Nuevos 7 dias]]/_xlfn.MAXIFS(EvolucionIncidencia[Nuevos 7 dias],EvolucionIncidencia[Area_Sanitaria],EvolucionIncidencia[[#This Row],[Area_Sanitaria]]))</f>
        <v>0.14937898623699228</v>
      </c>
      <c r="AB194" s="2">
        <f>IF(LEN(EvolucionIncidencia[[#This Row],[Nuevos 14 dias]])=0,"",EvolucionIncidencia[[#This Row],[Nuevos 14 dias]]/_xlfn.MAXIFS(EvolucionIncidencia[Nuevos 14 dias],EvolucionIncidencia[Area_Sanitaria],EvolucionIncidencia[[#This Row],[Area_Sanitaria]]))</f>
        <v>0.15339341548648153</v>
      </c>
    </row>
    <row r="195" spans="1:28" hidden="1" x14ac:dyDescent="0.3">
      <c r="A195" s="1">
        <v>44194</v>
      </c>
      <c r="B195" s="2" t="s">
        <v>5</v>
      </c>
      <c r="C195" s="15">
        <v>3969</v>
      </c>
      <c r="D195" s="15">
        <v>327</v>
      </c>
      <c r="E195" s="15">
        <v>3551</v>
      </c>
      <c r="F195">
        <v>31</v>
      </c>
      <c r="G195">
        <v>3</v>
      </c>
      <c r="H195" s="15">
        <v>76468</v>
      </c>
      <c r="I195" s="15">
        <v>89</v>
      </c>
      <c r="J195" s="15">
        <v>30177</v>
      </c>
      <c r="K195" s="15">
        <v>15</v>
      </c>
      <c r="L195">
        <v>-10</v>
      </c>
      <c r="M195">
        <v>4</v>
      </c>
      <c r="N195">
        <v>-1</v>
      </c>
      <c r="O195" s="15">
        <v>312</v>
      </c>
      <c r="P195" s="15">
        <v>43</v>
      </c>
      <c r="Q195" s="15">
        <v>355</v>
      </c>
      <c r="R195">
        <v>0.97032640949554894</v>
      </c>
      <c r="S195" s="15">
        <v>24</v>
      </c>
      <c r="T195" t="s">
        <v>348</v>
      </c>
      <c r="U195" s="15" t="str">
        <f>TEXT(EvolucionIncidencia[[#This Row],[Fecha]],"DDDD")</f>
        <v>martes</v>
      </c>
      <c r="V1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0.70588235294117652</v>
      </c>
      <c r="W1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45.499370640657453</v>
      </c>
      <c r="X195" s="2">
        <f>IF(EvolucionIncidencia[[#This Row],[Fecha]]&lt;=MIN(EvolucionIncidencia[Fecha])+14,"",EvolucionIncidencia[[#This Row],[NuevasAltas]]-EvolucionIncidencia[[#This Row],[Previsión Altas]])</f>
        <v>-21.499370640657453</v>
      </c>
      <c r="Y1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v>
      </c>
      <c r="Z1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231</v>
      </c>
      <c r="AA195" s="2">
        <f>IF(LEN(EvolucionIncidencia[[#This Row],[Nuevos 7 dias]])=0,"",EvolucionIncidencia[[#This Row],[Nuevos 7 dias]]/_xlfn.MAXIFS(EvolucionIncidencia[Nuevos 7 dias],EvolucionIncidencia[Area_Sanitaria],EvolucionIncidencia[[#This Row],[Area_Sanitaria]]))</f>
        <v>0.14730538922155689</v>
      </c>
      <c r="AB195" s="2">
        <f>IF(LEN(EvolucionIncidencia[[#This Row],[Nuevos 14 dias]])=0,"",EvolucionIncidencia[[#This Row],[Nuevos 14 dias]]/_xlfn.MAXIFS(EvolucionIncidencia[Nuevos 14 dias],EvolucionIncidencia[Area_Sanitaria],EvolucionIncidencia[[#This Row],[Area_Sanitaria]]))</f>
        <v>0.14093959731543623</v>
      </c>
    </row>
    <row r="196" spans="1:28" hidden="1" x14ac:dyDescent="0.3">
      <c r="A196" s="1">
        <v>44194</v>
      </c>
      <c r="B196" s="2" t="s">
        <v>8</v>
      </c>
      <c r="C196" s="15">
        <v>7059</v>
      </c>
      <c r="D196" s="15">
        <v>430</v>
      </c>
      <c r="E196" s="15">
        <v>6482</v>
      </c>
      <c r="F196">
        <v>12</v>
      </c>
      <c r="G196">
        <v>2</v>
      </c>
      <c r="H196" s="15">
        <v>124244</v>
      </c>
      <c r="I196" s="15">
        <v>145</v>
      </c>
      <c r="J196" s="15">
        <v>74737</v>
      </c>
      <c r="K196" s="15">
        <v>50</v>
      </c>
      <c r="L196">
        <v>33</v>
      </c>
      <c r="M196">
        <v>2</v>
      </c>
      <c r="N196">
        <v>-1</v>
      </c>
      <c r="O196" s="15">
        <v>784</v>
      </c>
      <c r="P196" s="15">
        <v>111</v>
      </c>
      <c r="Q196" s="15">
        <v>895</v>
      </c>
      <c r="R196">
        <v>1.0831234256926952</v>
      </c>
      <c r="S196" s="15">
        <v>17</v>
      </c>
      <c r="T196" t="s">
        <v>348</v>
      </c>
      <c r="U196" s="15" t="str">
        <f>TEXT(EvolucionIncidencia[[#This Row],[Fecha]],"DDDD")</f>
        <v>martes</v>
      </c>
      <c r="V1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0.51515151515151514</v>
      </c>
      <c r="W1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37.982369440785675</v>
      </c>
      <c r="X196" s="2">
        <f>IF(EvolucionIncidencia[[#This Row],[Fecha]]&lt;=MIN(EvolucionIncidencia[Fecha])+14,"",EvolucionIncidencia[[#This Row],[NuevasAltas]]-EvolucionIncidencia[[#This Row],[Previsión Altas]])</f>
        <v>-20.982369440785675</v>
      </c>
      <c r="Y1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218</v>
      </c>
      <c r="Z1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374</v>
      </c>
      <c r="AA196" s="2">
        <f>IF(LEN(EvolucionIncidencia[[#This Row],[Nuevos 7 dias]])=0,"",EvolucionIncidencia[[#This Row],[Nuevos 7 dias]]/_xlfn.MAXIFS(EvolucionIncidencia[Nuevos 7 dias],EvolucionIncidencia[Area_Sanitaria],EvolucionIncidencia[[#This Row],[Area_Sanitaria]]))</f>
        <v>0.19710669077757687</v>
      </c>
      <c r="AB196" s="2">
        <f>IF(LEN(EvolucionIncidencia[[#This Row],[Nuevos 14 dias]])=0,"",EvolucionIncidencia[[#This Row],[Nuevos 14 dias]]/_xlfn.MAXIFS(EvolucionIncidencia[Nuevos 14 dias],EvolucionIncidencia[Area_Sanitaria],EvolucionIncidencia[[#This Row],[Area_Sanitaria]]))</f>
        <v>0.18888888888888888</v>
      </c>
    </row>
    <row r="197" spans="1:28" hidden="1" x14ac:dyDescent="0.3">
      <c r="A197" s="1">
        <v>44194</v>
      </c>
      <c r="B197" s="2" t="s">
        <v>9</v>
      </c>
      <c r="C197" s="15">
        <v>8484</v>
      </c>
      <c r="D197" s="15">
        <v>545</v>
      </c>
      <c r="E197" s="15">
        <v>7630</v>
      </c>
      <c r="F197">
        <v>22</v>
      </c>
      <c r="G197">
        <v>3</v>
      </c>
      <c r="H197" s="15">
        <v>135342</v>
      </c>
      <c r="I197" s="15">
        <v>308</v>
      </c>
      <c r="J197" s="15">
        <v>67470</v>
      </c>
      <c r="K197" s="15">
        <v>49</v>
      </c>
      <c r="L197">
        <v>20</v>
      </c>
      <c r="M197">
        <v>1</v>
      </c>
      <c r="N197">
        <v>-1</v>
      </c>
      <c r="O197" s="15">
        <v>651</v>
      </c>
      <c r="P197" s="15">
        <v>134</v>
      </c>
      <c r="Q197" s="15">
        <v>785</v>
      </c>
      <c r="R197">
        <v>1.0380952380952382</v>
      </c>
      <c r="S197" s="15">
        <v>29</v>
      </c>
      <c r="T197" t="s">
        <v>348</v>
      </c>
      <c r="U197" s="15" t="str">
        <f>TEXT(EvolucionIncidencia[[#This Row],[Fecha]],"DDDD")</f>
        <v>martes</v>
      </c>
      <c r="V1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1.0357142857142858</v>
      </c>
      <c r="W1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29.988589817378497</v>
      </c>
      <c r="X197" s="2">
        <f>IF(EvolucionIncidencia[[#This Row],[Fecha]]&lt;=MIN(EvolucionIncidencia[Fecha])+14,"",EvolucionIncidencia[[#This Row],[NuevasAltas]]-EvolucionIncidencia[[#This Row],[Previsión Altas]])</f>
        <v>-0.9885898173784966</v>
      </c>
      <c r="Y1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252</v>
      </c>
      <c r="Z1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504</v>
      </c>
      <c r="AA197" s="2">
        <f>IF(LEN(EvolucionIncidencia[[#This Row],[Nuevos 7 dias]])=0,"",EvolucionIncidencia[[#This Row],[Nuevos 7 dias]]/_xlfn.MAXIFS(EvolucionIncidencia[Nuevos 7 dias],EvolucionIncidencia[Area_Sanitaria],EvolucionIncidencia[[#This Row],[Area_Sanitaria]]))</f>
        <v>0.16061185468451242</v>
      </c>
      <c r="AB197" s="2">
        <f>IF(LEN(EvolucionIncidencia[[#This Row],[Nuevos 14 dias]])=0,"",EvolucionIncidencia[[#This Row],[Nuevos 14 dias]]/_xlfn.MAXIFS(EvolucionIncidencia[Nuevos 14 dias],EvolucionIncidencia[Area_Sanitaria],EvolucionIncidencia[[#This Row],[Area_Sanitaria]]))</f>
        <v>0.17802896503002472</v>
      </c>
    </row>
    <row r="198" spans="1:28" x14ac:dyDescent="0.3">
      <c r="A198" s="1">
        <v>44194</v>
      </c>
      <c r="B198" s="2" t="s">
        <v>6</v>
      </c>
      <c r="C198" s="15">
        <v>6911</v>
      </c>
      <c r="D198" s="15">
        <v>821</v>
      </c>
      <c r="E198" s="15">
        <v>6016</v>
      </c>
      <c r="F198">
        <v>41</v>
      </c>
      <c r="G198">
        <v>11</v>
      </c>
      <c r="H198" s="15">
        <v>113362</v>
      </c>
      <c r="I198" s="15">
        <v>77</v>
      </c>
      <c r="J198" s="15">
        <v>46138</v>
      </c>
      <c r="K198" s="15">
        <v>53</v>
      </c>
      <c r="L198">
        <v>-31</v>
      </c>
      <c r="M198">
        <v>-3</v>
      </c>
      <c r="N198">
        <v>1</v>
      </c>
      <c r="O198" s="15">
        <v>925</v>
      </c>
      <c r="P198" s="15">
        <v>127</v>
      </c>
      <c r="Q198" s="15">
        <v>1052</v>
      </c>
      <c r="R198">
        <v>0.96361502347417838</v>
      </c>
      <c r="S198" s="15">
        <v>84</v>
      </c>
      <c r="T198" t="s">
        <v>348</v>
      </c>
      <c r="U198" s="15" t="str">
        <f>TEXT(EvolucionIncidencia[[#This Row],[Fecha]],"DDDD")</f>
        <v>martes</v>
      </c>
      <c r="V1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1.8666666666666667</v>
      </c>
      <c r="W1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48.771000991488357</v>
      </c>
      <c r="X198" s="2">
        <f>IF(EvolucionIncidencia[[#This Row],[Fecha]]&lt;=MIN(EvolucionIncidencia[Fecha])+14,"",EvolucionIncidencia[[#This Row],[NuevasAltas]]-EvolucionIncidencia[[#This Row],[Previsión Altas]])</f>
        <v>35.228999008511643</v>
      </c>
      <c r="Y1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332</v>
      </c>
      <c r="Z1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694</v>
      </c>
      <c r="AA198" s="2">
        <f>IF(LEN(EvolucionIncidencia[[#This Row],[Nuevos 7 dias]])=0,"",EvolucionIncidencia[[#This Row],[Nuevos 7 dias]]/_xlfn.MAXIFS(EvolucionIncidencia[Nuevos 7 dias],EvolucionIncidencia[Area_Sanitaria],EvolucionIncidencia[[#This Row],[Area_Sanitaria]]))</f>
        <v>0.25247148288973387</v>
      </c>
      <c r="AB198" s="2">
        <f>IF(LEN(EvolucionIncidencia[[#This Row],[Nuevos 14 dias]])=0,"",EvolucionIncidencia[[#This Row],[Nuevos 14 dias]]/_xlfn.MAXIFS(EvolucionIncidencia[Nuevos 14 dias],EvolucionIncidencia[Area_Sanitaria],EvolucionIncidencia[[#This Row],[Area_Sanitaria]]))</f>
        <v>0.28547922665569725</v>
      </c>
    </row>
    <row r="199" spans="1:28" hidden="1" x14ac:dyDescent="0.3">
      <c r="A199" s="1">
        <v>44194</v>
      </c>
      <c r="B199" s="2" t="s">
        <v>7</v>
      </c>
      <c r="C199" s="15">
        <v>10117</v>
      </c>
      <c r="D199" s="15">
        <v>1373</v>
      </c>
      <c r="E199" s="15">
        <v>8557</v>
      </c>
      <c r="F199">
        <v>65</v>
      </c>
      <c r="G199">
        <v>7</v>
      </c>
      <c r="H199" s="15">
        <v>187694</v>
      </c>
      <c r="I199" s="15">
        <v>189</v>
      </c>
      <c r="J199" s="15">
        <v>92122</v>
      </c>
      <c r="K199" s="15">
        <v>121</v>
      </c>
      <c r="L199">
        <v>37</v>
      </c>
      <c r="M199">
        <v>-9</v>
      </c>
      <c r="N199">
        <v>2</v>
      </c>
      <c r="O199" s="15">
        <v>1159</v>
      </c>
      <c r="P199" s="15">
        <v>273</v>
      </c>
      <c r="Q199" s="15">
        <v>1432</v>
      </c>
      <c r="R199">
        <v>1.027694610778443</v>
      </c>
      <c r="S199" s="15">
        <v>83</v>
      </c>
      <c r="T199" t="s">
        <v>348</v>
      </c>
      <c r="U199" s="15" t="str">
        <f>TEXT(EvolucionIncidencia[[#This Row],[Fecha]],"DDDD")</f>
        <v>martes</v>
      </c>
      <c r="V1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0.70338983050847459</v>
      </c>
      <c r="W1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108.94203740124455</v>
      </c>
      <c r="X199" s="2">
        <f>IF(EvolucionIncidencia[[#This Row],[Fecha]]&lt;=MIN(EvolucionIncidencia[Fecha])+14,"",EvolucionIncidencia[[#This Row],[NuevasAltas]]-EvolucionIncidencia[[#This Row],[Previsión Altas]])</f>
        <v>-25.942037401244548</v>
      </c>
      <c r="Y1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639</v>
      </c>
      <c r="Z1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1234</v>
      </c>
      <c r="AA199" s="2">
        <f>IF(LEN(EvolucionIncidencia[[#This Row],[Nuevos 7 dias]])=0,"",EvolucionIncidencia[[#This Row],[Nuevos 7 dias]]/_xlfn.MAXIFS(EvolucionIncidencia[Nuevos 7 dias],EvolucionIncidencia[Area_Sanitaria],EvolucionIncidencia[[#This Row],[Area_Sanitaria]]))</f>
        <v>0.37632508833922262</v>
      </c>
      <c r="AB199" s="2">
        <f>IF(LEN(EvolucionIncidencia[[#This Row],[Nuevos 14 dias]])=0,"",EvolucionIncidencia[[#This Row],[Nuevos 14 dias]]/_xlfn.MAXIFS(EvolucionIncidencia[Nuevos 14 dias],EvolucionIncidencia[Area_Sanitaria],EvolucionIncidencia[[#This Row],[Area_Sanitaria]]))</f>
        <v>0.38780641106222502</v>
      </c>
    </row>
    <row r="200" spans="1:28" hidden="1" x14ac:dyDescent="0.3">
      <c r="A200" s="1">
        <v>44194</v>
      </c>
      <c r="B200" s="2" t="s">
        <v>2</v>
      </c>
      <c r="C200" s="15">
        <v>12391</v>
      </c>
      <c r="D200" s="15">
        <v>1173</v>
      </c>
      <c r="E200" s="15">
        <v>10952</v>
      </c>
      <c r="F200">
        <v>40</v>
      </c>
      <c r="G200">
        <v>11</v>
      </c>
      <c r="H200" s="15">
        <v>238334</v>
      </c>
      <c r="I200" s="15">
        <v>267</v>
      </c>
      <c r="J200" s="15">
        <v>58197</v>
      </c>
      <c r="K200" s="15">
        <v>75</v>
      </c>
      <c r="L200">
        <v>-19</v>
      </c>
      <c r="M200">
        <v>-4</v>
      </c>
      <c r="N200">
        <v>-1</v>
      </c>
      <c r="O200" s="15">
        <v>1361</v>
      </c>
      <c r="P200" s="15">
        <v>107</v>
      </c>
      <c r="Q200" s="15">
        <v>1468</v>
      </c>
      <c r="R200">
        <v>0.98406040268456374</v>
      </c>
      <c r="S200" s="15">
        <v>90</v>
      </c>
      <c r="T200" t="s">
        <v>348</v>
      </c>
      <c r="U200" s="15" t="str">
        <f>TEXT(EvolucionIncidencia[[#This Row],[Fecha]],"DDDD")</f>
        <v>martes</v>
      </c>
      <c r="V2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0.74380165289256195</v>
      </c>
      <c r="W2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145.71570726469551</v>
      </c>
      <c r="X200" s="2">
        <f>IF(EvolucionIncidencia[[#This Row],[Fecha]]&lt;=MIN(EvolucionIncidencia[Fecha])+14,"",EvolucionIncidencia[[#This Row],[NuevasAltas]]-EvolucionIncidencia[[#This Row],[Previsión Altas]])</f>
        <v>-55.71570726469551</v>
      </c>
      <c r="Y2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513</v>
      </c>
      <c r="Z2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1069</v>
      </c>
      <c r="AA200" s="2">
        <f>IF(LEN(EvolucionIncidencia[[#This Row],[Nuevos 7 dias]])=0,"",EvolucionIncidencia[[#This Row],[Nuevos 7 dias]]/_xlfn.MAXIFS(EvolucionIncidencia[Nuevos 7 dias],EvolucionIncidencia[Area_Sanitaria],EvolucionIncidencia[[#This Row],[Area_Sanitaria]]))</f>
        <v>0.26456936565239814</v>
      </c>
      <c r="AB200" s="2">
        <f>IF(LEN(EvolucionIncidencia[[#This Row],[Nuevos 14 dias]])=0,"",EvolucionIncidencia[[#This Row],[Nuevos 14 dias]]/_xlfn.MAXIFS(EvolucionIncidencia[Nuevos 14 dias],EvolucionIncidencia[Area_Sanitaria],EvolucionIncidencia[[#This Row],[Area_Sanitaria]]))</f>
        <v>0.29424717864024225</v>
      </c>
    </row>
    <row r="201" spans="1:28" hidden="1" x14ac:dyDescent="0.3">
      <c r="A201" s="1">
        <v>44194</v>
      </c>
      <c r="B201" s="2" t="s">
        <v>3</v>
      </c>
      <c r="C201" s="15">
        <v>62466</v>
      </c>
      <c r="D201" s="15">
        <v>5625</v>
      </c>
      <c r="E201" s="15">
        <v>55460</v>
      </c>
      <c r="F201">
        <v>282</v>
      </c>
      <c r="G201">
        <v>55</v>
      </c>
      <c r="H201" s="15">
        <v>1107077</v>
      </c>
      <c r="I201" s="15">
        <v>1386</v>
      </c>
      <c r="J201" s="15">
        <v>445880</v>
      </c>
      <c r="K201" s="15">
        <v>484</v>
      </c>
      <c r="L201">
        <v>102</v>
      </c>
      <c r="M201">
        <v>-9</v>
      </c>
      <c r="N201">
        <v>-1</v>
      </c>
      <c r="O201" s="15">
        <v>6448</v>
      </c>
      <c r="P201" s="15">
        <v>984</v>
      </c>
      <c r="Q201" s="15">
        <v>7432</v>
      </c>
      <c r="R201">
        <v>1.0184682237914178</v>
      </c>
      <c r="S201" s="15">
        <v>376</v>
      </c>
      <c r="T201" t="s">
        <v>348</v>
      </c>
      <c r="U201" s="15" t="str">
        <f>TEXT(EvolucionIncidencia[[#This Row],[Fecha]],"DDDD")</f>
        <v>martes</v>
      </c>
      <c r="V2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0.8867924528301887</v>
      </c>
      <c r="W2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446.05968788278796</v>
      </c>
      <c r="X201" s="2">
        <f>IF(EvolucionIncidencia[[#This Row],[Fecha]]&lt;=MIN(EvolucionIncidencia[Fecha])+14,"",EvolucionIncidencia[[#This Row],[NuevasAltas]]-EvolucionIncidencia[[#This Row],[Previsión Altas]])</f>
        <v>-70.059687882787955</v>
      </c>
      <c r="Y2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2522</v>
      </c>
      <c r="Z2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4940</v>
      </c>
      <c r="AA201" s="2">
        <f>IF(LEN(EvolucionIncidencia[[#This Row],[Nuevos 7 dias]])=0,"",EvolucionIncidencia[[#This Row],[Nuevos 7 dias]]/_xlfn.MAXIFS(EvolucionIncidencia[Nuevos 7 dias],EvolucionIncidencia[Area_Sanitaria],EvolucionIncidencia[[#This Row],[Area_Sanitaria]]))</f>
        <v>0.22232016925246825</v>
      </c>
      <c r="AB201" s="2">
        <f>IF(LEN(EvolucionIncidencia[[#This Row],[Nuevos 14 dias]])=0,"",EvolucionIncidencia[[#This Row],[Nuevos 14 dias]]/_xlfn.MAXIFS(EvolucionIncidencia[Nuevos 14 dias],EvolucionIncidencia[Area_Sanitaria],EvolucionIncidencia[[#This Row],[Area_Sanitaria]]))</f>
        <v>0.23683958193498897</v>
      </c>
    </row>
    <row r="202" spans="1:28" hidden="1" x14ac:dyDescent="0.3">
      <c r="A202" s="1">
        <v>44195</v>
      </c>
      <c r="B202" s="2" t="s">
        <v>4</v>
      </c>
      <c r="C202" s="15">
        <v>13669</v>
      </c>
      <c r="D202" s="15">
        <v>1029</v>
      </c>
      <c r="E202" s="15">
        <v>12333</v>
      </c>
      <c r="F202">
        <v>70</v>
      </c>
      <c r="G202">
        <v>19</v>
      </c>
      <c r="H202" s="15">
        <v>233058</v>
      </c>
      <c r="I202" s="15">
        <v>311</v>
      </c>
      <c r="J202" s="15">
        <v>77228</v>
      </c>
      <c r="K202" s="15">
        <v>134</v>
      </c>
      <c r="L202">
        <v>73</v>
      </c>
      <c r="M202">
        <v>-1</v>
      </c>
      <c r="N202">
        <v>1</v>
      </c>
      <c r="O202" s="15">
        <v>1425</v>
      </c>
      <c r="P202" s="15">
        <v>189</v>
      </c>
      <c r="Q202" s="15">
        <v>1614</v>
      </c>
      <c r="R202">
        <v>1.0763598326359833</v>
      </c>
      <c r="S202" s="15">
        <v>61</v>
      </c>
      <c r="T202" t="s">
        <v>349</v>
      </c>
      <c r="U202" s="15" t="str">
        <f>TEXT(EvolucionIncidencia[[#This Row],[Fecha]],"DDDD")</f>
        <v>miércoles</v>
      </c>
      <c r="V2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71.212164899576734</v>
      </c>
      <c r="X202" s="2">
        <f>IF(EvolucionIncidencia[[#This Row],[Fecha]]&lt;=MIN(EvolucionIncidencia[Fecha])+14,"",EvolucionIncidencia[[#This Row],[NuevasAltas]]-EvolucionIncidencia[[#This Row],[Previsión Altas]])</f>
        <v>-10.212164899576734</v>
      </c>
      <c r="Y2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519</v>
      </c>
      <c r="Z2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907</v>
      </c>
      <c r="AA202" s="2">
        <f>IF(LEN(EvolucionIncidencia[[#This Row],[Nuevos 7 dias]])=0,"",EvolucionIncidencia[[#This Row],[Nuevos 7 dias]]/_xlfn.MAXIFS(EvolucionIncidencia[Nuevos 7 dias],EvolucionIncidencia[Area_Sanitaria],EvolucionIncidencia[[#This Row],[Area_Sanitaria]]))</f>
        <v>0.17421953675730112</v>
      </c>
      <c r="AB202" s="2">
        <f>IF(LEN(EvolucionIncidencia[[#This Row],[Nuevos 14 dias]])=0,"",EvolucionIncidencia[[#This Row],[Nuevos 14 dias]]/_xlfn.MAXIFS(EvolucionIncidencia[Nuevos 14 dias],EvolucionIncidencia[Area_Sanitaria],EvolucionIncidencia[[#This Row],[Area_Sanitaria]]))</f>
        <v>0.16681993746551407</v>
      </c>
    </row>
    <row r="203" spans="1:28" hidden="1" x14ac:dyDescent="0.3">
      <c r="A203" s="1">
        <v>44195</v>
      </c>
      <c r="B203" s="2" t="s">
        <v>5</v>
      </c>
      <c r="C203" s="15">
        <v>3993</v>
      </c>
      <c r="D203" s="15">
        <v>312</v>
      </c>
      <c r="E203" s="15">
        <v>3589</v>
      </c>
      <c r="F203">
        <v>33</v>
      </c>
      <c r="G203">
        <v>3</v>
      </c>
      <c r="H203" s="15">
        <v>76840</v>
      </c>
      <c r="I203" s="15">
        <v>90</v>
      </c>
      <c r="J203" s="15">
        <v>30208</v>
      </c>
      <c r="K203" s="15">
        <v>24</v>
      </c>
      <c r="L203">
        <v>-15</v>
      </c>
      <c r="M203">
        <v>2</v>
      </c>
      <c r="N203">
        <v>0</v>
      </c>
      <c r="O203" s="15">
        <v>372</v>
      </c>
      <c r="P203" s="15">
        <v>31</v>
      </c>
      <c r="Q203" s="15">
        <v>403</v>
      </c>
      <c r="R203">
        <v>0.95412844036697253</v>
      </c>
      <c r="S203" s="15">
        <v>38</v>
      </c>
      <c r="T203" t="s">
        <v>349</v>
      </c>
      <c r="U203" s="15" t="str">
        <f>TEXT(EvolucionIncidencia[[#This Row],[Fecha]],"DDDD")</f>
        <v>miércoles</v>
      </c>
      <c r="V2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2.375</v>
      </c>
      <c r="W2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20.491709364987145</v>
      </c>
      <c r="X203" s="2">
        <f>IF(EvolucionIncidencia[[#This Row],[Fecha]]&lt;=MIN(EvolucionIncidencia[Fecha])+14,"",EvolucionIncidencia[[#This Row],[NuevasAltas]]-EvolucionIncidencia[[#This Row],[Previsión Altas]])</f>
        <v>17.508290635012855</v>
      </c>
      <c r="Y2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127</v>
      </c>
      <c r="Z2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239</v>
      </c>
      <c r="AA203" s="2">
        <f>IF(LEN(EvolucionIncidencia[[#This Row],[Nuevos 7 dias]])=0,"",EvolucionIncidencia[[#This Row],[Nuevos 7 dias]]/_xlfn.MAXIFS(EvolucionIncidencia[Nuevos 7 dias],EvolucionIncidencia[Area_Sanitaria],EvolucionIncidencia[[#This Row],[Area_Sanitaria]]))</f>
        <v>0.15209580838323353</v>
      </c>
      <c r="AB203" s="2">
        <f>IF(LEN(EvolucionIncidencia[[#This Row],[Nuevos 14 dias]])=0,"",EvolucionIncidencia[[#This Row],[Nuevos 14 dias]]/_xlfn.MAXIFS(EvolucionIncidencia[Nuevos 14 dias],EvolucionIncidencia[Area_Sanitaria],EvolucionIncidencia[[#This Row],[Area_Sanitaria]]))</f>
        <v>0.14582062233068943</v>
      </c>
    </row>
    <row r="204" spans="1:28" hidden="1" x14ac:dyDescent="0.3">
      <c r="A204" s="1">
        <v>44195</v>
      </c>
      <c r="B204" s="2" t="s">
        <v>8</v>
      </c>
      <c r="C204" s="15">
        <v>7108</v>
      </c>
      <c r="D204" s="15">
        <v>444</v>
      </c>
      <c r="E204" s="15">
        <v>6517</v>
      </c>
      <c r="F204">
        <v>16</v>
      </c>
      <c r="G204">
        <v>2</v>
      </c>
      <c r="H204" s="15">
        <v>125028</v>
      </c>
      <c r="I204" s="15">
        <v>145</v>
      </c>
      <c r="J204" s="15">
        <v>74843</v>
      </c>
      <c r="K204" s="15">
        <v>49</v>
      </c>
      <c r="L204">
        <v>14</v>
      </c>
      <c r="M204">
        <v>4</v>
      </c>
      <c r="N204">
        <v>0</v>
      </c>
      <c r="O204" s="15">
        <v>784</v>
      </c>
      <c r="P204" s="15">
        <v>106</v>
      </c>
      <c r="Q204" s="15">
        <v>890</v>
      </c>
      <c r="R204">
        <v>1.0325581395348837</v>
      </c>
      <c r="S204" s="15">
        <v>35</v>
      </c>
      <c r="T204" t="s">
        <v>349</v>
      </c>
      <c r="U204" s="15" t="str">
        <f>TEXT(EvolucionIncidencia[[#This Row],[Fecha]],"DDDD")</f>
        <v>miércoles</v>
      </c>
      <c r="V2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1.5217391304347827</v>
      </c>
      <c r="W2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25.143099094712689</v>
      </c>
      <c r="X204" s="2">
        <f>IF(EvolucionIncidencia[[#This Row],[Fecha]]&lt;=MIN(EvolucionIncidencia[Fecha])+14,"",EvolucionIncidencia[[#This Row],[NuevasAltas]]-EvolucionIncidencia[[#This Row],[Previsión Altas]])</f>
        <v>9.8569009052873113</v>
      </c>
      <c r="Y2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232</v>
      </c>
      <c r="Z2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400</v>
      </c>
      <c r="AA204" s="2">
        <f>IF(LEN(EvolucionIncidencia[[#This Row],[Nuevos 7 dias]])=0,"",EvolucionIncidencia[[#This Row],[Nuevos 7 dias]]/_xlfn.MAXIFS(EvolucionIncidencia[Nuevos 7 dias],EvolucionIncidencia[Area_Sanitaria],EvolucionIncidencia[[#This Row],[Area_Sanitaria]]))</f>
        <v>0.20976491862567812</v>
      </c>
      <c r="AB204" s="2">
        <f>IF(LEN(EvolucionIncidencia[[#This Row],[Nuevos 14 dias]])=0,"",EvolucionIncidencia[[#This Row],[Nuevos 14 dias]]/_xlfn.MAXIFS(EvolucionIncidencia[Nuevos 14 dias],EvolucionIncidencia[Area_Sanitaria],EvolucionIncidencia[[#This Row],[Area_Sanitaria]]))</f>
        <v>0.20202020202020202</v>
      </c>
    </row>
    <row r="205" spans="1:28" hidden="1" x14ac:dyDescent="0.3">
      <c r="A205" s="1">
        <v>44195</v>
      </c>
      <c r="B205" s="2" t="s">
        <v>9</v>
      </c>
      <c r="C205" s="15">
        <v>8553</v>
      </c>
      <c r="D205" s="15">
        <v>573</v>
      </c>
      <c r="E205" s="15">
        <v>7671</v>
      </c>
      <c r="F205">
        <v>24</v>
      </c>
      <c r="G205">
        <v>3</v>
      </c>
      <c r="H205" s="15">
        <v>135753</v>
      </c>
      <c r="I205" s="15">
        <v>308</v>
      </c>
      <c r="J205" s="15">
        <v>67695</v>
      </c>
      <c r="K205" s="15">
        <v>69</v>
      </c>
      <c r="L205">
        <v>28</v>
      </c>
      <c r="M205">
        <v>2</v>
      </c>
      <c r="N205">
        <v>0</v>
      </c>
      <c r="O205" s="15">
        <v>411</v>
      </c>
      <c r="P205" s="15">
        <v>225</v>
      </c>
      <c r="Q205" s="15">
        <v>636</v>
      </c>
      <c r="R205">
        <v>1.0513761467889908</v>
      </c>
      <c r="S205" s="15">
        <v>41</v>
      </c>
      <c r="T205" t="s">
        <v>349</v>
      </c>
      <c r="U205" s="15" t="str">
        <f>TEXT(EvolucionIncidencia[[#This Row],[Fecha]],"DDDD")</f>
        <v>miércoles</v>
      </c>
      <c r="V2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43.780265665990854</v>
      </c>
      <c r="X205" s="2">
        <f>IF(EvolucionIncidencia[[#This Row],[Fecha]]&lt;=MIN(EvolucionIncidencia[Fecha])+14,"",EvolucionIncidencia[[#This Row],[NuevasAltas]]-EvolucionIncidencia[[#This Row],[Previsión Altas]])</f>
        <v>-2.7802656659908536</v>
      </c>
      <c r="Y2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276</v>
      </c>
      <c r="Z2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532</v>
      </c>
      <c r="AA205" s="2">
        <f>IF(LEN(EvolucionIncidencia[[#This Row],[Nuevos 7 dias]])=0,"",EvolucionIncidencia[[#This Row],[Nuevos 7 dias]]/_xlfn.MAXIFS(EvolucionIncidencia[Nuevos 7 dias],EvolucionIncidencia[Area_Sanitaria],EvolucionIncidencia[[#This Row],[Area_Sanitaria]]))</f>
        <v>0.17590822179732313</v>
      </c>
      <c r="AB205" s="2">
        <f>IF(LEN(EvolucionIncidencia[[#This Row],[Nuevos 14 dias]])=0,"",EvolucionIncidencia[[#This Row],[Nuevos 14 dias]]/_xlfn.MAXIFS(EvolucionIncidencia[Nuevos 14 dias],EvolucionIncidencia[Area_Sanitaria],EvolucionIncidencia[[#This Row],[Area_Sanitaria]]))</f>
        <v>0.18791946308724833</v>
      </c>
    </row>
    <row r="206" spans="1:28" x14ac:dyDescent="0.3">
      <c r="A206" s="1">
        <v>44195</v>
      </c>
      <c r="B206" s="2" t="s">
        <v>6</v>
      </c>
      <c r="C206" s="15">
        <v>6941</v>
      </c>
      <c r="D206" s="15">
        <v>816</v>
      </c>
      <c r="E206" s="15">
        <v>6050</v>
      </c>
      <c r="F206">
        <v>42</v>
      </c>
      <c r="G206">
        <v>10</v>
      </c>
      <c r="H206" s="15">
        <v>114435</v>
      </c>
      <c r="I206" s="15">
        <v>78</v>
      </c>
      <c r="J206" s="15">
        <v>46229</v>
      </c>
      <c r="K206" s="15">
        <v>30</v>
      </c>
      <c r="L206">
        <v>-5</v>
      </c>
      <c r="M206">
        <v>1</v>
      </c>
      <c r="N206">
        <v>-1</v>
      </c>
      <c r="O206" s="15">
        <v>1073</v>
      </c>
      <c r="P206" s="15">
        <v>91</v>
      </c>
      <c r="Q206" s="15">
        <v>1164</v>
      </c>
      <c r="R206">
        <v>0.99390986601705233</v>
      </c>
      <c r="S206" s="15">
        <v>34</v>
      </c>
      <c r="T206" t="s">
        <v>349</v>
      </c>
      <c r="U206" s="15" t="str">
        <f>TEXT(EvolucionIncidencia[[#This Row],[Fecha]],"DDDD")</f>
        <v>miércoles</v>
      </c>
      <c r="V2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0.55737704918032782</v>
      </c>
      <c r="W2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70.453152736985658</v>
      </c>
      <c r="X206" s="2">
        <f>IF(EvolucionIncidencia[[#This Row],[Fecha]]&lt;=MIN(EvolucionIncidencia[Fecha])+14,"",EvolucionIncidencia[[#This Row],[NuevasAltas]]-EvolucionIncidencia[[#This Row],[Previsión Altas]])</f>
        <v>-36.453152736985658</v>
      </c>
      <c r="Y2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302</v>
      </c>
      <c r="Z2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663</v>
      </c>
      <c r="AA206" s="2">
        <f>IF(LEN(EvolucionIncidencia[[#This Row],[Nuevos 7 dias]])=0,"",EvolucionIncidencia[[#This Row],[Nuevos 7 dias]]/_xlfn.MAXIFS(EvolucionIncidencia[Nuevos 7 dias],EvolucionIncidencia[Area_Sanitaria],EvolucionIncidencia[[#This Row],[Area_Sanitaria]]))</f>
        <v>0.22965779467680608</v>
      </c>
      <c r="AB206" s="2">
        <f>IF(LEN(EvolucionIncidencia[[#This Row],[Nuevos 14 dias]])=0,"",EvolucionIncidencia[[#This Row],[Nuevos 14 dias]]/_xlfn.MAXIFS(EvolucionIncidencia[Nuevos 14 dias],EvolucionIncidencia[Area_Sanitaria],EvolucionIncidencia[[#This Row],[Area_Sanitaria]]))</f>
        <v>0.27272727272727271</v>
      </c>
    </row>
    <row r="207" spans="1:28" hidden="1" x14ac:dyDescent="0.3">
      <c r="A207" s="1">
        <v>44195</v>
      </c>
      <c r="B207" s="2" t="s">
        <v>7</v>
      </c>
      <c r="C207" s="15">
        <v>10232</v>
      </c>
      <c r="D207" s="15">
        <v>1369</v>
      </c>
      <c r="E207" s="15">
        <v>8674</v>
      </c>
      <c r="F207">
        <v>69</v>
      </c>
      <c r="G207">
        <v>7</v>
      </c>
      <c r="H207" s="15">
        <v>188719</v>
      </c>
      <c r="I207" s="15">
        <v>191</v>
      </c>
      <c r="J207" s="15">
        <v>92370</v>
      </c>
      <c r="K207" s="15">
        <v>115</v>
      </c>
      <c r="L207">
        <v>-4</v>
      </c>
      <c r="M207">
        <v>4</v>
      </c>
      <c r="N207">
        <v>0</v>
      </c>
      <c r="O207" s="15">
        <v>1025</v>
      </c>
      <c r="P207" s="15">
        <v>248</v>
      </c>
      <c r="Q207" s="15">
        <v>1273</v>
      </c>
      <c r="R207">
        <v>0.99708667152221409</v>
      </c>
      <c r="S207" s="15">
        <v>117</v>
      </c>
      <c r="T207" t="s">
        <v>349</v>
      </c>
      <c r="U207" s="15" t="str">
        <f>TEXT(EvolucionIncidencia[[#This Row],[Fecha]],"DDDD")</f>
        <v>miércoles</v>
      </c>
      <c r="V2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1.0636363636363637</v>
      </c>
      <c r="W2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99.357658814614012</v>
      </c>
      <c r="X207" s="2">
        <f>IF(EvolucionIncidencia[[#This Row],[Fecha]]&lt;=MIN(EvolucionIncidencia[Fecha])+14,"",EvolucionIncidencia[[#This Row],[NuevasAltas]]-EvolucionIncidencia[[#This Row],[Previsión Altas]])</f>
        <v>17.642341185385988</v>
      </c>
      <c r="Y2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640</v>
      </c>
      <c r="Z2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1239</v>
      </c>
      <c r="AA207" s="2">
        <f>IF(LEN(EvolucionIncidencia[[#This Row],[Nuevos 7 dias]])=0,"",EvolucionIncidencia[[#This Row],[Nuevos 7 dias]]/_xlfn.MAXIFS(EvolucionIncidencia[Nuevos 7 dias],EvolucionIncidencia[Area_Sanitaria],EvolucionIncidencia[[#This Row],[Area_Sanitaria]]))</f>
        <v>0.37691401648998824</v>
      </c>
      <c r="AB207" s="2">
        <f>IF(LEN(EvolucionIncidencia[[#This Row],[Nuevos 14 dias]])=0,"",EvolucionIncidencia[[#This Row],[Nuevos 14 dias]]/_xlfn.MAXIFS(EvolucionIncidencia[Nuevos 14 dias],EvolucionIncidencia[Area_Sanitaria],EvolucionIncidencia[[#This Row],[Area_Sanitaria]]))</f>
        <v>0.38937774984286611</v>
      </c>
    </row>
    <row r="208" spans="1:28" hidden="1" x14ac:dyDescent="0.3">
      <c r="A208" s="1">
        <v>44195</v>
      </c>
      <c r="B208" s="2" t="s">
        <v>2</v>
      </c>
      <c r="C208" s="15">
        <v>12482</v>
      </c>
      <c r="D208" s="15">
        <v>1137</v>
      </c>
      <c r="E208" s="15">
        <v>11076</v>
      </c>
      <c r="F208">
        <v>42</v>
      </c>
      <c r="G208">
        <v>11</v>
      </c>
      <c r="H208" s="15">
        <v>239822</v>
      </c>
      <c r="I208" s="15">
        <v>270</v>
      </c>
      <c r="J208" s="15">
        <v>58318</v>
      </c>
      <c r="K208" s="15">
        <v>91</v>
      </c>
      <c r="L208">
        <v>-36</v>
      </c>
      <c r="M208">
        <v>2</v>
      </c>
      <c r="N208">
        <v>0</v>
      </c>
      <c r="O208" s="15">
        <v>1488</v>
      </c>
      <c r="P208" s="15">
        <v>121</v>
      </c>
      <c r="Q208" s="15">
        <v>1609</v>
      </c>
      <c r="R208">
        <v>0.96930946291560105</v>
      </c>
      <c r="S208" s="15">
        <v>124</v>
      </c>
      <c r="T208" t="s">
        <v>349</v>
      </c>
      <c r="U208" s="15" t="str">
        <f>TEXT(EvolucionIncidencia[[#This Row],[Fecha]],"DDDD")</f>
        <v>miércoles</v>
      </c>
      <c r="V2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1.3052631578947369</v>
      </c>
      <c r="W2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110.42819075992543</v>
      </c>
      <c r="X208" s="2">
        <f>IF(EvolucionIncidencia[[#This Row],[Fecha]]&lt;=MIN(EvolucionIncidencia[Fecha])+14,"",EvolucionIncidencia[[#This Row],[NuevasAltas]]-EvolucionIncidencia[[#This Row],[Previsión Altas]])</f>
        <v>13.571809240074572</v>
      </c>
      <c r="Y2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487</v>
      </c>
      <c r="Z2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1065</v>
      </c>
      <c r="AA208" s="2">
        <f>IF(LEN(EvolucionIncidencia[[#This Row],[Nuevos 7 dias]])=0,"",EvolucionIncidencia[[#This Row],[Nuevos 7 dias]]/_xlfn.MAXIFS(EvolucionIncidencia[Nuevos 7 dias],EvolucionIncidencia[Area_Sanitaria],EvolucionIncidencia[[#This Row],[Area_Sanitaria]]))</f>
        <v>0.25116039195461576</v>
      </c>
      <c r="AB208" s="2">
        <f>IF(LEN(EvolucionIncidencia[[#This Row],[Nuevos 14 dias]])=0,"",EvolucionIncidencia[[#This Row],[Nuevos 14 dias]]/_xlfn.MAXIFS(EvolucionIncidencia[Nuevos 14 dias],EvolucionIncidencia[Area_Sanitaria],EvolucionIncidencia[[#This Row],[Area_Sanitaria]]))</f>
        <v>0.29314616019818329</v>
      </c>
    </row>
    <row r="209" spans="1:28" hidden="1" x14ac:dyDescent="0.3">
      <c r="A209" s="1">
        <v>44195</v>
      </c>
      <c r="B209" s="2" t="s">
        <v>3</v>
      </c>
      <c r="C209" s="15">
        <v>62978</v>
      </c>
      <c r="D209" s="15">
        <v>5680</v>
      </c>
      <c r="E209" s="15">
        <v>55910</v>
      </c>
      <c r="F209">
        <v>296</v>
      </c>
      <c r="G209">
        <v>55</v>
      </c>
      <c r="H209" s="15">
        <v>1113655</v>
      </c>
      <c r="I209" s="15">
        <v>1393</v>
      </c>
      <c r="J209" s="15">
        <v>446891</v>
      </c>
      <c r="K209" s="15">
        <v>512</v>
      </c>
      <c r="L209">
        <v>55</v>
      </c>
      <c r="M209">
        <v>14</v>
      </c>
      <c r="N209">
        <v>0</v>
      </c>
      <c r="O209" s="15">
        <v>6578</v>
      </c>
      <c r="P209" s="15">
        <v>1011</v>
      </c>
      <c r="Q209" s="15">
        <v>7589</v>
      </c>
      <c r="R209">
        <v>1.0097777777777779</v>
      </c>
      <c r="S209" s="15">
        <v>450</v>
      </c>
      <c r="T209" t="s">
        <v>349</v>
      </c>
      <c r="U209" s="15" t="str">
        <f>TEXT(EvolucionIncidencia[[#This Row],[Fecha]],"DDDD")</f>
        <v>miércoles</v>
      </c>
      <c r="V2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1.1056511056511056</v>
      </c>
      <c r="W2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422.06152008639515</v>
      </c>
      <c r="X209" s="2">
        <f>IF(EvolucionIncidencia[[#This Row],[Fecha]]&lt;=MIN(EvolucionIncidencia[Fecha])+14,"",EvolucionIncidencia[[#This Row],[NuevasAltas]]-EvolucionIncidencia[[#This Row],[Previsión Altas]])</f>
        <v>27.938479913604851</v>
      </c>
      <c r="Y2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2583</v>
      </c>
      <c r="Z2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5045</v>
      </c>
      <c r="AA209" s="2">
        <f>IF(LEN(EvolucionIncidencia[[#This Row],[Nuevos 7 dias]])=0,"",EvolucionIncidencia[[#This Row],[Nuevos 7 dias]]/_xlfn.MAXIFS(EvolucionIncidencia[Nuevos 7 dias],EvolucionIncidencia[Area_Sanitaria],EvolucionIncidencia[[#This Row],[Area_Sanitaria]]))</f>
        <v>0.22769746121297602</v>
      </c>
      <c r="AB209" s="2">
        <f>IF(LEN(EvolucionIncidencia[[#This Row],[Nuevos 14 dias]])=0,"",EvolucionIncidencia[[#This Row],[Nuevos 14 dias]]/_xlfn.MAXIFS(EvolucionIncidencia[Nuevos 14 dias],EvolucionIncidencia[Area_Sanitaria],EvolucionIncidencia[[#This Row],[Area_Sanitaria]]))</f>
        <v>0.24187362163198772</v>
      </c>
    </row>
    <row r="210" spans="1:28" hidden="1" x14ac:dyDescent="0.3">
      <c r="A210" s="1">
        <v>44196</v>
      </c>
      <c r="B210" s="2" t="s">
        <v>4</v>
      </c>
      <c r="C210" s="15">
        <v>13776</v>
      </c>
      <c r="D210" s="15">
        <v>1091</v>
      </c>
      <c r="E210" s="15">
        <v>12377</v>
      </c>
      <c r="F210">
        <v>67</v>
      </c>
      <c r="G210">
        <v>20</v>
      </c>
      <c r="H210" s="15">
        <v>234308</v>
      </c>
      <c r="I210" s="15">
        <v>312</v>
      </c>
      <c r="J210" s="15">
        <v>77433</v>
      </c>
      <c r="K210" s="15">
        <v>107</v>
      </c>
      <c r="L210">
        <v>62</v>
      </c>
      <c r="M210">
        <v>-3</v>
      </c>
      <c r="N210">
        <v>1</v>
      </c>
      <c r="O210" s="15">
        <v>1250</v>
      </c>
      <c r="P210" s="15">
        <v>205</v>
      </c>
      <c r="Q210" s="15">
        <v>1455</v>
      </c>
      <c r="R210">
        <v>1.0602526724975705</v>
      </c>
      <c r="S210" s="15">
        <v>44</v>
      </c>
      <c r="T210" t="s">
        <v>350</v>
      </c>
      <c r="U210" s="15" t="str">
        <f>TEXT(EvolucionIncidencia[[#This Row],[Fecha]],"DDDD")</f>
        <v>jueves</v>
      </c>
      <c r="V2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50.752305753272047</v>
      </c>
      <c r="X210" s="2">
        <f>IF(EvolucionIncidencia[[#This Row],[Fecha]]&lt;=MIN(EvolucionIncidencia[Fecha])+14,"",EvolucionIncidencia[[#This Row],[NuevasAltas]]-EvolucionIncidencia[[#This Row],[Previsión Altas]])</f>
        <v>-6.7523057532720472</v>
      </c>
      <c r="Y2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559</v>
      </c>
      <c r="Z2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970</v>
      </c>
      <c r="AA210" s="2">
        <f>IF(LEN(EvolucionIncidencia[[#This Row],[Nuevos 7 dias]])=0,"",EvolucionIncidencia[[#This Row],[Nuevos 7 dias]]/_xlfn.MAXIFS(EvolucionIncidencia[Nuevos 7 dias],EvolucionIncidencia[Area_Sanitaria],EvolucionIncidencia[[#This Row],[Area_Sanitaria]]))</f>
        <v>0.18764686136287345</v>
      </c>
      <c r="AB210" s="2">
        <f>IF(LEN(EvolucionIncidencia[[#This Row],[Nuevos 14 dias]])=0,"",EvolucionIncidencia[[#This Row],[Nuevos 14 dias]]/_xlfn.MAXIFS(EvolucionIncidencia[Nuevos 14 dias],EvolucionIncidencia[Area_Sanitaria],EvolucionIncidencia[[#This Row],[Area_Sanitaria]]))</f>
        <v>0.17840720985837777</v>
      </c>
    </row>
    <row r="211" spans="1:28" hidden="1" x14ac:dyDescent="0.3">
      <c r="A211" s="1">
        <v>44196</v>
      </c>
      <c r="B211" s="2" t="s">
        <v>5</v>
      </c>
      <c r="C211" s="15">
        <v>4017</v>
      </c>
      <c r="D211" s="15">
        <v>307</v>
      </c>
      <c r="E211" s="15">
        <v>3618</v>
      </c>
      <c r="F211">
        <v>35</v>
      </c>
      <c r="G211">
        <v>2</v>
      </c>
      <c r="H211" s="15">
        <v>77124</v>
      </c>
      <c r="I211" s="15">
        <v>90</v>
      </c>
      <c r="J211" s="15">
        <v>30256</v>
      </c>
      <c r="K211" s="15">
        <v>24</v>
      </c>
      <c r="L211">
        <v>-5</v>
      </c>
      <c r="M211">
        <v>2</v>
      </c>
      <c r="N211">
        <v>-1</v>
      </c>
      <c r="O211" s="15">
        <v>284</v>
      </c>
      <c r="P211" s="15">
        <v>48</v>
      </c>
      <c r="Q211" s="15">
        <v>332</v>
      </c>
      <c r="R211">
        <v>0.98397435897435892</v>
      </c>
      <c r="S211" s="15">
        <v>29</v>
      </c>
      <c r="T211" t="s">
        <v>350</v>
      </c>
      <c r="U211" s="15" t="str">
        <f>TEXT(EvolucionIncidencia[[#This Row],[Fecha]],"DDDD")</f>
        <v>jueves</v>
      </c>
      <c r="V2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39.785704622035929</v>
      </c>
      <c r="X211" s="2">
        <f>IF(EvolucionIncidencia[[#This Row],[Fecha]]&lt;=MIN(EvolucionIncidencia[Fecha])+14,"",EvolucionIncidencia[[#This Row],[NuevasAltas]]-EvolucionIncidencia[[#This Row],[Previsión Altas]])</f>
        <v>-10.785704622035929</v>
      </c>
      <c r="Y2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129</v>
      </c>
      <c r="Z2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234</v>
      </c>
      <c r="AA211" s="2">
        <f>IF(LEN(EvolucionIncidencia[[#This Row],[Nuevos 7 dias]])=0,"",EvolucionIncidencia[[#This Row],[Nuevos 7 dias]]/_xlfn.MAXIFS(EvolucionIncidencia[Nuevos 7 dias],EvolucionIncidencia[Area_Sanitaria],EvolucionIncidencia[[#This Row],[Area_Sanitaria]]))</f>
        <v>0.15449101796407186</v>
      </c>
      <c r="AB211" s="2">
        <f>IF(LEN(EvolucionIncidencia[[#This Row],[Nuevos 14 dias]])=0,"",EvolucionIncidencia[[#This Row],[Nuevos 14 dias]]/_xlfn.MAXIFS(EvolucionIncidencia[Nuevos 14 dias],EvolucionIncidencia[Area_Sanitaria],EvolucionIncidencia[[#This Row],[Area_Sanitaria]]))</f>
        <v>0.14276998169615621</v>
      </c>
    </row>
    <row r="212" spans="1:28" hidden="1" x14ac:dyDescent="0.3">
      <c r="A212" s="1">
        <v>44196</v>
      </c>
      <c r="B212" s="2" t="s">
        <v>8</v>
      </c>
      <c r="C212" s="15">
        <v>7155</v>
      </c>
      <c r="D212" s="15">
        <v>463</v>
      </c>
      <c r="E212" s="15">
        <v>6545</v>
      </c>
      <c r="F212">
        <v>13</v>
      </c>
      <c r="G212">
        <v>2</v>
      </c>
      <c r="H212" s="15">
        <v>125659</v>
      </c>
      <c r="I212" s="15">
        <v>145</v>
      </c>
      <c r="J212" s="15">
        <v>74958</v>
      </c>
      <c r="K212" s="15">
        <v>47</v>
      </c>
      <c r="L212">
        <v>19</v>
      </c>
      <c r="M212">
        <v>-3</v>
      </c>
      <c r="N212">
        <v>0</v>
      </c>
      <c r="O212" s="15">
        <v>631</v>
      </c>
      <c r="P212" s="15">
        <v>115</v>
      </c>
      <c r="Q212" s="15">
        <v>746</v>
      </c>
      <c r="R212">
        <v>1.0427927927927927</v>
      </c>
      <c r="S212" s="15">
        <v>28</v>
      </c>
      <c r="T212" t="s">
        <v>350</v>
      </c>
      <c r="U212" s="15" t="str">
        <f>TEXT(EvolucionIncidencia[[#This Row],[Fecha]],"DDDD")</f>
        <v>jueves</v>
      </c>
      <c r="V2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2.1538461538461537</v>
      </c>
      <c r="W2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14.675591197622877</v>
      </c>
      <c r="X212" s="2">
        <f>IF(EvolucionIncidencia[[#This Row],[Fecha]]&lt;=MIN(EvolucionIncidencia[Fecha])+14,"",EvolucionIncidencia[[#This Row],[NuevasAltas]]-EvolucionIncidencia[[#This Row],[Previsión Altas]])</f>
        <v>13.324408802377123</v>
      </c>
      <c r="Y2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251</v>
      </c>
      <c r="Z2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434</v>
      </c>
      <c r="AA212" s="2">
        <f>IF(LEN(EvolucionIncidencia[[#This Row],[Nuevos 7 dias]])=0,"",EvolucionIncidencia[[#This Row],[Nuevos 7 dias]]/_xlfn.MAXIFS(EvolucionIncidencia[Nuevos 7 dias],EvolucionIncidencia[Area_Sanitaria],EvolucionIncidencia[[#This Row],[Area_Sanitaria]]))</f>
        <v>0.22694394213381555</v>
      </c>
      <c r="AB212" s="2">
        <f>IF(LEN(EvolucionIncidencia[[#This Row],[Nuevos 14 dias]])=0,"",EvolucionIncidencia[[#This Row],[Nuevos 14 dias]]/_xlfn.MAXIFS(EvolucionIncidencia[Nuevos 14 dias],EvolucionIncidencia[Area_Sanitaria],EvolucionIncidencia[[#This Row],[Area_Sanitaria]]))</f>
        <v>0.21919191919191919</v>
      </c>
    </row>
    <row r="213" spans="1:28" hidden="1" x14ac:dyDescent="0.3">
      <c r="A213" s="1">
        <v>44196</v>
      </c>
      <c r="B213" s="2" t="s">
        <v>9</v>
      </c>
      <c r="C213" s="15">
        <v>8622</v>
      </c>
      <c r="D213" s="15">
        <v>600</v>
      </c>
      <c r="E213" s="15">
        <v>7712</v>
      </c>
      <c r="F213">
        <v>21</v>
      </c>
      <c r="G213">
        <v>2</v>
      </c>
      <c r="H213" s="15">
        <v>136517</v>
      </c>
      <c r="I213" s="15">
        <v>309</v>
      </c>
      <c r="J213" s="15">
        <v>67852</v>
      </c>
      <c r="K213" s="15">
        <v>69</v>
      </c>
      <c r="L213">
        <v>27</v>
      </c>
      <c r="M213">
        <v>-3</v>
      </c>
      <c r="N213">
        <v>-1</v>
      </c>
      <c r="O213" s="15">
        <v>764</v>
      </c>
      <c r="P213" s="15">
        <v>157</v>
      </c>
      <c r="Q213" s="15">
        <v>921</v>
      </c>
      <c r="R213">
        <v>1.0471204188481675</v>
      </c>
      <c r="S213" s="15">
        <v>41</v>
      </c>
      <c r="T213" t="s">
        <v>350</v>
      </c>
      <c r="U213" s="15" t="str">
        <f>TEXT(EvolucionIncidencia[[#This Row],[Fecha]],"DDDD")</f>
        <v>jueves</v>
      </c>
      <c r="V2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0.80392156862745101</v>
      </c>
      <c r="W2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54.170180972806648</v>
      </c>
      <c r="X213" s="2">
        <f>IF(EvolucionIncidencia[[#This Row],[Fecha]]&lt;=MIN(EvolucionIncidencia[Fecha])+14,"",EvolucionIncidencia[[#This Row],[NuevasAltas]]-EvolucionIncidencia[[#This Row],[Previsión Altas]])</f>
        <v>-13.170180972806648</v>
      </c>
      <c r="Y2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293</v>
      </c>
      <c r="Z2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550</v>
      </c>
      <c r="AA213" s="2">
        <f>IF(LEN(EvolucionIncidencia[[#This Row],[Nuevos 7 dias]])=0,"",EvolucionIncidencia[[#This Row],[Nuevos 7 dias]]/_xlfn.MAXIFS(EvolucionIncidencia[Nuevos 7 dias],EvolucionIncidencia[Area_Sanitaria],EvolucionIncidencia[[#This Row],[Area_Sanitaria]]))</f>
        <v>0.18674314850223073</v>
      </c>
      <c r="AB213" s="2">
        <f>IF(LEN(EvolucionIncidencia[[#This Row],[Nuevos 14 dias]])=0,"",EvolucionIncidencia[[#This Row],[Nuevos 14 dias]]/_xlfn.MAXIFS(EvolucionIncidencia[Nuevos 14 dias],EvolucionIncidencia[Area_Sanitaria],EvolucionIncidencia[[#This Row],[Area_Sanitaria]]))</f>
        <v>0.19427764040974921</v>
      </c>
    </row>
    <row r="214" spans="1:28" x14ac:dyDescent="0.3">
      <c r="A214" s="1">
        <v>44196</v>
      </c>
      <c r="B214" s="2" t="s">
        <v>6</v>
      </c>
      <c r="C214" s="15">
        <v>6992</v>
      </c>
      <c r="D214" s="15">
        <v>789</v>
      </c>
      <c r="E214" s="15">
        <v>6126</v>
      </c>
      <c r="F214">
        <v>39</v>
      </c>
      <c r="G214">
        <v>12</v>
      </c>
      <c r="H214" s="15">
        <v>115421</v>
      </c>
      <c r="I214" s="15">
        <v>80</v>
      </c>
      <c r="J214" s="15">
        <v>46347</v>
      </c>
      <c r="K214" s="15">
        <v>51</v>
      </c>
      <c r="L214">
        <v>-27</v>
      </c>
      <c r="M214">
        <v>-3</v>
      </c>
      <c r="N214">
        <v>2</v>
      </c>
      <c r="O214" s="15">
        <v>986</v>
      </c>
      <c r="P214" s="15">
        <v>118</v>
      </c>
      <c r="Q214" s="15">
        <v>1104</v>
      </c>
      <c r="R214">
        <v>0.96691176470588236</v>
      </c>
      <c r="S214" s="15">
        <v>76</v>
      </c>
      <c r="T214" t="s">
        <v>350</v>
      </c>
      <c r="U214" s="15" t="str">
        <f>TEXT(EvolucionIncidencia[[#This Row],[Fecha]],"DDDD")</f>
        <v>jueves</v>
      </c>
      <c r="V2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1.0555555555555556</v>
      </c>
      <c r="W2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79.57226361706644</v>
      </c>
      <c r="X214" s="2">
        <f>IF(EvolucionIncidencia[[#This Row],[Fecha]]&lt;=MIN(EvolucionIncidencia[Fecha])+14,"",EvolucionIncidencia[[#This Row],[NuevasAltas]]-EvolucionIncidencia[[#This Row],[Previsión Altas]])</f>
        <v>-3.5722636170664401</v>
      </c>
      <c r="Y2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295</v>
      </c>
      <c r="Z2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642</v>
      </c>
      <c r="AA214" s="2">
        <f>IF(LEN(EvolucionIncidencia[[#This Row],[Nuevos 7 dias]])=0,"",EvolucionIncidencia[[#This Row],[Nuevos 7 dias]]/_xlfn.MAXIFS(EvolucionIncidencia[Nuevos 7 dias],EvolucionIncidencia[Area_Sanitaria],EvolucionIncidencia[[#This Row],[Area_Sanitaria]]))</f>
        <v>0.22433460076045628</v>
      </c>
      <c r="AB214" s="2">
        <f>IF(LEN(EvolucionIncidencia[[#This Row],[Nuevos 14 dias]])=0,"",EvolucionIncidencia[[#This Row],[Nuevos 14 dias]]/_xlfn.MAXIFS(EvolucionIncidencia[Nuevos 14 dias],EvolucionIncidencia[Area_Sanitaria],EvolucionIncidencia[[#This Row],[Area_Sanitaria]]))</f>
        <v>0.26408885232414642</v>
      </c>
    </row>
    <row r="215" spans="1:28" hidden="1" x14ac:dyDescent="0.3">
      <c r="A215" s="1">
        <v>44196</v>
      </c>
      <c r="B215" s="2" t="s">
        <v>7</v>
      </c>
      <c r="C215" s="15">
        <v>10335</v>
      </c>
      <c r="D215" s="15">
        <v>1346</v>
      </c>
      <c r="E215" s="15">
        <v>8798</v>
      </c>
      <c r="F215">
        <v>75</v>
      </c>
      <c r="G215">
        <v>8</v>
      </c>
      <c r="H215" s="15">
        <v>190051</v>
      </c>
      <c r="I215" s="15">
        <v>193</v>
      </c>
      <c r="J215" s="15">
        <v>92624</v>
      </c>
      <c r="K215" s="15">
        <v>103</v>
      </c>
      <c r="L215">
        <v>-23</v>
      </c>
      <c r="M215">
        <v>6</v>
      </c>
      <c r="N215">
        <v>1</v>
      </c>
      <c r="O215" s="15">
        <v>1332</v>
      </c>
      <c r="P215" s="15">
        <v>254</v>
      </c>
      <c r="Q215" s="15">
        <v>1586</v>
      </c>
      <c r="R215">
        <v>0.98319941563184809</v>
      </c>
      <c r="S215" s="15">
        <v>124</v>
      </c>
      <c r="T215" t="s">
        <v>350</v>
      </c>
      <c r="U215" s="15" t="str">
        <f>TEXT(EvolucionIncidencia[[#This Row],[Fecha]],"DDDD")</f>
        <v>jueves</v>
      </c>
      <c r="V2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1.1923076923076923</v>
      </c>
      <c r="W2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95.328152790847298</v>
      </c>
      <c r="X215" s="2">
        <f>IF(EvolucionIncidencia[[#This Row],[Fecha]]&lt;=MIN(EvolucionIncidencia[Fecha])+14,"",EvolucionIncidencia[[#This Row],[NuevasAltas]]-EvolucionIncidencia[[#This Row],[Previsión Altas]])</f>
        <v>28.671847209152702</v>
      </c>
      <c r="Y2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665</v>
      </c>
      <c r="Z2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1238</v>
      </c>
      <c r="AA215" s="2">
        <f>IF(LEN(EvolucionIncidencia[[#This Row],[Nuevos 7 dias]])=0,"",EvolucionIncidencia[[#This Row],[Nuevos 7 dias]]/_xlfn.MAXIFS(EvolucionIncidencia[Nuevos 7 dias],EvolucionIncidencia[Area_Sanitaria],EvolucionIncidencia[[#This Row],[Area_Sanitaria]]))</f>
        <v>0.39163722025912839</v>
      </c>
      <c r="AB215" s="2">
        <f>IF(LEN(EvolucionIncidencia[[#This Row],[Nuevos 14 dias]])=0,"",EvolucionIncidencia[[#This Row],[Nuevos 14 dias]]/_xlfn.MAXIFS(EvolucionIncidencia[Nuevos 14 dias],EvolucionIncidencia[Area_Sanitaria],EvolucionIncidencia[[#This Row],[Area_Sanitaria]]))</f>
        <v>0.38906348208673791</v>
      </c>
    </row>
    <row r="216" spans="1:28" hidden="1" x14ac:dyDescent="0.3">
      <c r="A216" s="1">
        <v>44196</v>
      </c>
      <c r="B216" s="2" t="s">
        <v>2</v>
      </c>
      <c r="C216" s="15">
        <v>12613</v>
      </c>
      <c r="D216" s="15">
        <v>1181</v>
      </c>
      <c r="E216" s="15">
        <v>11162</v>
      </c>
      <c r="F216">
        <v>40</v>
      </c>
      <c r="G216">
        <v>9</v>
      </c>
      <c r="H216" s="15">
        <v>241510</v>
      </c>
      <c r="I216" s="15">
        <v>271</v>
      </c>
      <c r="J216" s="15">
        <v>58439</v>
      </c>
      <c r="K216" s="15">
        <v>131</v>
      </c>
      <c r="L216">
        <v>44</v>
      </c>
      <c r="M216">
        <v>-2</v>
      </c>
      <c r="N216">
        <v>-2</v>
      </c>
      <c r="O216" s="15">
        <v>1688</v>
      </c>
      <c r="P216" s="15">
        <v>121</v>
      </c>
      <c r="Q216" s="15">
        <v>1809</v>
      </c>
      <c r="R216">
        <v>1.0386983289357961</v>
      </c>
      <c r="S216" s="15">
        <v>86</v>
      </c>
      <c r="T216" t="s">
        <v>350</v>
      </c>
      <c r="U216" s="15" t="str">
        <f>TEXT(EvolucionIncidencia[[#This Row],[Fecha]],"DDDD")</f>
        <v>jueves</v>
      </c>
      <c r="V2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0.90526315789473688</v>
      </c>
      <c r="W2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111.55917486326499</v>
      </c>
      <c r="X216" s="2">
        <f>IF(EvolucionIncidencia[[#This Row],[Fecha]]&lt;=MIN(EvolucionIncidencia[Fecha])+14,"",EvolucionIncidencia[[#This Row],[NuevasAltas]]-EvolucionIncidencia[[#This Row],[Previsión Altas]])</f>
        <v>-25.559174863264985</v>
      </c>
      <c r="Y2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553</v>
      </c>
      <c r="Z2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1101</v>
      </c>
      <c r="AA216" s="2">
        <f>IF(LEN(EvolucionIncidencia[[#This Row],[Nuevos 7 dias]])=0,"",EvolucionIncidencia[[#This Row],[Nuevos 7 dias]]/_xlfn.MAXIFS(EvolucionIncidencia[Nuevos 7 dias],EvolucionIncidencia[Area_Sanitaria],EvolucionIncidencia[[#This Row],[Area_Sanitaria]]))</f>
        <v>0.2851985559566787</v>
      </c>
      <c r="AB216" s="2">
        <f>IF(LEN(EvolucionIncidencia[[#This Row],[Nuevos 14 dias]])=0,"",EvolucionIncidencia[[#This Row],[Nuevos 14 dias]]/_xlfn.MAXIFS(EvolucionIncidencia[Nuevos 14 dias],EvolucionIncidencia[Area_Sanitaria],EvolucionIncidencia[[#This Row],[Area_Sanitaria]]))</f>
        <v>0.30305532617671344</v>
      </c>
    </row>
    <row r="217" spans="1:28" hidden="1" x14ac:dyDescent="0.3">
      <c r="A217" s="1">
        <v>44196</v>
      </c>
      <c r="B217" s="2" t="s">
        <v>3</v>
      </c>
      <c r="C217" s="15">
        <v>63510</v>
      </c>
      <c r="D217" s="15">
        <v>5777</v>
      </c>
      <c r="E217" s="15">
        <v>56338</v>
      </c>
      <c r="F217">
        <v>290</v>
      </c>
      <c r="G217">
        <v>55</v>
      </c>
      <c r="H217" s="15">
        <v>1120590</v>
      </c>
      <c r="I217" s="15">
        <v>1400</v>
      </c>
      <c r="J217" s="15">
        <v>447909</v>
      </c>
      <c r="K217" s="15">
        <v>532</v>
      </c>
      <c r="L217">
        <v>97</v>
      </c>
      <c r="M217">
        <v>-6</v>
      </c>
      <c r="N217">
        <v>0</v>
      </c>
      <c r="O217" s="15">
        <v>6935</v>
      </c>
      <c r="P217" s="15">
        <v>1018</v>
      </c>
      <c r="Q217" s="15">
        <v>7953</v>
      </c>
      <c r="R217">
        <v>1.0170774647887324</v>
      </c>
      <c r="S217" s="15">
        <v>428</v>
      </c>
      <c r="T217" t="s">
        <v>350</v>
      </c>
      <c r="U217" s="15" t="str">
        <f>TEXT(EvolucionIncidencia[[#This Row],[Fecha]],"DDDD")</f>
        <v>jueves</v>
      </c>
      <c r="V2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1.0490196078431373</v>
      </c>
      <c r="W2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425.43245334720336</v>
      </c>
      <c r="X217" s="2">
        <f>IF(EvolucionIncidencia[[#This Row],[Fecha]]&lt;=MIN(EvolucionIncidencia[Fecha])+14,"",EvolucionIncidencia[[#This Row],[NuevasAltas]]-EvolucionIncidencia[[#This Row],[Previsión Altas]])</f>
        <v>2.5675466527966364</v>
      </c>
      <c r="Y2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2745</v>
      </c>
      <c r="Z2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5169</v>
      </c>
      <c r="AA217" s="2">
        <f>IF(LEN(EvolucionIncidencia[[#This Row],[Nuevos 7 dias]])=0,"",EvolucionIncidencia[[#This Row],[Nuevos 7 dias]]/_xlfn.MAXIFS(EvolucionIncidencia[Nuevos 7 dias],EvolucionIncidencia[Area_Sanitaria],EvolucionIncidencia[[#This Row],[Area_Sanitaria]]))</f>
        <v>0.24197813822284908</v>
      </c>
      <c r="AB217" s="2">
        <f>IF(LEN(EvolucionIncidencia[[#This Row],[Nuevos 14 dias]])=0,"",EvolucionIncidencia[[#This Row],[Nuevos 14 dias]]/_xlfn.MAXIFS(EvolucionIncidencia[Nuevos 14 dias],EvolucionIncidencia[Area_Sanitaria],EvolucionIncidencia[[#This Row],[Area_Sanitaria]]))</f>
        <v>0.2478185827979672</v>
      </c>
    </row>
    <row r="218" spans="1:28" hidden="1" x14ac:dyDescent="0.3">
      <c r="A218" s="1">
        <v>44197</v>
      </c>
      <c r="B218" s="2" t="s">
        <v>4</v>
      </c>
      <c r="C218" s="15">
        <v>13894</v>
      </c>
      <c r="D218" s="15">
        <v>1150</v>
      </c>
      <c r="E218" s="15">
        <v>12434</v>
      </c>
      <c r="F218">
        <v>72</v>
      </c>
      <c r="G218">
        <v>20</v>
      </c>
      <c r="H218" s="15">
        <v>235418</v>
      </c>
      <c r="I218" s="15">
        <v>314</v>
      </c>
      <c r="J218" s="15">
        <v>77528</v>
      </c>
      <c r="K218" s="15">
        <v>118</v>
      </c>
      <c r="L218">
        <v>59</v>
      </c>
      <c r="M218">
        <v>5</v>
      </c>
      <c r="N218">
        <v>0</v>
      </c>
      <c r="O218" s="15">
        <v>1110</v>
      </c>
      <c r="P218" s="15">
        <v>95</v>
      </c>
      <c r="Q218" s="15">
        <v>1205</v>
      </c>
      <c r="R218">
        <v>1.0540788267644363</v>
      </c>
      <c r="S218" s="15">
        <v>57</v>
      </c>
      <c r="T218" t="s">
        <v>351</v>
      </c>
      <c r="U218" s="15" t="str">
        <f>TEXT(EvolucionIncidencia[[#This Row],[Fecha]],"DDDD")</f>
        <v>viernes</v>
      </c>
      <c r="V2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0.74025974025974028</v>
      </c>
      <c r="W2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87.907570832208705</v>
      </c>
      <c r="X218" s="2">
        <f>IF(EvolucionIncidencia[[#This Row],[Fecha]]&lt;=MIN(EvolucionIncidencia[Fecha])+14,"",EvolucionIncidencia[[#This Row],[NuevasAltas]]-EvolucionIncidencia[[#This Row],[Previsión Altas]])</f>
        <v>-30.907570832208705</v>
      </c>
      <c r="Y2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618</v>
      </c>
      <c r="Z2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1011</v>
      </c>
      <c r="AA218" s="2">
        <f>IF(LEN(EvolucionIncidencia[[#This Row],[Nuevos 7 dias]])=0,"",EvolucionIncidencia[[#This Row],[Nuevos 7 dias]]/_xlfn.MAXIFS(EvolucionIncidencia[Nuevos 7 dias],EvolucionIncidencia[Area_Sanitaria],EvolucionIncidencia[[#This Row],[Area_Sanitaria]]))</f>
        <v>0.20745216515609266</v>
      </c>
      <c r="AB218" s="2">
        <f>IF(LEN(EvolucionIncidencia[[#This Row],[Nuevos 14 dias]])=0,"",EvolucionIncidencia[[#This Row],[Nuevos 14 dias]]/_xlfn.MAXIFS(EvolucionIncidencia[Nuevos 14 dias],EvolucionIncidencia[Area_Sanitaria],EvolucionIncidencia[[#This Row],[Area_Sanitaria]]))</f>
        <v>0.18594813316167003</v>
      </c>
    </row>
    <row r="219" spans="1:28" hidden="1" x14ac:dyDescent="0.3">
      <c r="A219" s="1">
        <v>44197</v>
      </c>
      <c r="B219" s="2" t="s">
        <v>5</v>
      </c>
      <c r="C219" s="15">
        <v>4038</v>
      </c>
      <c r="D219" s="15">
        <v>309</v>
      </c>
      <c r="E219" s="15">
        <v>3637</v>
      </c>
      <c r="F219">
        <v>37</v>
      </c>
      <c r="G219">
        <v>2</v>
      </c>
      <c r="H219" s="15">
        <v>77386</v>
      </c>
      <c r="I219" s="15">
        <v>90</v>
      </c>
      <c r="J219" s="15">
        <v>30271</v>
      </c>
      <c r="K219" s="15">
        <v>21</v>
      </c>
      <c r="L219">
        <v>2</v>
      </c>
      <c r="M219">
        <v>2</v>
      </c>
      <c r="N219">
        <v>0</v>
      </c>
      <c r="O219" s="15">
        <v>262</v>
      </c>
      <c r="P219" s="15">
        <v>15</v>
      </c>
      <c r="Q219" s="15">
        <v>277</v>
      </c>
      <c r="R219">
        <v>1.006514657980456</v>
      </c>
      <c r="S219" s="15">
        <v>19</v>
      </c>
      <c r="T219" t="s">
        <v>351</v>
      </c>
      <c r="U219" s="15" t="str">
        <f>TEXT(EvolucionIncidencia[[#This Row],[Fecha]],"DDDD")</f>
        <v>viernes</v>
      </c>
      <c r="V2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1.9</v>
      </c>
      <c r="W2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13.433115529560508</v>
      </c>
      <c r="X219" s="2">
        <f>IF(EvolucionIncidencia[[#This Row],[Fecha]]&lt;=MIN(EvolucionIncidencia[Fecha])+14,"",EvolucionIncidencia[[#This Row],[NuevasAltas]]-EvolucionIncidencia[[#This Row],[Previsión Altas]])</f>
        <v>5.5668844704394917</v>
      </c>
      <c r="Y2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138</v>
      </c>
      <c r="Z2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245</v>
      </c>
      <c r="AA219" s="2">
        <f>IF(LEN(EvolucionIncidencia[[#This Row],[Nuevos 7 dias]])=0,"",EvolucionIncidencia[[#This Row],[Nuevos 7 dias]]/_xlfn.MAXIFS(EvolucionIncidencia[Nuevos 7 dias],EvolucionIncidencia[Area_Sanitaria],EvolucionIncidencia[[#This Row],[Area_Sanitaria]]))</f>
        <v>0.16526946107784432</v>
      </c>
      <c r="AB219" s="2">
        <f>IF(LEN(EvolucionIncidencia[[#This Row],[Nuevos 14 dias]])=0,"",EvolucionIncidencia[[#This Row],[Nuevos 14 dias]]/_xlfn.MAXIFS(EvolucionIncidencia[Nuevos 14 dias],EvolucionIncidencia[Area_Sanitaria],EvolucionIncidencia[[#This Row],[Area_Sanitaria]]))</f>
        <v>0.14948139109212935</v>
      </c>
    </row>
    <row r="220" spans="1:28" hidden="1" x14ac:dyDescent="0.3">
      <c r="A220" s="1">
        <v>44197</v>
      </c>
      <c r="B220" s="2" t="s">
        <v>8</v>
      </c>
      <c r="C220" s="15">
        <v>7190</v>
      </c>
      <c r="D220" s="15">
        <v>475</v>
      </c>
      <c r="E220" s="15">
        <v>6568</v>
      </c>
      <c r="F220">
        <v>14</v>
      </c>
      <c r="G220">
        <v>2</v>
      </c>
      <c r="H220" s="15">
        <v>126196</v>
      </c>
      <c r="I220" s="15">
        <v>145</v>
      </c>
      <c r="J220" s="15">
        <v>75004</v>
      </c>
      <c r="K220" s="15">
        <v>35</v>
      </c>
      <c r="L220">
        <v>12</v>
      </c>
      <c r="M220">
        <v>1</v>
      </c>
      <c r="N220">
        <v>0</v>
      </c>
      <c r="O220" s="15">
        <v>537</v>
      </c>
      <c r="P220" s="15">
        <v>46</v>
      </c>
      <c r="Q220" s="15">
        <v>583</v>
      </c>
      <c r="R220">
        <v>1.0259179265658747</v>
      </c>
      <c r="S220" s="15">
        <v>23</v>
      </c>
      <c r="T220" t="s">
        <v>351</v>
      </c>
      <c r="U220" s="15" t="str">
        <f>TEXT(EvolucionIncidencia[[#This Row],[Fecha]],"DDDD")</f>
        <v>viernes</v>
      </c>
      <c r="V2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0.74193548387096775</v>
      </c>
      <c r="W2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37.439762872874027</v>
      </c>
      <c r="X220" s="2">
        <f>IF(EvolucionIncidencia[[#This Row],[Fecha]]&lt;=MIN(EvolucionIncidencia[Fecha])+14,"",EvolucionIncidencia[[#This Row],[NuevasAltas]]-EvolucionIncidencia[[#This Row],[Previsión Altas]])</f>
        <v>-14.439762872874027</v>
      </c>
      <c r="Y2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251</v>
      </c>
      <c r="Z2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438</v>
      </c>
      <c r="AA220" s="2">
        <f>IF(LEN(EvolucionIncidencia[[#This Row],[Nuevos 7 dias]])=0,"",EvolucionIncidencia[[#This Row],[Nuevos 7 dias]]/_xlfn.MAXIFS(EvolucionIncidencia[Nuevos 7 dias],EvolucionIncidencia[Area_Sanitaria],EvolucionIncidencia[[#This Row],[Area_Sanitaria]]))</f>
        <v>0.22694394213381555</v>
      </c>
      <c r="AB220" s="2">
        <f>IF(LEN(EvolucionIncidencia[[#This Row],[Nuevos 14 dias]])=0,"",EvolucionIncidencia[[#This Row],[Nuevos 14 dias]]/_xlfn.MAXIFS(EvolucionIncidencia[Nuevos 14 dias],EvolucionIncidencia[Area_Sanitaria],EvolucionIncidencia[[#This Row],[Area_Sanitaria]]))</f>
        <v>0.22121212121212122</v>
      </c>
    </row>
    <row r="221" spans="1:28" hidden="1" x14ac:dyDescent="0.3">
      <c r="A221" s="1">
        <v>44197</v>
      </c>
      <c r="B221" s="2" t="s">
        <v>9</v>
      </c>
      <c r="C221" s="15">
        <v>8653</v>
      </c>
      <c r="D221" s="15">
        <v>595</v>
      </c>
      <c r="E221" s="15">
        <v>7748</v>
      </c>
      <c r="F221">
        <v>22</v>
      </c>
      <c r="G221">
        <v>2</v>
      </c>
      <c r="H221" s="15">
        <v>136922</v>
      </c>
      <c r="I221" s="15">
        <v>309</v>
      </c>
      <c r="J221" s="15">
        <v>67926</v>
      </c>
      <c r="K221" s="15">
        <v>31</v>
      </c>
      <c r="L221">
        <v>-5</v>
      </c>
      <c r="M221">
        <v>1</v>
      </c>
      <c r="N221">
        <v>0</v>
      </c>
      <c r="O221" s="15">
        <v>405</v>
      </c>
      <c r="P221" s="15">
        <v>74</v>
      </c>
      <c r="Q221" s="15">
        <v>479</v>
      </c>
      <c r="R221">
        <v>0.9916666666666667</v>
      </c>
      <c r="S221" s="15">
        <v>36</v>
      </c>
      <c r="T221" t="s">
        <v>351</v>
      </c>
      <c r="U221" s="15" t="str">
        <f>TEXT(EvolucionIncidencia[[#This Row],[Fecha]],"DDDD")</f>
        <v>viernes</v>
      </c>
      <c r="V2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1.5652173913043479</v>
      </c>
      <c r="W2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23.972805352178938</v>
      </c>
      <c r="X221" s="2">
        <f>IF(EvolucionIncidencia[[#This Row],[Fecha]]&lt;=MIN(EvolucionIncidencia[Fecha])+14,"",EvolucionIncidencia[[#This Row],[NuevasAltas]]-EvolucionIncidencia[[#This Row],[Previsión Altas]])</f>
        <v>12.027194647821062</v>
      </c>
      <c r="Y2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282</v>
      </c>
      <c r="Z2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558</v>
      </c>
      <c r="AA221" s="2">
        <f>IF(LEN(EvolucionIncidencia[[#This Row],[Nuevos 7 dias]])=0,"",EvolucionIncidencia[[#This Row],[Nuevos 7 dias]]/_xlfn.MAXIFS(EvolucionIncidencia[Nuevos 7 dias],EvolucionIncidencia[Area_Sanitaria],EvolucionIncidencia[[#This Row],[Area_Sanitaria]]))</f>
        <v>0.17973231357552583</v>
      </c>
      <c r="AB221" s="2">
        <f>IF(LEN(EvolucionIncidencia[[#This Row],[Nuevos 14 dias]])=0,"",EvolucionIncidencia[[#This Row],[Nuevos 14 dias]]/_xlfn.MAXIFS(EvolucionIncidencia[Nuevos 14 dias],EvolucionIncidencia[Area_Sanitaria],EvolucionIncidencia[[#This Row],[Area_Sanitaria]]))</f>
        <v>0.19710349699752738</v>
      </c>
    </row>
    <row r="222" spans="1:28" x14ac:dyDescent="0.3">
      <c r="A222" s="1">
        <v>44197</v>
      </c>
      <c r="B222" s="2" t="s">
        <v>6</v>
      </c>
      <c r="C222" s="15">
        <v>7038</v>
      </c>
      <c r="D222" s="15">
        <v>773</v>
      </c>
      <c r="E222" s="15">
        <v>6188</v>
      </c>
      <c r="F222">
        <v>32</v>
      </c>
      <c r="G222">
        <v>12</v>
      </c>
      <c r="H222" s="15">
        <v>115751</v>
      </c>
      <c r="I222" s="15">
        <v>81</v>
      </c>
      <c r="J222" s="15">
        <v>46420</v>
      </c>
      <c r="K222" s="15">
        <v>46</v>
      </c>
      <c r="L222">
        <v>-16</v>
      </c>
      <c r="M222">
        <v>-7</v>
      </c>
      <c r="N222">
        <v>0</v>
      </c>
      <c r="O222" s="15">
        <v>330</v>
      </c>
      <c r="P222" s="15">
        <v>73</v>
      </c>
      <c r="Q222" s="15">
        <v>403</v>
      </c>
      <c r="R222">
        <v>0.97972116603295312</v>
      </c>
      <c r="S222" s="15">
        <v>62</v>
      </c>
      <c r="T222" t="s">
        <v>351</v>
      </c>
      <c r="U222" s="15" t="str">
        <f>TEXT(EvolucionIncidencia[[#This Row],[Fecha]],"DDDD")</f>
        <v>viernes</v>
      </c>
      <c r="V2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0.96875</v>
      </c>
      <c r="W2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70.486643651610066</v>
      </c>
      <c r="X222" s="2">
        <f>IF(EvolucionIncidencia[[#This Row],[Fecha]]&lt;=MIN(EvolucionIncidencia[Fecha])+14,"",EvolucionIncidencia[[#This Row],[NuevasAltas]]-EvolucionIncidencia[[#This Row],[Previsión Altas]])</f>
        <v>-8.4866436516100663</v>
      </c>
      <c r="Y2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302</v>
      </c>
      <c r="Z2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624</v>
      </c>
      <c r="AA222" s="2">
        <f>IF(LEN(EvolucionIncidencia[[#This Row],[Nuevos 7 dias]])=0,"",EvolucionIncidencia[[#This Row],[Nuevos 7 dias]]/_xlfn.MAXIFS(EvolucionIncidencia[Nuevos 7 dias],EvolucionIncidencia[Area_Sanitaria],EvolucionIncidencia[[#This Row],[Area_Sanitaria]]))</f>
        <v>0.22965779467680608</v>
      </c>
      <c r="AB222" s="2">
        <f>IF(LEN(EvolucionIncidencia[[#This Row],[Nuevos 14 dias]])=0,"",EvolucionIncidencia[[#This Row],[Nuevos 14 dias]]/_xlfn.MAXIFS(EvolucionIncidencia[Nuevos 14 dias],EvolucionIncidencia[Area_Sanitaria],EvolucionIncidencia[[#This Row],[Area_Sanitaria]]))</f>
        <v>0.25668449197860965</v>
      </c>
    </row>
    <row r="223" spans="1:28" hidden="1" x14ac:dyDescent="0.3">
      <c r="A223" s="1">
        <v>44197</v>
      </c>
      <c r="B223" s="2" t="s">
        <v>7</v>
      </c>
      <c r="C223" s="15">
        <v>10457</v>
      </c>
      <c r="D223" s="15">
        <v>1356</v>
      </c>
      <c r="E223" s="15">
        <v>8910</v>
      </c>
      <c r="F223">
        <v>79</v>
      </c>
      <c r="G223">
        <v>8</v>
      </c>
      <c r="H223" s="15">
        <v>190999</v>
      </c>
      <c r="I223" s="15">
        <v>193</v>
      </c>
      <c r="J223" s="15">
        <v>92720</v>
      </c>
      <c r="K223" s="15">
        <v>122</v>
      </c>
      <c r="L223">
        <v>10</v>
      </c>
      <c r="M223">
        <v>4</v>
      </c>
      <c r="N223">
        <v>0</v>
      </c>
      <c r="O223" s="15">
        <v>948</v>
      </c>
      <c r="P223" s="15">
        <v>96</v>
      </c>
      <c r="Q223" s="15">
        <v>1044</v>
      </c>
      <c r="R223">
        <v>1.0074294205052006</v>
      </c>
      <c r="S223" s="15">
        <v>112</v>
      </c>
      <c r="T223" t="s">
        <v>351</v>
      </c>
      <c r="U223" s="15" t="str">
        <f>TEXT(EvolucionIncidencia[[#This Row],[Fecha]],"DDDD")</f>
        <v>viernes</v>
      </c>
      <c r="V2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1.108910891089109</v>
      </c>
      <c r="W2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94.720207975227012</v>
      </c>
      <c r="X223" s="2">
        <f>IF(EvolucionIncidencia[[#This Row],[Fecha]]&lt;=MIN(EvolucionIncidencia[Fecha])+14,"",EvolucionIncidencia[[#This Row],[NuevasAltas]]-EvolucionIncidencia[[#This Row],[Previsión Altas]])</f>
        <v>17.279792024772988</v>
      </c>
      <c r="Y2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688</v>
      </c>
      <c r="Z2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1259</v>
      </c>
      <c r="AA223" s="2">
        <f>IF(LEN(EvolucionIncidencia[[#This Row],[Nuevos 7 dias]])=0,"",EvolucionIncidencia[[#This Row],[Nuevos 7 dias]]/_xlfn.MAXIFS(EvolucionIncidencia[Nuevos 7 dias],EvolucionIncidencia[Area_Sanitaria],EvolucionIncidencia[[#This Row],[Area_Sanitaria]]))</f>
        <v>0.40518256772673733</v>
      </c>
      <c r="AB223" s="2">
        <f>IF(LEN(EvolucionIncidencia[[#This Row],[Nuevos 14 dias]])=0,"",EvolucionIncidencia[[#This Row],[Nuevos 14 dias]]/_xlfn.MAXIFS(EvolucionIncidencia[Nuevos 14 dias],EvolucionIncidencia[Area_Sanitaria],EvolucionIncidencia[[#This Row],[Area_Sanitaria]]))</f>
        <v>0.39566310496543056</v>
      </c>
    </row>
    <row r="224" spans="1:28" hidden="1" x14ac:dyDescent="0.3">
      <c r="A224" s="1">
        <v>44197</v>
      </c>
      <c r="B224" s="2" t="s">
        <v>2</v>
      </c>
      <c r="C224" s="15">
        <v>12684</v>
      </c>
      <c r="D224" s="15">
        <v>1175</v>
      </c>
      <c r="E224" s="15">
        <v>11239</v>
      </c>
      <c r="F224">
        <v>41</v>
      </c>
      <c r="G224">
        <v>11</v>
      </c>
      <c r="H224" s="15">
        <v>242347</v>
      </c>
      <c r="I224" s="15">
        <v>271</v>
      </c>
      <c r="J224" s="15">
        <v>58492</v>
      </c>
      <c r="K224" s="15">
        <v>71</v>
      </c>
      <c r="L224">
        <v>-6</v>
      </c>
      <c r="M224">
        <v>1</v>
      </c>
      <c r="N224">
        <v>2</v>
      </c>
      <c r="O224" s="15">
        <v>837</v>
      </c>
      <c r="P224" s="15">
        <v>53</v>
      </c>
      <c r="Q224" s="15">
        <v>890</v>
      </c>
      <c r="R224">
        <v>0.99491955969517354</v>
      </c>
      <c r="S224" s="15">
        <v>77</v>
      </c>
      <c r="T224" t="s">
        <v>351</v>
      </c>
      <c r="U224" s="15" t="str">
        <f>TEXT(EvolucionIncidencia[[#This Row],[Fecha]],"DDDD")</f>
        <v>viernes</v>
      </c>
      <c r="V2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0.92771084337349397</v>
      </c>
      <c r="W2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95.749747501062274</v>
      </c>
      <c r="X224" s="2">
        <f>IF(EvolucionIncidencia[[#This Row],[Fecha]]&lt;=MIN(EvolucionIncidencia[Fecha])+14,"",EvolucionIncidencia[[#This Row],[NuevasAltas]]-EvolucionIncidencia[[#This Row],[Previsión Altas]])</f>
        <v>-18.749747501062274</v>
      </c>
      <c r="Y2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536</v>
      </c>
      <c r="Z2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1089</v>
      </c>
      <c r="AA224" s="2">
        <f>IF(LEN(EvolucionIncidencia[[#This Row],[Nuevos 7 dias]])=0,"",EvolucionIncidencia[[#This Row],[Nuevos 7 dias]]/_xlfn.MAXIFS(EvolucionIncidencia[Nuevos 7 dias],EvolucionIncidencia[Area_Sanitaria],EvolucionIncidencia[[#This Row],[Area_Sanitaria]]))</f>
        <v>0.27643115007735947</v>
      </c>
      <c r="AB224" s="2">
        <f>IF(LEN(EvolucionIncidencia[[#This Row],[Nuevos 14 dias]])=0,"",EvolucionIncidencia[[#This Row],[Nuevos 14 dias]]/_xlfn.MAXIFS(EvolucionIncidencia[Nuevos 14 dias],EvolucionIncidencia[Area_Sanitaria],EvolucionIncidencia[[#This Row],[Area_Sanitaria]]))</f>
        <v>0.29975227085053674</v>
      </c>
    </row>
    <row r="225" spans="1:28" hidden="1" x14ac:dyDescent="0.3">
      <c r="A225" s="1">
        <v>44197</v>
      </c>
      <c r="B225" s="2" t="s">
        <v>3</v>
      </c>
      <c r="C225" s="15">
        <v>63954</v>
      </c>
      <c r="D225" s="15">
        <v>5833</v>
      </c>
      <c r="E225" s="15">
        <v>56724</v>
      </c>
      <c r="F225">
        <v>297</v>
      </c>
      <c r="G225">
        <v>57</v>
      </c>
      <c r="H225" s="15">
        <v>1125019</v>
      </c>
      <c r="I225" s="15">
        <v>1403</v>
      </c>
      <c r="J225" s="15">
        <v>448361</v>
      </c>
      <c r="K225" s="15">
        <v>444</v>
      </c>
      <c r="L225">
        <v>56</v>
      </c>
      <c r="M225">
        <v>7</v>
      </c>
      <c r="N225">
        <v>2</v>
      </c>
      <c r="O225" s="15">
        <v>4429</v>
      </c>
      <c r="P225" s="15">
        <v>452</v>
      </c>
      <c r="Q225" s="15">
        <v>4881</v>
      </c>
      <c r="R225">
        <v>1.0096936126016964</v>
      </c>
      <c r="S225" s="15">
        <v>386</v>
      </c>
      <c r="T225" t="s">
        <v>351</v>
      </c>
      <c r="U225" s="15" t="str">
        <f>TEXT(EvolucionIncidencia[[#This Row],[Fecha]],"DDDD")</f>
        <v>viernes</v>
      </c>
      <c r="V2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0.99228791773778924</v>
      </c>
      <c r="W2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405.80895403935619</v>
      </c>
      <c r="X225" s="2">
        <f>IF(EvolucionIncidencia[[#This Row],[Fecha]]&lt;=MIN(EvolucionIncidencia[Fecha])+14,"",EvolucionIncidencia[[#This Row],[NuevasAltas]]-EvolucionIncidencia[[#This Row],[Previsión Altas]])</f>
        <v>-19.808954039356195</v>
      </c>
      <c r="Y2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2815</v>
      </c>
      <c r="Z2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5224</v>
      </c>
      <c r="AA225" s="2">
        <f>IF(LEN(EvolucionIncidencia[[#This Row],[Nuevos 7 dias]])=0,"",EvolucionIncidencia[[#This Row],[Nuevos 7 dias]]/_xlfn.MAXIFS(EvolucionIncidencia[Nuevos 7 dias],EvolucionIncidencia[Area_Sanitaria],EvolucionIncidencia[[#This Row],[Area_Sanitaria]]))</f>
        <v>0.24814880112834978</v>
      </c>
      <c r="AB225" s="2">
        <f>IF(LEN(EvolucionIncidencia[[#This Row],[Nuevos 14 dias]])=0,"",EvolucionIncidencia[[#This Row],[Nuevos 14 dias]]/_xlfn.MAXIFS(EvolucionIncidencia[Nuevos 14 dias],EvolucionIncidencia[Area_Sanitaria],EvolucionIncidencia[[#This Row],[Area_Sanitaria]]))</f>
        <v>0.25045546073449038</v>
      </c>
    </row>
    <row r="226" spans="1:28" hidden="1" x14ac:dyDescent="0.3">
      <c r="A226" s="1">
        <v>44198</v>
      </c>
      <c r="B226" s="2" t="s">
        <v>4</v>
      </c>
      <c r="C226" s="15">
        <v>13940</v>
      </c>
      <c r="D226" s="15">
        <v>1134</v>
      </c>
      <c r="E226" s="15">
        <v>12496</v>
      </c>
      <c r="F226">
        <v>77</v>
      </c>
      <c r="G226">
        <v>18</v>
      </c>
      <c r="H226" s="15">
        <v>236006</v>
      </c>
      <c r="I226" s="15">
        <v>314</v>
      </c>
      <c r="J226" s="15">
        <v>77651</v>
      </c>
      <c r="K226" s="15">
        <v>46</v>
      </c>
      <c r="L226">
        <v>-16</v>
      </c>
      <c r="M226">
        <v>5</v>
      </c>
      <c r="N226">
        <v>-2</v>
      </c>
      <c r="O226" s="15">
        <v>588</v>
      </c>
      <c r="P226" s="15">
        <v>123</v>
      </c>
      <c r="Q226" s="15">
        <v>711</v>
      </c>
      <c r="R226">
        <v>0.98608695652173917</v>
      </c>
      <c r="S226" s="15">
        <v>62</v>
      </c>
      <c r="T226" t="s">
        <v>352</v>
      </c>
      <c r="U226" s="15" t="str">
        <f>TEXT(EvolucionIncidencia[[#This Row],[Fecha]],"DDDD")</f>
        <v>sábado</v>
      </c>
      <c r="V2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0.92537313432835822</v>
      </c>
      <c r="W2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74.57003172064357</v>
      </c>
      <c r="X226" s="2">
        <f>IF(EvolucionIncidencia[[#This Row],[Fecha]]&lt;=MIN(EvolucionIncidencia[Fecha])+14,"",EvolucionIncidencia[[#This Row],[NuevasAltas]]-EvolucionIncidencia[[#This Row],[Previsión Altas]])</f>
        <v>-12.57003172064357</v>
      </c>
      <c r="Y2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628</v>
      </c>
      <c r="Z2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990</v>
      </c>
      <c r="AA226" s="2">
        <f>IF(LEN(EvolucionIncidencia[[#This Row],[Nuevos 7 dias]])=0,"",EvolucionIncidencia[[#This Row],[Nuevos 7 dias]]/_xlfn.MAXIFS(EvolucionIncidencia[Nuevos 7 dias],EvolucionIncidencia[Area_Sanitaria],EvolucionIncidencia[[#This Row],[Area_Sanitaria]]))</f>
        <v>0.21080899630748573</v>
      </c>
      <c r="AB226" s="2">
        <f>IF(LEN(EvolucionIncidencia[[#This Row],[Nuevos 14 dias]])=0,"",EvolucionIncidencia[[#This Row],[Nuevos 14 dias]]/_xlfn.MAXIFS(EvolucionIncidencia[Nuevos 14 dias],EvolucionIncidencia[Area_Sanitaria],EvolucionIncidencia[[#This Row],[Area_Sanitaria]]))</f>
        <v>0.18208570903071547</v>
      </c>
    </row>
    <row r="227" spans="1:28" hidden="1" x14ac:dyDescent="0.3">
      <c r="A227" s="1">
        <v>44198</v>
      </c>
      <c r="B227" s="2" t="s">
        <v>5</v>
      </c>
      <c r="C227" s="15">
        <v>4049</v>
      </c>
      <c r="D227" s="15">
        <v>295</v>
      </c>
      <c r="E227" s="15">
        <v>3662</v>
      </c>
      <c r="F227">
        <v>41</v>
      </c>
      <c r="G227">
        <v>2</v>
      </c>
      <c r="H227" s="15">
        <v>77572</v>
      </c>
      <c r="I227" s="15">
        <v>90</v>
      </c>
      <c r="J227" s="15">
        <v>30286</v>
      </c>
      <c r="K227" s="15">
        <v>11</v>
      </c>
      <c r="L227">
        <v>-14</v>
      </c>
      <c r="M227">
        <v>4</v>
      </c>
      <c r="N227">
        <v>0</v>
      </c>
      <c r="O227" s="15">
        <v>186</v>
      </c>
      <c r="P227" s="15">
        <v>15</v>
      </c>
      <c r="Q227" s="15">
        <v>201</v>
      </c>
      <c r="R227">
        <v>0.95469255663430419</v>
      </c>
      <c r="S227" s="15">
        <v>25</v>
      </c>
      <c r="T227" t="s">
        <v>352</v>
      </c>
      <c r="U227" s="15" t="str">
        <f>TEXT(EvolucionIncidencia[[#This Row],[Fecha]],"DDDD")</f>
        <v>sábado</v>
      </c>
      <c r="V2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2.2727272727272729</v>
      </c>
      <c r="W2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15.213825148051088</v>
      </c>
      <c r="X227" s="2">
        <f>IF(EvolucionIncidencia[[#This Row],[Fecha]]&lt;=MIN(EvolucionIncidencia[Fecha])+14,"",EvolucionIncidencia[[#This Row],[NuevasAltas]]-EvolucionIncidencia[[#This Row],[Previsión Altas]])</f>
        <v>9.7861748519489122</v>
      </c>
      <c r="Y2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140</v>
      </c>
      <c r="Z2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245</v>
      </c>
      <c r="AA227" s="2">
        <f>IF(LEN(EvolucionIncidencia[[#This Row],[Nuevos 7 dias]])=0,"",EvolucionIncidencia[[#This Row],[Nuevos 7 dias]]/_xlfn.MAXIFS(EvolucionIncidencia[Nuevos 7 dias],EvolucionIncidencia[Area_Sanitaria],EvolucionIncidencia[[#This Row],[Area_Sanitaria]]))</f>
        <v>0.16766467065868262</v>
      </c>
      <c r="AB227" s="2">
        <f>IF(LEN(EvolucionIncidencia[[#This Row],[Nuevos 14 dias]])=0,"",EvolucionIncidencia[[#This Row],[Nuevos 14 dias]]/_xlfn.MAXIFS(EvolucionIncidencia[Nuevos 14 dias],EvolucionIncidencia[Area_Sanitaria],EvolucionIncidencia[[#This Row],[Area_Sanitaria]]))</f>
        <v>0.14948139109212935</v>
      </c>
    </row>
    <row r="228" spans="1:28" hidden="1" x14ac:dyDescent="0.3">
      <c r="A228" s="1">
        <v>44198</v>
      </c>
      <c r="B228" s="2" t="s">
        <v>8</v>
      </c>
      <c r="C228" s="15">
        <v>7223</v>
      </c>
      <c r="D228" s="15">
        <v>483</v>
      </c>
      <c r="E228" s="15">
        <v>6593</v>
      </c>
      <c r="F228">
        <v>16</v>
      </c>
      <c r="G228">
        <v>2</v>
      </c>
      <c r="H228" s="15">
        <v>126441</v>
      </c>
      <c r="I228" s="15">
        <v>145</v>
      </c>
      <c r="J228" s="15">
        <v>75074</v>
      </c>
      <c r="K228" s="15">
        <v>33</v>
      </c>
      <c r="L228">
        <v>8</v>
      </c>
      <c r="M228">
        <v>2</v>
      </c>
      <c r="N228">
        <v>0</v>
      </c>
      <c r="O228" s="15">
        <v>245</v>
      </c>
      <c r="P228" s="15">
        <v>70</v>
      </c>
      <c r="Q228" s="15">
        <v>315</v>
      </c>
      <c r="R228">
        <v>1.016842105263158</v>
      </c>
      <c r="S228" s="15">
        <v>25</v>
      </c>
      <c r="T228" t="s">
        <v>352</v>
      </c>
      <c r="U228" s="15" t="str">
        <f>TEXT(EvolucionIncidencia[[#This Row],[Fecha]],"DDDD")</f>
        <v>sábado</v>
      </c>
      <c r="V2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0.86206896551724133</v>
      </c>
      <c r="W2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34.059425352703933</v>
      </c>
      <c r="X228" s="2">
        <f>IF(EvolucionIncidencia[[#This Row],[Fecha]]&lt;=MIN(EvolucionIncidencia[Fecha])+14,"",EvolucionIncidencia[[#This Row],[NuevasAltas]]-EvolucionIncidencia[[#This Row],[Previsión Altas]])</f>
        <v>-9.0594253527039328</v>
      </c>
      <c r="Y2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273</v>
      </c>
      <c r="Z2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442</v>
      </c>
      <c r="AA228" s="2">
        <f>IF(LEN(EvolucionIncidencia[[#This Row],[Nuevos 7 dias]])=0,"",EvolucionIncidencia[[#This Row],[Nuevos 7 dias]]/_xlfn.MAXIFS(EvolucionIncidencia[Nuevos 7 dias],EvolucionIncidencia[Area_Sanitaria],EvolucionIncidencia[[#This Row],[Area_Sanitaria]]))</f>
        <v>0.24683544303797469</v>
      </c>
      <c r="AB228" s="2">
        <f>IF(LEN(EvolucionIncidencia[[#This Row],[Nuevos 14 dias]])=0,"",EvolucionIncidencia[[#This Row],[Nuevos 14 dias]]/_xlfn.MAXIFS(EvolucionIncidencia[Nuevos 14 dias],EvolucionIncidencia[Area_Sanitaria],EvolucionIncidencia[[#This Row],[Area_Sanitaria]]))</f>
        <v>0.22323232323232323</v>
      </c>
    </row>
    <row r="229" spans="1:28" hidden="1" x14ac:dyDescent="0.3">
      <c r="A229" s="1">
        <v>44198</v>
      </c>
      <c r="B229" s="2" t="s">
        <v>9</v>
      </c>
      <c r="C229" s="15">
        <v>8683</v>
      </c>
      <c r="D229" s="15">
        <v>605</v>
      </c>
      <c r="E229" s="15">
        <v>7768</v>
      </c>
      <c r="F229">
        <v>23</v>
      </c>
      <c r="G229">
        <v>3</v>
      </c>
      <c r="H229" s="15">
        <v>137290</v>
      </c>
      <c r="I229" s="15">
        <v>309</v>
      </c>
      <c r="J229" s="15">
        <v>68012</v>
      </c>
      <c r="K229" s="15">
        <v>30</v>
      </c>
      <c r="L229">
        <v>10</v>
      </c>
      <c r="M229">
        <v>1</v>
      </c>
      <c r="N229">
        <v>1</v>
      </c>
      <c r="O229" s="15">
        <v>368</v>
      </c>
      <c r="P229" s="15">
        <v>86</v>
      </c>
      <c r="Q229" s="15">
        <v>454</v>
      </c>
      <c r="R229">
        <v>1.0168067226890756</v>
      </c>
      <c r="S229" s="15">
        <v>20</v>
      </c>
      <c r="T229" t="s">
        <v>352</v>
      </c>
      <c r="U229" s="15" t="str">
        <f>TEXT(EvolucionIncidencia[[#This Row],[Fecha]],"DDDD")</f>
        <v>sábado</v>
      </c>
      <c r="V2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2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16.194711315760539</v>
      </c>
      <c r="X229" s="2">
        <f>IF(EvolucionIncidencia[[#This Row],[Fecha]]&lt;=MIN(EvolucionIncidencia[Fecha])+14,"",EvolucionIncidencia[[#This Row],[NuevasAltas]]-EvolucionIncidencia[[#This Row],[Previsión Altas]])</f>
        <v>3.8052886842394607</v>
      </c>
      <c r="Y2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296</v>
      </c>
      <c r="Z2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573</v>
      </c>
      <c r="AA229" s="2">
        <f>IF(LEN(EvolucionIncidencia[[#This Row],[Nuevos 7 dias]])=0,"",EvolucionIncidencia[[#This Row],[Nuevos 7 dias]]/_xlfn.MAXIFS(EvolucionIncidencia[Nuevos 7 dias],EvolucionIncidencia[Area_Sanitaria],EvolucionIncidencia[[#This Row],[Area_Sanitaria]]))</f>
        <v>0.18865519439133205</v>
      </c>
      <c r="AB229" s="2">
        <f>IF(LEN(EvolucionIncidencia[[#This Row],[Nuevos 14 dias]])=0,"",EvolucionIncidencia[[#This Row],[Nuevos 14 dias]]/_xlfn.MAXIFS(EvolucionIncidencia[Nuevos 14 dias],EvolucionIncidencia[Area_Sanitaria],EvolucionIncidencia[[#This Row],[Area_Sanitaria]]))</f>
        <v>0.20240197809961144</v>
      </c>
    </row>
    <row r="230" spans="1:28" x14ac:dyDescent="0.3">
      <c r="A230" s="1">
        <v>44198</v>
      </c>
      <c r="B230" s="2" t="s">
        <v>6</v>
      </c>
      <c r="C230" s="15">
        <v>7064</v>
      </c>
      <c r="D230" s="15">
        <v>710</v>
      </c>
      <c r="E230" s="15">
        <v>6274</v>
      </c>
      <c r="F230">
        <v>35</v>
      </c>
      <c r="G230">
        <v>9</v>
      </c>
      <c r="H230" s="15">
        <v>116039</v>
      </c>
      <c r="I230" s="15">
        <v>83</v>
      </c>
      <c r="J230" s="15">
        <v>46508</v>
      </c>
      <c r="K230" s="15">
        <v>26</v>
      </c>
      <c r="L230">
        <v>-63</v>
      </c>
      <c r="M230">
        <v>3</v>
      </c>
      <c r="N230">
        <v>-3</v>
      </c>
      <c r="O230" s="15">
        <v>288</v>
      </c>
      <c r="P230" s="15">
        <v>88</v>
      </c>
      <c r="Q230" s="15">
        <v>376</v>
      </c>
      <c r="R230">
        <v>0.91849935316946962</v>
      </c>
      <c r="S230" s="15">
        <v>86</v>
      </c>
      <c r="T230" t="s">
        <v>352</v>
      </c>
      <c r="U230" s="15" t="str">
        <f>TEXT(EvolucionIncidencia[[#This Row],[Fecha]],"DDDD")</f>
        <v>sábado</v>
      </c>
      <c r="V2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1.4827586206896552</v>
      </c>
      <c r="W2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63.32916218003794</v>
      </c>
      <c r="X230" s="2">
        <f>IF(EvolucionIncidencia[[#This Row],[Fecha]]&lt;=MIN(EvolucionIncidencia[Fecha])+14,"",EvolucionIncidencia[[#This Row],[NuevasAltas]]-EvolucionIncidencia[[#This Row],[Previsión Altas]])</f>
        <v>22.67083781996206</v>
      </c>
      <c r="Y2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282</v>
      </c>
      <c r="Z2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592</v>
      </c>
      <c r="AA230" s="2">
        <f>IF(LEN(EvolucionIncidencia[[#This Row],[Nuevos 7 dias]])=0,"",EvolucionIncidencia[[#This Row],[Nuevos 7 dias]]/_xlfn.MAXIFS(EvolucionIncidencia[Nuevos 7 dias],EvolucionIncidencia[Area_Sanitaria],EvolucionIncidencia[[#This Row],[Area_Sanitaria]]))</f>
        <v>0.21444866920152092</v>
      </c>
      <c r="AB230" s="2">
        <f>IF(LEN(EvolucionIncidencia[[#This Row],[Nuevos 14 dias]])=0,"",EvolucionIncidencia[[#This Row],[Nuevos 14 dias]]/_xlfn.MAXIFS(EvolucionIncidencia[Nuevos 14 dias],EvolucionIncidencia[Area_Sanitaria],EvolucionIncidencia[[#This Row],[Area_Sanitaria]]))</f>
        <v>0.2435211846976553</v>
      </c>
    </row>
    <row r="231" spans="1:28" hidden="1" x14ac:dyDescent="0.3">
      <c r="A231" s="1">
        <v>44198</v>
      </c>
      <c r="B231" s="2" t="s">
        <v>7</v>
      </c>
      <c r="C231" s="15">
        <v>10523</v>
      </c>
      <c r="D231" s="15">
        <v>1332</v>
      </c>
      <c r="E231" s="15">
        <v>8996</v>
      </c>
      <c r="F231">
        <v>76</v>
      </c>
      <c r="G231">
        <v>11</v>
      </c>
      <c r="H231" s="15">
        <v>191595</v>
      </c>
      <c r="I231" s="15">
        <v>197</v>
      </c>
      <c r="J231" s="15">
        <v>92859</v>
      </c>
      <c r="K231" s="15">
        <v>66</v>
      </c>
      <c r="L231">
        <v>-24</v>
      </c>
      <c r="M231">
        <v>-3</v>
      </c>
      <c r="N231">
        <v>3</v>
      </c>
      <c r="O231" s="15">
        <v>596</v>
      </c>
      <c r="P231" s="15">
        <v>139</v>
      </c>
      <c r="Q231" s="15">
        <v>735</v>
      </c>
      <c r="R231">
        <v>0.98230088495575218</v>
      </c>
      <c r="S231" s="15">
        <v>86</v>
      </c>
      <c r="T231" t="s">
        <v>352</v>
      </c>
      <c r="U231" s="15" t="str">
        <f>TEXT(EvolucionIncidencia[[#This Row],[Fecha]],"DDDD")</f>
        <v>sábado</v>
      </c>
      <c r="V2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1.0617283950617284</v>
      </c>
      <c r="W2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76.953591936289996</v>
      </c>
      <c r="X231" s="2">
        <f>IF(EvolucionIncidencia[[#This Row],[Fecha]]&lt;=MIN(EvolucionIncidencia[Fecha])+14,"",EvolucionIncidencia[[#This Row],[NuevasAltas]]-EvolucionIncidencia[[#This Row],[Previsión Altas]])</f>
        <v>9.0464080637100039</v>
      </c>
      <c r="Y2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675</v>
      </c>
      <c r="Z2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1244</v>
      </c>
      <c r="AA231" s="2">
        <f>IF(LEN(EvolucionIncidencia[[#This Row],[Nuevos 7 dias]])=0,"",EvolucionIncidencia[[#This Row],[Nuevos 7 dias]]/_xlfn.MAXIFS(EvolucionIncidencia[Nuevos 7 dias],EvolucionIncidencia[Area_Sanitaria],EvolucionIncidencia[[#This Row],[Area_Sanitaria]]))</f>
        <v>0.39752650176678445</v>
      </c>
      <c r="AB231" s="2">
        <f>IF(LEN(EvolucionIncidencia[[#This Row],[Nuevos 14 dias]])=0,"",EvolucionIncidencia[[#This Row],[Nuevos 14 dias]]/_xlfn.MAXIFS(EvolucionIncidencia[Nuevos 14 dias],EvolucionIncidencia[Area_Sanitaria],EvolucionIncidencia[[#This Row],[Area_Sanitaria]]))</f>
        <v>0.39094908862350725</v>
      </c>
    </row>
    <row r="232" spans="1:28" hidden="1" x14ac:dyDescent="0.3">
      <c r="A232" s="1">
        <v>44198</v>
      </c>
      <c r="B232" s="2" t="s">
        <v>2</v>
      </c>
      <c r="C232" s="15">
        <v>12769</v>
      </c>
      <c r="D232" s="15">
        <v>1173</v>
      </c>
      <c r="E232" s="15">
        <v>11326</v>
      </c>
      <c r="F232">
        <v>43</v>
      </c>
      <c r="G232">
        <v>12</v>
      </c>
      <c r="H232" s="15">
        <v>243394</v>
      </c>
      <c r="I232" s="15">
        <v>271</v>
      </c>
      <c r="J232" s="15">
        <v>58559</v>
      </c>
      <c r="K232" s="15">
        <v>85</v>
      </c>
      <c r="L232">
        <v>-2</v>
      </c>
      <c r="M232">
        <v>2</v>
      </c>
      <c r="N232">
        <v>1</v>
      </c>
      <c r="O232" s="15">
        <v>1047</v>
      </c>
      <c r="P232" s="15">
        <v>67</v>
      </c>
      <c r="Q232" s="15">
        <v>1114</v>
      </c>
      <c r="R232">
        <v>0.99829787234042555</v>
      </c>
      <c r="S232" s="15">
        <v>87</v>
      </c>
      <c r="T232" t="s">
        <v>352</v>
      </c>
      <c r="U232" s="15" t="str">
        <f>TEXT(EvolucionIncidencia[[#This Row],[Fecha]],"DDDD")</f>
        <v>sábado</v>
      </c>
      <c r="V2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1.1447368421052631</v>
      </c>
      <c r="W2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86.448150198837823</v>
      </c>
      <c r="X232" s="2">
        <f>IF(EvolucionIncidencia[[#This Row],[Fecha]]&lt;=MIN(EvolucionIncidencia[Fecha])+14,"",EvolucionIncidencia[[#This Row],[NuevasAltas]]-EvolucionIncidencia[[#This Row],[Previsión Altas]])</f>
        <v>0.5518498011621773</v>
      </c>
      <c r="Y2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582</v>
      </c>
      <c r="Z2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1098</v>
      </c>
      <c r="AA232" s="2">
        <f>IF(LEN(EvolucionIncidencia[[#This Row],[Nuevos 7 dias]])=0,"",EvolucionIncidencia[[#This Row],[Nuevos 7 dias]]/_xlfn.MAXIFS(EvolucionIncidencia[Nuevos 7 dias],EvolucionIncidencia[Area_Sanitaria],EvolucionIncidencia[[#This Row],[Area_Sanitaria]]))</f>
        <v>0.30015471892728213</v>
      </c>
      <c r="AB232" s="2">
        <f>IF(LEN(EvolucionIncidencia[[#This Row],[Nuevos 14 dias]])=0,"",EvolucionIncidencia[[#This Row],[Nuevos 14 dias]]/_xlfn.MAXIFS(EvolucionIncidencia[Nuevos 14 dias],EvolucionIncidencia[Area_Sanitaria],EvolucionIncidencia[[#This Row],[Area_Sanitaria]]))</f>
        <v>0.30222956234516929</v>
      </c>
    </row>
    <row r="233" spans="1:28" hidden="1" x14ac:dyDescent="0.3">
      <c r="A233" s="1">
        <v>44198</v>
      </c>
      <c r="B233" s="2" t="s">
        <v>3</v>
      </c>
      <c r="C233" s="15">
        <v>64251</v>
      </c>
      <c r="D233" s="15">
        <v>5732</v>
      </c>
      <c r="E233" s="15">
        <v>57115</v>
      </c>
      <c r="F233">
        <v>311</v>
      </c>
      <c r="G233">
        <v>57</v>
      </c>
      <c r="H233" s="15">
        <v>1128337</v>
      </c>
      <c r="I233" s="15">
        <v>1409</v>
      </c>
      <c r="J233" s="15">
        <v>448949</v>
      </c>
      <c r="K233" s="15">
        <v>297</v>
      </c>
      <c r="L233">
        <v>-101</v>
      </c>
      <c r="M233">
        <v>14</v>
      </c>
      <c r="N233">
        <v>0</v>
      </c>
      <c r="O233" s="15">
        <v>3318</v>
      </c>
      <c r="P233" s="15">
        <v>588</v>
      </c>
      <c r="Q233" s="15">
        <v>3906</v>
      </c>
      <c r="R233">
        <v>0.98268472484141955</v>
      </c>
      <c r="S233" s="15">
        <v>391</v>
      </c>
      <c r="T233" t="s">
        <v>352</v>
      </c>
      <c r="U233" s="15" t="str">
        <f>TEXT(EvolucionIncidencia[[#This Row],[Fecha]],"DDDD")</f>
        <v>sábado</v>
      </c>
      <c r="V2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1.1602373887240356</v>
      </c>
      <c r="W2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350.33621513889454</v>
      </c>
      <c r="X233" s="2">
        <f>IF(EvolucionIncidencia[[#This Row],[Fecha]]&lt;=MIN(EvolucionIncidencia[Fecha])+14,"",EvolucionIncidencia[[#This Row],[NuevasAltas]]-EvolucionIncidencia[[#This Row],[Previsión Altas]])</f>
        <v>40.663784861105455</v>
      </c>
      <c r="Y2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2876</v>
      </c>
      <c r="Z2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5184</v>
      </c>
      <c r="AA233" s="2">
        <f>IF(LEN(EvolucionIncidencia[[#This Row],[Nuevos 7 dias]])=0,"",EvolucionIncidencia[[#This Row],[Nuevos 7 dias]]/_xlfn.MAXIFS(EvolucionIncidencia[Nuevos 7 dias],EvolucionIncidencia[Area_Sanitaria],EvolucionIncidencia[[#This Row],[Area_Sanitaria]]))</f>
        <v>0.25352609308885754</v>
      </c>
      <c r="AB233" s="2">
        <f>IF(LEN(EvolucionIncidencia[[#This Row],[Nuevos 14 dias]])=0,"",EvolucionIncidencia[[#This Row],[Nuevos 14 dias]]/_xlfn.MAXIFS(EvolucionIncidencia[Nuevos 14 dias],EvolucionIncidencia[Area_Sanitaria],EvolucionIncidencia[[#This Row],[Area_Sanitaria]]))</f>
        <v>0.24853773132610987</v>
      </c>
    </row>
    <row r="234" spans="1:28" hidden="1" x14ac:dyDescent="0.3">
      <c r="A234" s="1">
        <v>44199</v>
      </c>
      <c r="B234" s="2" t="s">
        <v>4</v>
      </c>
      <c r="C234" s="15">
        <v>14058</v>
      </c>
      <c r="D234" s="15">
        <v>1193</v>
      </c>
      <c r="E234" s="15">
        <v>12554</v>
      </c>
      <c r="F234">
        <v>83</v>
      </c>
      <c r="G234">
        <v>19</v>
      </c>
      <c r="H234" s="15">
        <v>236832</v>
      </c>
      <c r="I234" s="15">
        <v>315</v>
      </c>
      <c r="J234" s="15">
        <v>77770</v>
      </c>
      <c r="K234" s="15">
        <v>118</v>
      </c>
      <c r="L234">
        <v>59</v>
      </c>
      <c r="M234">
        <v>6</v>
      </c>
      <c r="N234">
        <v>1</v>
      </c>
      <c r="O234" s="15">
        <v>826</v>
      </c>
      <c r="P234" s="15">
        <v>119</v>
      </c>
      <c r="Q234" s="15">
        <v>945</v>
      </c>
      <c r="R234">
        <v>1.0520282186948853</v>
      </c>
      <c r="S234" s="15">
        <v>58</v>
      </c>
      <c r="T234" t="s">
        <v>353</v>
      </c>
      <c r="U234" s="15" t="str">
        <f>TEXT(EvolucionIncidencia[[#This Row],[Fecha]],"DDDD")</f>
        <v>domingo</v>
      </c>
      <c r="V2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1.0943396226415094</v>
      </c>
      <c r="W2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57.75928948477349</v>
      </c>
      <c r="X234" s="2">
        <f>IF(EvolucionIncidencia[[#This Row],[Fecha]]&lt;=MIN(EvolucionIncidencia[Fecha])+14,"",EvolucionIncidencia[[#This Row],[NuevasAltas]]-EvolucionIncidencia[[#This Row],[Previsión Altas]])</f>
        <v>0.24071051522651032</v>
      </c>
      <c r="Y2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698</v>
      </c>
      <c r="Z2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1055</v>
      </c>
      <c r="AA234" s="2">
        <f>IF(LEN(EvolucionIncidencia[[#This Row],[Nuevos 7 dias]])=0,"",EvolucionIncidencia[[#This Row],[Nuevos 7 dias]]/_xlfn.MAXIFS(EvolucionIncidencia[Nuevos 7 dias],EvolucionIncidencia[Area_Sanitaria],EvolucionIncidencia[[#This Row],[Area_Sanitaria]]))</f>
        <v>0.23430681436723733</v>
      </c>
      <c r="AB234" s="2">
        <f>IF(LEN(EvolucionIncidencia[[#This Row],[Nuevos 14 dias]])=0,"",EvolucionIncidencia[[#This Row],[Nuevos 14 dias]]/_xlfn.MAXIFS(EvolucionIncidencia[Nuevos 14 dias],EvolucionIncidencia[Area_Sanitaria],EvolucionIncidencia[[#This Row],[Area_Sanitaria]]))</f>
        <v>0.19404083134081296</v>
      </c>
    </row>
    <row r="235" spans="1:28" hidden="1" x14ac:dyDescent="0.3">
      <c r="A235" s="1">
        <v>44199</v>
      </c>
      <c r="B235" s="2" t="s">
        <v>5</v>
      </c>
      <c r="C235" s="15">
        <v>4103</v>
      </c>
      <c r="D235" s="15">
        <v>343</v>
      </c>
      <c r="E235" s="15">
        <v>3668</v>
      </c>
      <c r="F235">
        <v>45</v>
      </c>
      <c r="G235">
        <v>1</v>
      </c>
      <c r="H235" s="15">
        <v>77922</v>
      </c>
      <c r="I235" s="15">
        <v>90</v>
      </c>
      <c r="J235" s="15">
        <v>30308</v>
      </c>
      <c r="K235" s="15">
        <v>54</v>
      </c>
      <c r="L235">
        <v>48</v>
      </c>
      <c r="M235">
        <v>4</v>
      </c>
      <c r="N235">
        <v>-1</v>
      </c>
      <c r="O235" s="15">
        <v>350</v>
      </c>
      <c r="P235" s="15">
        <v>22</v>
      </c>
      <c r="Q235" s="15">
        <v>372</v>
      </c>
      <c r="R235">
        <v>1.1627118644067798</v>
      </c>
      <c r="S235" s="15">
        <v>6</v>
      </c>
      <c r="T235" t="s">
        <v>353</v>
      </c>
      <c r="U235" s="15" t="str">
        <f>TEXT(EvolucionIncidencia[[#This Row],[Fecha]],"DDDD")</f>
        <v>domingo</v>
      </c>
      <c r="V2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0.46153846153846156</v>
      </c>
      <c r="W2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17.70837720771933</v>
      </c>
      <c r="X235" s="2">
        <f>IF(EvolucionIncidencia[[#This Row],[Fecha]]&lt;=MIN(EvolucionIncidencia[Fecha])+14,"",EvolucionIncidencia[[#This Row],[NuevasAltas]]-EvolucionIncidencia[[#This Row],[Previsión Altas]])</f>
        <v>-11.70837720771933</v>
      </c>
      <c r="Y2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178</v>
      </c>
      <c r="Z2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286</v>
      </c>
      <c r="AA235" s="2">
        <f>IF(LEN(EvolucionIncidencia[[#This Row],[Nuevos 7 dias]])=0,"",EvolucionIncidencia[[#This Row],[Nuevos 7 dias]]/_xlfn.MAXIFS(EvolucionIncidencia[Nuevos 7 dias],EvolucionIncidencia[Area_Sanitaria],EvolucionIncidencia[[#This Row],[Area_Sanitaria]]))</f>
        <v>0.21317365269461078</v>
      </c>
      <c r="AB235" s="2">
        <f>IF(LEN(EvolucionIncidencia[[#This Row],[Nuevos 14 dias]])=0,"",EvolucionIncidencia[[#This Row],[Nuevos 14 dias]]/_xlfn.MAXIFS(EvolucionIncidencia[Nuevos 14 dias],EvolucionIncidencia[Area_Sanitaria],EvolucionIncidencia[[#This Row],[Area_Sanitaria]]))</f>
        <v>0.17449664429530201</v>
      </c>
    </row>
    <row r="236" spans="1:28" hidden="1" x14ac:dyDescent="0.3">
      <c r="A236" s="1">
        <v>44199</v>
      </c>
      <c r="B236" s="2" t="s">
        <v>8</v>
      </c>
      <c r="C236" s="15">
        <v>7283</v>
      </c>
      <c r="D236" s="15">
        <v>507</v>
      </c>
      <c r="E236" s="15">
        <v>6629</v>
      </c>
      <c r="F236">
        <v>17</v>
      </c>
      <c r="G236">
        <v>0</v>
      </c>
      <c r="H236" s="15">
        <v>127325</v>
      </c>
      <c r="I236" s="15">
        <v>145</v>
      </c>
      <c r="J236" s="15">
        <v>75158</v>
      </c>
      <c r="K236" s="15">
        <v>60</v>
      </c>
      <c r="L236">
        <v>24</v>
      </c>
      <c r="M236">
        <v>1</v>
      </c>
      <c r="N236">
        <v>-2</v>
      </c>
      <c r="O236" s="15">
        <v>884</v>
      </c>
      <c r="P236" s="15">
        <v>84</v>
      </c>
      <c r="Q236" s="15">
        <v>968</v>
      </c>
      <c r="R236">
        <v>1.0496894409937889</v>
      </c>
      <c r="S236" s="15">
        <v>36</v>
      </c>
      <c r="T236" t="s">
        <v>353</v>
      </c>
      <c r="U236" s="15" t="str">
        <f>TEXT(EvolucionIncidencia[[#This Row],[Fecha]],"DDDD")</f>
        <v>domingo</v>
      </c>
      <c r="V2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2.1176470588235294</v>
      </c>
      <c r="W2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18.584096635328912</v>
      </c>
      <c r="X236" s="2">
        <f>IF(EvolucionIncidencia[[#This Row],[Fecha]]&lt;=MIN(EvolucionIncidencia[Fecha])+14,"",EvolucionIncidencia[[#This Row],[NuevasAltas]]-EvolucionIncidencia[[#This Row],[Previsión Altas]])</f>
        <v>17.415903364671088</v>
      </c>
      <c r="Y2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290</v>
      </c>
      <c r="Z2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485</v>
      </c>
      <c r="AA236" s="2">
        <f>IF(LEN(EvolucionIncidencia[[#This Row],[Nuevos 7 dias]])=0,"",EvolucionIncidencia[[#This Row],[Nuevos 7 dias]]/_xlfn.MAXIFS(EvolucionIncidencia[Nuevos 7 dias],EvolucionIncidencia[Area_Sanitaria],EvolucionIncidencia[[#This Row],[Area_Sanitaria]]))</f>
        <v>0.26220614828209765</v>
      </c>
      <c r="AB236" s="2">
        <f>IF(LEN(EvolucionIncidencia[[#This Row],[Nuevos 14 dias]])=0,"",EvolucionIncidencia[[#This Row],[Nuevos 14 dias]]/_xlfn.MAXIFS(EvolucionIncidencia[Nuevos 14 dias],EvolucionIncidencia[Area_Sanitaria],EvolucionIncidencia[[#This Row],[Area_Sanitaria]]))</f>
        <v>0.24494949494949494</v>
      </c>
    </row>
    <row r="237" spans="1:28" hidden="1" x14ac:dyDescent="0.3">
      <c r="A237" s="1">
        <v>44199</v>
      </c>
      <c r="B237" s="2" t="s">
        <v>9</v>
      </c>
      <c r="C237" s="15">
        <v>8770</v>
      </c>
      <c r="D237" s="15">
        <v>670</v>
      </c>
      <c r="E237" s="15">
        <v>7790</v>
      </c>
      <c r="F237">
        <v>25</v>
      </c>
      <c r="G237">
        <v>3</v>
      </c>
      <c r="H237" s="15">
        <v>138003</v>
      </c>
      <c r="I237" s="15">
        <v>309</v>
      </c>
      <c r="J237" s="15">
        <v>68096</v>
      </c>
      <c r="K237" s="15">
        <v>87</v>
      </c>
      <c r="L237">
        <v>65</v>
      </c>
      <c r="M237">
        <v>2</v>
      </c>
      <c r="N237">
        <v>0</v>
      </c>
      <c r="O237" s="15">
        <v>713</v>
      </c>
      <c r="P237" s="15">
        <v>84</v>
      </c>
      <c r="Q237" s="15">
        <v>797</v>
      </c>
      <c r="R237">
        <v>1.1074380165289257</v>
      </c>
      <c r="S237" s="15">
        <v>22</v>
      </c>
      <c r="T237" t="s">
        <v>353</v>
      </c>
      <c r="U237" s="15" t="str">
        <f>TEXT(EvolucionIncidencia[[#This Row],[Fecha]],"DDDD")</f>
        <v>domingo</v>
      </c>
      <c r="V2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2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48.409248430992811</v>
      </c>
      <c r="X237" s="2">
        <f>IF(EvolucionIncidencia[[#This Row],[Fecha]]&lt;=MIN(EvolucionIncidencia[Fecha])+14,"",EvolucionIncidencia[[#This Row],[NuevasAltas]]-EvolucionIncidencia[[#This Row],[Previsión Altas]])</f>
        <v>-26.409248430992811</v>
      </c>
      <c r="Y2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362</v>
      </c>
      <c r="Z2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616</v>
      </c>
      <c r="AA237" s="2">
        <f>IF(LEN(EvolucionIncidencia[[#This Row],[Nuevos 7 dias]])=0,"",EvolucionIncidencia[[#This Row],[Nuevos 7 dias]]/_xlfn.MAXIFS(EvolucionIncidencia[Nuevos 7 dias],EvolucionIncidencia[Area_Sanitaria],EvolucionIncidencia[[#This Row],[Area_Sanitaria]]))</f>
        <v>0.23072020395156151</v>
      </c>
      <c r="AB237" s="2">
        <f>IF(LEN(EvolucionIncidencia[[#This Row],[Nuevos 14 dias]])=0,"",EvolucionIncidencia[[#This Row],[Nuevos 14 dias]]/_xlfn.MAXIFS(EvolucionIncidencia[Nuevos 14 dias],EvolucionIncidencia[Area_Sanitaria],EvolucionIncidencia[[#This Row],[Area_Sanitaria]]))</f>
        <v>0.21759095725891911</v>
      </c>
    </row>
    <row r="238" spans="1:28" x14ac:dyDescent="0.3">
      <c r="A238" s="1">
        <v>44199</v>
      </c>
      <c r="B238" s="2" t="s">
        <v>6</v>
      </c>
      <c r="C238" s="15">
        <v>7123</v>
      </c>
      <c r="D238" s="15">
        <v>731</v>
      </c>
      <c r="E238" s="15">
        <v>6312</v>
      </c>
      <c r="F238">
        <v>39</v>
      </c>
      <c r="G238">
        <v>8</v>
      </c>
      <c r="H238" s="15">
        <v>116387</v>
      </c>
      <c r="I238" s="15">
        <v>83</v>
      </c>
      <c r="J238" s="15">
        <v>46572</v>
      </c>
      <c r="K238" s="15">
        <v>59</v>
      </c>
      <c r="L238">
        <v>21</v>
      </c>
      <c r="M238">
        <v>4</v>
      </c>
      <c r="N238">
        <v>-1</v>
      </c>
      <c r="O238" s="15">
        <v>348</v>
      </c>
      <c r="P238" s="15">
        <v>64</v>
      </c>
      <c r="Q238" s="15">
        <v>412</v>
      </c>
      <c r="R238">
        <v>1.0295774647887324</v>
      </c>
      <c r="S238" s="15">
        <v>38</v>
      </c>
      <c r="T238" t="s">
        <v>353</v>
      </c>
      <c r="U238" s="15" t="str">
        <f>TEXT(EvolucionIncidencia[[#This Row],[Fecha]],"DDDD")</f>
        <v>domingo</v>
      </c>
      <c r="V2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1.4615384615384615</v>
      </c>
      <c r="W2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28.883942092955362</v>
      </c>
      <c r="X238" s="2">
        <f>IF(EvolucionIncidencia[[#This Row],[Fecha]]&lt;=MIN(EvolucionIncidencia[Fecha])+14,"",EvolucionIncidencia[[#This Row],[NuevasAltas]]-EvolucionIncidencia[[#This Row],[Previsión Altas]])</f>
        <v>9.1160579070446381</v>
      </c>
      <c r="Y2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304</v>
      </c>
      <c r="Z2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625</v>
      </c>
      <c r="AA238" s="2">
        <f>IF(LEN(EvolucionIncidencia[[#This Row],[Nuevos 7 dias]])=0,"",EvolucionIncidencia[[#This Row],[Nuevos 7 dias]]/_xlfn.MAXIFS(EvolucionIncidencia[Nuevos 7 dias],EvolucionIncidencia[Area_Sanitaria],EvolucionIncidencia[[#This Row],[Area_Sanitaria]]))</f>
        <v>0.23117870722433459</v>
      </c>
      <c r="AB238" s="2">
        <f>IF(LEN(EvolucionIncidencia[[#This Row],[Nuevos 14 dias]])=0,"",EvolucionIncidencia[[#This Row],[Nuevos 14 dias]]/_xlfn.MAXIFS(EvolucionIncidencia[Nuevos 14 dias],EvolucionIncidencia[Area_Sanitaria],EvolucionIncidencia[[#This Row],[Area_Sanitaria]]))</f>
        <v>0.25709584533113944</v>
      </c>
    </row>
    <row r="239" spans="1:28" hidden="1" x14ac:dyDescent="0.3">
      <c r="A239" s="1">
        <v>44199</v>
      </c>
      <c r="B239" s="2" t="s">
        <v>7</v>
      </c>
      <c r="C239" s="15">
        <v>10576</v>
      </c>
      <c r="D239" s="15">
        <v>1327</v>
      </c>
      <c r="E239" s="15">
        <v>9051</v>
      </c>
      <c r="F239">
        <v>74</v>
      </c>
      <c r="G239">
        <v>12</v>
      </c>
      <c r="H239" s="15">
        <v>192423</v>
      </c>
      <c r="I239" s="15">
        <v>200</v>
      </c>
      <c r="J239" s="15">
        <v>93010</v>
      </c>
      <c r="K239" s="15">
        <v>53</v>
      </c>
      <c r="L239">
        <v>-5</v>
      </c>
      <c r="M239">
        <v>-2</v>
      </c>
      <c r="N239">
        <v>1</v>
      </c>
      <c r="O239" s="15">
        <v>828</v>
      </c>
      <c r="P239" s="15">
        <v>151</v>
      </c>
      <c r="Q239" s="15">
        <v>979</v>
      </c>
      <c r="R239">
        <v>0.99624624624624625</v>
      </c>
      <c r="S239" s="15">
        <v>55</v>
      </c>
      <c r="T239" t="s">
        <v>353</v>
      </c>
      <c r="U239" s="15" t="str">
        <f>TEXT(EvolucionIncidencia[[#This Row],[Fecha]],"DDDD")</f>
        <v>domingo</v>
      </c>
      <c r="V2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0.859375</v>
      </c>
      <c r="W2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60.381728318674924</v>
      </c>
      <c r="X239" s="2">
        <f>IF(EvolucionIncidencia[[#This Row],[Fecha]]&lt;=MIN(EvolucionIncidencia[Fecha])+14,"",EvolucionIncidencia[[#This Row],[NuevasAltas]]-EvolucionIncidencia[[#This Row],[Previsión Altas]])</f>
        <v>-5.3817283186749236</v>
      </c>
      <c r="Y2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652</v>
      </c>
      <c r="Z2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1233</v>
      </c>
      <c r="AA239" s="2">
        <f>IF(LEN(EvolucionIncidencia[[#This Row],[Nuevos 7 dias]])=0,"",EvolucionIncidencia[[#This Row],[Nuevos 7 dias]]/_xlfn.MAXIFS(EvolucionIncidencia[Nuevos 7 dias],EvolucionIncidencia[Area_Sanitaria],EvolucionIncidencia[[#This Row],[Area_Sanitaria]]))</f>
        <v>0.38398115429917551</v>
      </c>
      <c r="AB239" s="2">
        <f>IF(LEN(EvolucionIncidencia[[#This Row],[Nuevos 14 dias]])=0,"",EvolucionIncidencia[[#This Row],[Nuevos 14 dias]]/_xlfn.MAXIFS(EvolucionIncidencia[Nuevos 14 dias],EvolucionIncidencia[Area_Sanitaria],EvolucionIncidencia[[#This Row],[Area_Sanitaria]]))</f>
        <v>0.38749214330609677</v>
      </c>
    </row>
    <row r="240" spans="1:28" hidden="1" x14ac:dyDescent="0.3">
      <c r="A240" s="1">
        <v>44199</v>
      </c>
      <c r="B240" s="2" t="s">
        <v>2</v>
      </c>
      <c r="C240" s="15">
        <v>12802</v>
      </c>
      <c r="D240" s="15">
        <v>1134</v>
      </c>
      <c r="E240" s="15">
        <v>11397</v>
      </c>
      <c r="F240">
        <v>51</v>
      </c>
      <c r="G240">
        <v>11</v>
      </c>
      <c r="H240" s="15">
        <v>244550</v>
      </c>
      <c r="I240" s="15">
        <v>272</v>
      </c>
      <c r="J240" s="15">
        <v>58615</v>
      </c>
      <c r="K240" s="15">
        <v>33</v>
      </c>
      <c r="L240">
        <v>-39</v>
      </c>
      <c r="M240">
        <v>8</v>
      </c>
      <c r="N240">
        <v>-1</v>
      </c>
      <c r="O240" s="15">
        <v>1156</v>
      </c>
      <c r="P240" s="15">
        <v>56</v>
      </c>
      <c r="Q240" s="15">
        <v>1212</v>
      </c>
      <c r="R240">
        <v>0.96675191815856776</v>
      </c>
      <c r="S240" s="15">
        <v>71</v>
      </c>
      <c r="T240" t="s">
        <v>353</v>
      </c>
      <c r="U240" s="15" t="str">
        <f>TEXT(EvolucionIncidencia[[#This Row],[Fecha]],"DDDD")</f>
        <v>domingo</v>
      </c>
      <c r="V2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1.0289855072463767</v>
      </c>
      <c r="W2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79.794927821397977</v>
      </c>
      <c r="X240" s="2">
        <f>IF(EvolucionIncidencia[[#This Row],[Fecha]]&lt;=MIN(EvolucionIncidencia[Fecha])+14,"",EvolucionIncidencia[[#This Row],[NuevasAltas]]-EvolucionIncidencia[[#This Row],[Previsión Altas]])</f>
        <v>-8.7949278213979767</v>
      </c>
      <c r="Y2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563</v>
      </c>
      <c r="Z2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1062</v>
      </c>
      <c r="AA240" s="2">
        <f>IF(LEN(EvolucionIncidencia[[#This Row],[Nuevos 7 dias]])=0,"",EvolucionIncidencia[[#This Row],[Nuevos 7 dias]]/_xlfn.MAXIFS(EvolucionIncidencia[Nuevos 7 dias],EvolucionIncidencia[Area_Sanitaria],EvolucionIncidencia[[#This Row],[Area_Sanitaria]]))</f>
        <v>0.29035585353274884</v>
      </c>
      <c r="AB240" s="2">
        <f>IF(LEN(EvolucionIncidencia[[#This Row],[Nuevos 14 dias]])=0,"",EvolucionIncidencia[[#This Row],[Nuevos 14 dias]]/_xlfn.MAXIFS(EvolucionIncidencia[Nuevos 14 dias],EvolucionIncidencia[Area_Sanitaria],EvolucionIncidencia[[#This Row],[Area_Sanitaria]]))</f>
        <v>0.29232039636663915</v>
      </c>
    </row>
    <row r="241" spans="1:28" hidden="1" x14ac:dyDescent="0.3">
      <c r="A241" s="1">
        <v>44199</v>
      </c>
      <c r="B241" s="2" t="s">
        <v>3</v>
      </c>
      <c r="C241" s="15">
        <v>64715</v>
      </c>
      <c r="D241" s="15">
        <v>5905</v>
      </c>
      <c r="E241" s="15">
        <v>57401</v>
      </c>
      <c r="F241">
        <v>334</v>
      </c>
      <c r="G241">
        <v>54</v>
      </c>
      <c r="H241" s="15">
        <v>1133442</v>
      </c>
      <c r="I241" s="15">
        <v>1414</v>
      </c>
      <c r="J241" s="15">
        <v>449529</v>
      </c>
      <c r="K241" s="15">
        <v>464</v>
      </c>
      <c r="L241">
        <v>173</v>
      </c>
      <c r="M241">
        <v>23</v>
      </c>
      <c r="N241">
        <v>-3</v>
      </c>
      <c r="O241" s="15">
        <v>5105</v>
      </c>
      <c r="P241" s="15">
        <v>580</v>
      </c>
      <c r="Q241" s="15">
        <v>5685</v>
      </c>
      <c r="R241">
        <v>1.0301814375436147</v>
      </c>
      <c r="S241" s="15">
        <v>286</v>
      </c>
      <c r="T241" t="s">
        <v>353</v>
      </c>
      <c r="U241" s="15" t="str">
        <f>TEXT(EvolucionIncidencia[[#This Row],[Fecha]],"DDDD")</f>
        <v>domingo</v>
      </c>
      <c r="V2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294.86311395344421</v>
      </c>
      <c r="X241" s="2">
        <f>IF(EvolucionIncidencia[[#This Row],[Fecha]]&lt;=MIN(EvolucionIncidencia[Fecha])+14,"",EvolucionIncidencia[[#This Row],[NuevasAltas]]-EvolucionIncidencia[[#This Row],[Previsión Altas]])</f>
        <v>-8.8631139534442127</v>
      </c>
      <c r="Y2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3047</v>
      </c>
      <c r="Z2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5362</v>
      </c>
      <c r="AA241" s="2">
        <f>IF(LEN(EvolucionIncidencia[[#This Row],[Nuevos 7 dias]])=0,"",EvolucionIncidencia[[#This Row],[Nuevos 7 dias]]/_xlfn.MAXIFS(EvolucionIncidencia[Nuevos 7 dias],EvolucionIncidencia[Area_Sanitaria],EvolucionIncidencia[[#This Row],[Area_Sanitaria]]))</f>
        <v>0.26860014104372354</v>
      </c>
      <c r="AB241" s="2">
        <f>IF(LEN(EvolucionIncidencia[[#This Row],[Nuevos 14 dias]])=0,"",EvolucionIncidencia[[#This Row],[Nuevos 14 dias]]/_xlfn.MAXIFS(EvolucionIncidencia[Nuevos 14 dias],EvolucionIncidencia[Area_Sanitaria],EvolucionIncidencia[[#This Row],[Area_Sanitaria]]))</f>
        <v>0.25707162719340299</v>
      </c>
    </row>
    <row r="242" spans="1:28" hidden="1" x14ac:dyDescent="0.3">
      <c r="A242" s="1">
        <v>44200</v>
      </c>
      <c r="B242" s="2" t="s">
        <v>4</v>
      </c>
      <c r="C242" s="15">
        <v>14144</v>
      </c>
      <c r="D242" s="15">
        <v>1224</v>
      </c>
      <c r="E242" s="15">
        <v>12604</v>
      </c>
      <c r="F242">
        <v>81</v>
      </c>
      <c r="G242">
        <v>17</v>
      </c>
      <c r="H242" s="15">
        <v>237316</v>
      </c>
      <c r="I242" s="15">
        <v>321</v>
      </c>
      <c r="J242" s="15">
        <v>77919</v>
      </c>
      <c r="K242" s="15">
        <v>86</v>
      </c>
      <c r="L242">
        <v>31</v>
      </c>
      <c r="M242">
        <v>-2</v>
      </c>
      <c r="N242">
        <v>-2</v>
      </c>
      <c r="O242" s="15">
        <v>484</v>
      </c>
      <c r="P242" s="15">
        <v>149</v>
      </c>
      <c r="Q242" s="15">
        <v>633</v>
      </c>
      <c r="R242">
        <v>1.0259849119865885</v>
      </c>
      <c r="S242" s="15">
        <v>50</v>
      </c>
      <c r="T242" t="s">
        <v>354</v>
      </c>
      <c r="U242" s="15" t="str">
        <f>TEXT(EvolucionIncidencia[[#This Row],[Fecha]],"DDDD")</f>
        <v>lunes</v>
      </c>
      <c r="V2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2.1739130434782608</v>
      </c>
      <c r="W2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25.065352040562079</v>
      </c>
      <c r="X242" s="2">
        <f>IF(EvolucionIncidencia[[#This Row],[Fecha]]&lt;=MIN(EvolucionIncidencia[Fecha])+14,"",EvolucionIncidencia[[#This Row],[NuevasAltas]]-EvolucionIncidencia[[#This Row],[Previsión Altas]])</f>
        <v>24.934647959437921</v>
      </c>
      <c r="Y2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730</v>
      </c>
      <c r="Z2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1118</v>
      </c>
      <c r="AA242" s="2">
        <f>IF(LEN(EvolucionIncidencia[[#This Row],[Nuevos 7 dias]])=0,"",EvolucionIncidencia[[#This Row],[Nuevos 7 dias]]/_xlfn.MAXIFS(EvolucionIncidencia[Nuevos 7 dias],EvolucionIncidencia[Area_Sanitaria],EvolucionIncidencia[[#This Row],[Area_Sanitaria]]))</f>
        <v>0.2450486740516952</v>
      </c>
      <c r="AB242" s="2">
        <f>IF(LEN(EvolucionIncidencia[[#This Row],[Nuevos 14 dias]])=0,"",EvolucionIncidencia[[#This Row],[Nuevos 14 dias]]/_xlfn.MAXIFS(EvolucionIncidencia[Nuevos 14 dias],EvolucionIncidencia[Area_Sanitaria],EvolucionIncidencia[[#This Row],[Area_Sanitaria]]))</f>
        <v>0.20562810373367665</v>
      </c>
    </row>
    <row r="243" spans="1:28" hidden="1" x14ac:dyDescent="0.3">
      <c r="A243" s="1">
        <v>44200</v>
      </c>
      <c r="B243" s="2" t="s">
        <v>5</v>
      </c>
      <c r="C243" s="15">
        <v>4125</v>
      </c>
      <c r="D243" s="15">
        <v>348</v>
      </c>
      <c r="E243" s="15">
        <v>3685</v>
      </c>
      <c r="F243">
        <v>50</v>
      </c>
      <c r="G243">
        <v>1</v>
      </c>
      <c r="H243" s="15">
        <v>78261</v>
      </c>
      <c r="I243" s="15">
        <v>90</v>
      </c>
      <c r="J243" s="15">
        <v>30348</v>
      </c>
      <c r="K243" s="15">
        <v>22</v>
      </c>
      <c r="L243">
        <v>5</v>
      </c>
      <c r="M243">
        <v>5</v>
      </c>
      <c r="N243">
        <v>0</v>
      </c>
      <c r="O243" s="15">
        <v>339</v>
      </c>
      <c r="P243" s="15">
        <v>40</v>
      </c>
      <c r="Q243" s="15">
        <v>379</v>
      </c>
      <c r="R243">
        <v>1.0145772594752187</v>
      </c>
      <c r="S243" s="15">
        <v>17</v>
      </c>
      <c r="T243" t="s">
        <v>354</v>
      </c>
      <c r="U243" s="15" t="str">
        <f>TEXT(EvolucionIncidencia[[#This Row],[Fecha]],"DDDD")</f>
        <v>lunes</v>
      </c>
      <c r="V2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1.4166666666666667</v>
      </c>
      <c r="W2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15.765608265000994</v>
      </c>
      <c r="X243" s="2">
        <f>IF(EvolucionIncidencia[[#This Row],[Fecha]]&lt;=MIN(EvolucionIncidencia[Fecha])+14,"",EvolucionIncidencia[[#This Row],[NuevasAltas]]-EvolucionIncidencia[[#This Row],[Previsión Altas]])</f>
        <v>1.2343917349990061</v>
      </c>
      <c r="Y2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171</v>
      </c>
      <c r="Z2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296</v>
      </c>
      <c r="AA243" s="2">
        <f>IF(LEN(EvolucionIncidencia[[#This Row],[Nuevos 7 dias]])=0,"",EvolucionIncidencia[[#This Row],[Nuevos 7 dias]]/_xlfn.MAXIFS(EvolucionIncidencia[Nuevos 7 dias],EvolucionIncidencia[Area_Sanitaria],EvolucionIncidencia[[#This Row],[Area_Sanitaria]]))</f>
        <v>0.20479041916167665</v>
      </c>
      <c r="AB243" s="2">
        <f>IF(LEN(EvolucionIncidencia[[#This Row],[Nuevos 14 dias]])=0,"",EvolucionIncidencia[[#This Row],[Nuevos 14 dias]]/_xlfn.MAXIFS(EvolucionIncidencia[Nuevos 14 dias],EvolucionIncidencia[Area_Sanitaria],EvolucionIncidencia[[#This Row],[Area_Sanitaria]]))</f>
        <v>0.18059792556436852</v>
      </c>
    </row>
    <row r="244" spans="1:28" hidden="1" x14ac:dyDescent="0.3">
      <c r="A244" s="1">
        <v>44200</v>
      </c>
      <c r="B244" s="2" t="s">
        <v>8</v>
      </c>
      <c r="C244" s="15">
        <v>7328</v>
      </c>
      <c r="D244" s="15">
        <v>531</v>
      </c>
      <c r="E244" s="15">
        <v>6649</v>
      </c>
      <c r="F244">
        <v>17</v>
      </c>
      <c r="G244">
        <v>0</v>
      </c>
      <c r="H244" s="15">
        <v>128312</v>
      </c>
      <c r="I244" s="15">
        <v>145</v>
      </c>
      <c r="J244" s="15">
        <v>75322</v>
      </c>
      <c r="K244" s="15">
        <v>45</v>
      </c>
      <c r="L244">
        <v>24</v>
      </c>
      <c r="M244">
        <v>0</v>
      </c>
      <c r="N244">
        <v>0</v>
      </c>
      <c r="O244" s="15">
        <v>987</v>
      </c>
      <c r="P244" s="15">
        <v>164</v>
      </c>
      <c r="Q244" s="15">
        <v>1151</v>
      </c>
      <c r="R244">
        <v>1.0473372781065089</v>
      </c>
      <c r="S244" s="15">
        <v>20</v>
      </c>
      <c r="T244" t="s">
        <v>354</v>
      </c>
      <c r="U244" s="15" t="str">
        <f>TEXT(EvolucionIncidencia[[#This Row],[Fecha]],"DDDD")</f>
        <v>lunes</v>
      </c>
      <c r="V2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1.1764705882352942</v>
      </c>
      <c r="W2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20.359958704294428</v>
      </c>
      <c r="X244" s="2">
        <f>IF(EvolucionIncidencia[[#This Row],[Fecha]]&lt;=MIN(EvolucionIncidencia[Fecha])+14,"",EvolucionIncidencia[[#This Row],[NuevasAltas]]-EvolucionIncidencia[[#This Row],[Previsión Altas]])</f>
        <v>-0.35995870429442789</v>
      </c>
      <c r="Y2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319</v>
      </c>
      <c r="Z2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513</v>
      </c>
      <c r="AA244" s="2">
        <f>IF(LEN(EvolucionIncidencia[[#This Row],[Nuevos 7 dias]])=0,"",EvolucionIncidencia[[#This Row],[Nuevos 7 dias]]/_xlfn.MAXIFS(EvolucionIncidencia[Nuevos 7 dias],EvolucionIncidencia[Area_Sanitaria],EvolucionIncidencia[[#This Row],[Area_Sanitaria]]))</f>
        <v>0.2884267631103074</v>
      </c>
      <c r="AB244" s="2">
        <f>IF(LEN(EvolucionIncidencia[[#This Row],[Nuevos 14 dias]])=0,"",EvolucionIncidencia[[#This Row],[Nuevos 14 dias]]/_xlfn.MAXIFS(EvolucionIncidencia[Nuevos 14 dias],EvolucionIncidencia[Area_Sanitaria],EvolucionIncidencia[[#This Row],[Area_Sanitaria]]))</f>
        <v>0.25909090909090909</v>
      </c>
    </row>
    <row r="245" spans="1:28" hidden="1" x14ac:dyDescent="0.3">
      <c r="A245" s="1">
        <v>44200</v>
      </c>
      <c r="B245" s="2" t="s">
        <v>9</v>
      </c>
      <c r="C245" s="15">
        <v>8832</v>
      </c>
      <c r="D245" s="15">
        <v>688</v>
      </c>
      <c r="E245" s="15">
        <v>7834</v>
      </c>
      <c r="F245">
        <v>28</v>
      </c>
      <c r="G245">
        <v>2</v>
      </c>
      <c r="H245" s="15">
        <v>138494</v>
      </c>
      <c r="I245" s="15">
        <v>310</v>
      </c>
      <c r="J245" s="15">
        <v>68234</v>
      </c>
      <c r="K245" s="15">
        <v>62</v>
      </c>
      <c r="L245">
        <v>18</v>
      </c>
      <c r="M245">
        <v>3</v>
      </c>
      <c r="N245">
        <v>-1</v>
      </c>
      <c r="O245" s="15">
        <v>491</v>
      </c>
      <c r="P245" s="15">
        <v>138</v>
      </c>
      <c r="Q245" s="15">
        <v>629</v>
      </c>
      <c r="R245">
        <v>1.026865671641791</v>
      </c>
      <c r="S245" s="15">
        <v>44</v>
      </c>
      <c r="T245" t="s">
        <v>354</v>
      </c>
      <c r="U245" s="15" t="str">
        <f>TEXT(EvolucionIncidencia[[#This Row],[Fecha]],"DDDD")</f>
        <v>lunes</v>
      </c>
      <c r="V2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0.86274509803921573</v>
      </c>
      <c r="W2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54.130906107690848</v>
      </c>
      <c r="X245" s="2">
        <f>IF(EvolucionIncidencia[[#This Row],[Fecha]]&lt;=MIN(EvolucionIncidencia[Fecha])+14,"",EvolucionIncidencia[[#This Row],[NuevasAltas]]-EvolucionIncidencia[[#This Row],[Previsión Altas]])</f>
        <v>-10.130906107690848</v>
      </c>
      <c r="Y2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397</v>
      </c>
      <c r="Z2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627</v>
      </c>
      <c r="AA245" s="2">
        <f>IF(LEN(EvolucionIncidencia[[#This Row],[Nuevos 7 dias]])=0,"",EvolucionIncidencia[[#This Row],[Nuevos 7 dias]]/_xlfn.MAXIFS(EvolucionIncidencia[Nuevos 7 dias],EvolucionIncidencia[Area_Sanitaria],EvolucionIncidencia[[#This Row],[Area_Sanitaria]]))</f>
        <v>0.25302740599107709</v>
      </c>
      <c r="AB245" s="2">
        <f>IF(LEN(EvolucionIncidencia[[#This Row],[Nuevos 14 dias]])=0,"",EvolucionIncidencia[[#This Row],[Nuevos 14 dias]]/_xlfn.MAXIFS(EvolucionIncidencia[Nuevos 14 dias],EvolucionIncidencia[Area_Sanitaria],EvolucionIncidencia[[#This Row],[Area_Sanitaria]]))</f>
        <v>0.22147651006711411</v>
      </c>
    </row>
    <row r="246" spans="1:28" x14ac:dyDescent="0.3">
      <c r="A246" s="1">
        <v>44200</v>
      </c>
      <c r="B246" s="2" t="s">
        <v>6</v>
      </c>
      <c r="C246" s="15">
        <v>7167</v>
      </c>
      <c r="D246" s="15">
        <v>751</v>
      </c>
      <c r="E246" s="15">
        <v>6336</v>
      </c>
      <c r="F246">
        <v>37</v>
      </c>
      <c r="G246">
        <v>11</v>
      </c>
      <c r="H246" s="15">
        <v>116987</v>
      </c>
      <c r="I246" s="15">
        <v>83</v>
      </c>
      <c r="J246" s="15">
        <v>46682</v>
      </c>
      <c r="K246" s="15">
        <v>44</v>
      </c>
      <c r="L246">
        <v>20</v>
      </c>
      <c r="M246">
        <v>-2</v>
      </c>
      <c r="N246">
        <v>3</v>
      </c>
      <c r="O246" s="15">
        <v>600</v>
      </c>
      <c r="P246" s="15">
        <v>110</v>
      </c>
      <c r="Q246" s="15">
        <v>710</v>
      </c>
      <c r="R246">
        <v>1.027359781121751</v>
      </c>
      <c r="S246" s="15">
        <v>24</v>
      </c>
      <c r="T246" t="s">
        <v>354</v>
      </c>
      <c r="U246" s="15" t="str">
        <f>TEXT(EvolucionIncidencia[[#This Row],[Fecha]],"DDDD")</f>
        <v>lunes</v>
      </c>
      <c r="V2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0.53333333333333333</v>
      </c>
      <c r="W2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50.403526149895264</v>
      </c>
      <c r="X246" s="2">
        <f>IF(EvolucionIncidencia[[#This Row],[Fecha]]&lt;=MIN(EvolucionIncidencia[Fecha])+14,"",EvolucionIncidencia[[#This Row],[NuevasAltas]]-EvolucionIncidencia[[#This Row],[Previsión Altas]])</f>
        <v>-26.403526149895264</v>
      </c>
      <c r="Y2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309</v>
      </c>
      <c r="Z2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624</v>
      </c>
      <c r="AA246" s="2">
        <f>IF(LEN(EvolucionIncidencia[[#This Row],[Nuevos 7 dias]])=0,"",EvolucionIncidencia[[#This Row],[Nuevos 7 dias]]/_xlfn.MAXIFS(EvolucionIncidencia[Nuevos 7 dias],EvolucionIncidencia[Area_Sanitaria],EvolucionIncidencia[[#This Row],[Area_Sanitaria]]))</f>
        <v>0.23498098859315589</v>
      </c>
      <c r="AB246" s="2">
        <f>IF(LEN(EvolucionIncidencia[[#This Row],[Nuevos 14 dias]])=0,"",EvolucionIncidencia[[#This Row],[Nuevos 14 dias]]/_xlfn.MAXIFS(EvolucionIncidencia[Nuevos 14 dias],EvolucionIncidencia[Area_Sanitaria],EvolucionIncidencia[[#This Row],[Area_Sanitaria]]))</f>
        <v>0.25668449197860965</v>
      </c>
    </row>
    <row r="247" spans="1:28" hidden="1" x14ac:dyDescent="0.3">
      <c r="A247" s="1">
        <v>44200</v>
      </c>
      <c r="B247" s="2" t="s">
        <v>7</v>
      </c>
      <c r="C247" s="15">
        <v>10636</v>
      </c>
      <c r="D247" s="15">
        <v>1336</v>
      </c>
      <c r="E247" s="15">
        <v>9102</v>
      </c>
      <c r="F247">
        <v>80</v>
      </c>
      <c r="G247">
        <v>13</v>
      </c>
      <c r="H247" s="15">
        <v>193006</v>
      </c>
      <c r="I247" s="15">
        <v>200</v>
      </c>
      <c r="J247" s="15">
        <v>93241</v>
      </c>
      <c r="K247" s="15">
        <v>60</v>
      </c>
      <c r="L247">
        <v>9</v>
      </c>
      <c r="M247">
        <v>6</v>
      </c>
      <c r="N247">
        <v>1</v>
      </c>
      <c r="O247" s="15">
        <v>583</v>
      </c>
      <c r="P247" s="15">
        <v>231</v>
      </c>
      <c r="Q247" s="15">
        <v>814</v>
      </c>
      <c r="R247">
        <v>1.0067822155237378</v>
      </c>
      <c r="S247" s="15">
        <v>51</v>
      </c>
      <c r="T247" t="s">
        <v>354</v>
      </c>
      <c r="U247" s="15" t="str">
        <f>TEXT(EvolucionIncidencia[[#This Row],[Fecha]],"DDDD")</f>
        <v>lunes</v>
      </c>
      <c r="V2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0.92727272727272725</v>
      </c>
      <c r="W2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51.588852295137855</v>
      </c>
      <c r="X247" s="2">
        <f>IF(EvolucionIncidencia[[#This Row],[Fecha]]&lt;=MIN(EvolucionIncidencia[Fecha])+14,"",EvolucionIncidencia[[#This Row],[NuevasAltas]]-EvolucionIncidencia[[#This Row],[Previsión Altas]])</f>
        <v>-0.58885229513785475</v>
      </c>
      <c r="Y2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640</v>
      </c>
      <c r="Z2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1238</v>
      </c>
      <c r="AA247" s="2">
        <f>IF(LEN(EvolucionIncidencia[[#This Row],[Nuevos 7 dias]])=0,"",EvolucionIncidencia[[#This Row],[Nuevos 7 dias]]/_xlfn.MAXIFS(EvolucionIncidencia[Nuevos 7 dias],EvolucionIncidencia[Area_Sanitaria],EvolucionIncidencia[[#This Row],[Area_Sanitaria]]))</f>
        <v>0.37691401648998824</v>
      </c>
      <c r="AB247" s="2">
        <f>IF(LEN(EvolucionIncidencia[[#This Row],[Nuevos 14 dias]])=0,"",EvolucionIncidencia[[#This Row],[Nuevos 14 dias]]/_xlfn.MAXIFS(EvolucionIncidencia[Nuevos 14 dias],EvolucionIncidencia[Area_Sanitaria],EvolucionIncidencia[[#This Row],[Area_Sanitaria]]))</f>
        <v>0.38906348208673791</v>
      </c>
    </row>
    <row r="248" spans="1:28" hidden="1" x14ac:dyDescent="0.3">
      <c r="A248" s="1">
        <v>44200</v>
      </c>
      <c r="B248" s="2" t="s">
        <v>2</v>
      </c>
      <c r="C248" s="15">
        <v>12834</v>
      </c>
      <c r="D248" s="15">
        <v>1113</v>
      </c>
      <c r="E248" s="15">
        <v>11450</v>
      </c>
      <c r="F248">
        <v>49</v>
      </c>
      <c r="G248">
        <v>12</v>
      </c>
      <c r="H248" s="15">
        <v>245275</v>
      </c>
      <c r="I248" s="15">
        <v>272</v>
      </c>
      <c r="J248" s="15">
        <v>58724</v>
      </c>
      <c r="K248" s="15">
        <v>32</v>
      </c>
      <c r="L248">
        <v>-21</v>
      </c>
      <c r="M248">
        <v>-2</v>
      </c>
      <c r="N248">
        <v>1</v>
      </c>
      <c r="O248" s="15">
        <v>725</v>
      </c>
      <c r="P248" s="15">
        <v>109</v>
      </c>
      <c r="Q248" s="15">
        <v>834</v>
      </c>
      <c r="R248">
        <v>0.98148148148148151</v>
      </c>
      <c r="S248" s="15">
        <v>53</v>
      </c>
      <c r="T248" t="s">
        <v>354</v>
      </c>
      <c r="U248" s="15" t="str">
        <f>TEXT(EvolucionIncidencia[[#This Row],[Fecha]],"DDDD")</f>
        <v>lunes</v>
      </c>
      <c r="V2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1.1521739130434783</v>
      </c>
      <c r="W2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52.485926723699286</v>
      </c>
      <c r="X248" s="2">
        <f>IF(EvolucionIncidencia[[#This Row],[Fecha]]&lt;=MIN(EvolucionIncidencia[Fecha])+14,"",EvolucionIncidencia[[#This Row],[NuevasAltas]]-EvolucionIncidencia[[#This Row],[Previsión Altas]])</f>
        <v>0.51407327630071364</v>
      </c>
      <c r="Y2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518</v>
      </c>
      <c r="Z2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1048</v>
      </c>
      <c r="AA248" s="2">
        <f>IF(LEN(EvolucionIncidencia[[#This Row],[Nuevos 7 dias]])=0,"",EvolucionIncidencia[[#This Row],[Nuevos 7 dias]]/_xlfn.MAXIFS(EvolucionIncidencia[Nuevos 7 dias],EvolucionIncidencia[Area_Sanitaria],EvolucionIncidencia[[#This Row],[Area_Sanitaria]]))</f>
        <v>0.26714801444043323</v>
      </c>
      <c r="AB248" s="2">
        <f>IF(LEN(EvolucionIncidencia[[#This Row],[Nuevos 14 dias]])=0,"",EvolucionIncidencia[[#This Row],[Nuevos 14 dias]]/_xlfn.MAXIFS(EvolucionIncidencia[Nuevos 14 dias],EvolucionIncidencia[Area_Sanitaria],EvolucionIncidencia[[#This Row],[Area_Sanitaria]]))</f>
        <v>0.288466831819433</v>
      </c>
    </row>
    <row r="249" spans="1:28" hidden="1" x14ac:dyDescent="0.3">
      <c r="A249" s="1">
        <v>44200</v>
      </c>
      <c r="B249" s="2" t="s">
        <v>3</v>
      </c>
      <c r="C249" s="15">
        <v>65066</v>
      </c>
      <c r="D249" s="15">
        <v>5991</v>
      </c>
      <c r="E249" s="15">
        <v>57660</v>
      </c>
      <c r="F249">
        <v>342</v>
      </c>
      <c r="G249">
        <v>56</v>
      </c>
      <c r="H249" s="15">
        <v>1137651</v>
      </c>
      <c r="I249" s="15">
        <v>1421</v>
      </c>
      <c r="J249" s="15">
        <v>450470</v>
      </c>
      <c r="K249" s="15">
        <v>351</v>
      </c>
      <c r="L249">
        <v>86</v>
      </c>
      <c r="M249">
        <v>8</v>
      </c>
      <c r="N249">
        <v>2</v>
      </c>
      <c r="O249" s="15">
        <v>4209</v>
      </c>
      <c r="P249" s="15">
        <v>941</v>
      </c>
      <c r="Q249" s="15">
        <v>5150</v>
      </c>
      <c r="R249">
        <v>1.0145639288738357</v>
      </c>
      <c r="S249" s="15">
        <v>259</v>
      </c>
      <c r="T249" t="s">
        <v>354</v>
      </c>
      <c r="U249" s="15" t="str">
        <f>TEXT(EvolucionIncidencia[[#This Row],[Fecha]],"DDDD")</f>
        <v>lunes</v>
      </c>
      <c r="V2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1.0401606425702812</v>
      </c>
      <c r="W2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255.28843727096591</v>
      </c>
      <c r="X249" s="2">
        <f>IF(EvolucionIncidencia[[#This Row],[Fecha]]&lt;=MIN(EvolucionIncidencia[Fecha])+14,"",EvolucionIncidencia[[#This Row],[NuevasAltas]]-EvolucionIncidencia[[#This Row],[Previsión Altas]])</f>
        <v>3.7115627290340854</v>
      </c>
      <c r="Y2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3084</v>
      </c>
      <c r="Z2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5464</v>
      </c>
      <c r="AA249" s="2">
        <f>IF(LEN(EvolucionIncidencia[[#This Row],[Nuevos 7 dias]])=0,"",EvolucionIncidencia[[#This Row],[Nuevos 7 dias]]/_xlfn.MAXIFS(EvolucionIncidencia[Nuevos 7 dias],EvolucionIncidencia[Area_Sanitaria],EvolucionIncidencia[[#This Row],[Area_Sanitaria]]))</f>
        <v>0.27186177715091681</v>
      </c>
      <c r="AB249" s="2">
        <f>IF(LEN(EvolucionIncidencia[[#This Row],[Nuevos 14 dias]])=0,"",EvolucionIncidencia[[#This Row],[Nuevos 14 dias]]/_xlfn.MAXIFS(EvolucionIncidencia[Nuevos 14 dias],EvolucionIncidencia[Area_Sanitaria],EvolucionIncidencia[[#This Row],[Area_Sanitaria]]))</f>
        <v>0.26196183718477323</v>
      </c>
    </row>
    <row r="250" spans="1:28" hidden="1" x14ac:dyDescent="0.3">
      <c r="A250" s="1">
        <v>44201</v>
      </c>
      <c r="B250" s="2" t="s">
        <v>4</v>
      </c>
      <c r="C250" s="15">
        <v>14331</v>
      </c>
      <c r="D250" s="15">
        <v>1377</v>
      </c>
      <c r="E250" s="15">
        <v>12637</v>
      </c>
      <c r="F250">
        <v>79</v>
      </c>
      <c r="G250">
        <v>18</v>
      </c>
      <c r="H250" s="15">
        <v>238580</v>
      </c>
      <c r="I250" s="15">
        <v>322</v>
      </c>
      <c r="J250" s="15">
        <v>78160</v>
      </c>
      <c r="K250" s="15">
        <v>187</v>
      </c>
      <c r="L250">
        <v>153</v>
      </c>
      <c r="M250">
        <v>-2</v>
      </c>
      <c r="N250">
        <v>1</v>
      </c>
      <c r="O250" s="15">
        <v>1264</v>
      </c>
      <c r="P250" s="15">
        <v>241</v>
      </c>
      <c r="Q250" s="15">
        <v>1505</v>
      </c>
      <c r="R250">
        <v>1.125</v>
      </c>
      <c r="S250" s="15">
        <v>33</v>
      </c>
      <c r="T250" t="s">
        <v>355</v>
      </c>
      <c r="U250" s="15" t="str">
        <f>TEXT(EvolucionIncidencia[[#This Row],[Fecha]],"DDDD")</f>
        <v>martes</v>
      </c>
      <c r="V2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0.515625</v>
      </c>
      <c r="W2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74.866421927875962</v>
      </c>
      <c r="X250" s="2">
        <f>IF(EvolucionIncidencia[[#This Row],[Fecha]]&lt;=MIN(EvolucionIncidencia[Fecha])+14,"",EvolucionIncidencia[[#This Row],[NuevasAltas]]-EvolucionIncidencia[[#This Row],[Previsión Altas]])</f>
        <v>-41.866421927875962</v>
      </c>
      <c r="Y2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796</v>
      </c>
      <c r="Z2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1241</v>
      </c>
      <c r="AA250" s="2">
        <f>IF(LEN(EvolucionIncidencia[[#This Row],[Nuevos 7 dias]])=0,"",EvolucionIncidencia[[#This Row],[Nuevos 7 dias]]/_xlfn.MAXIFS(EvolucionIncidencia[Nuevos 7 dias],EvolucionIncidencia[Area_Sanitaria],EvolucionIncidencia[[#This Row],[Area_Sanitaria]]))</f>
        <v>0.26720375965088955</v>
      </c>
      <c r="AB250" s="2">
        <f>IF(LEN(EvolucionIncidencia[[#This Row],[Nuevos 14 dias]])=0,"",EvolucionIncidencia[[#This Row],[Nuevos 14 dias]]/_xlfn.MAXIFS(EvolucionIncidencia[Nuevos 14 dias],EvolucionIncidencia[Area_Sanitaria],EvolucionIncidencia[[#This Row],[Area_Sanitaria]]))</f>
        <v>0.22825087364355343</v>
      </c>
    </row>
    <row r="251" spans="1:28" hidden="1" x14ac:dyDescent="0.3">
      <c r="A251" s="1">
        <v>44201</v>
      </c>
      <c r="B251" s="2" t="s">
        <v>5</v>
      </c>
      <c r="C251" s="15">
        <v>4180</v>
      </c>
      <c r="D251" s="15">
        <v>387</v>
      </c>
      <c r="E251" s="15">
        <v>3700</v>
      </c>
      <c r="F251">
        <v>46</v>
      </c>
      <c r="G251">
        <v>1</v>
      </c>
      <c r="H251" s="15">
        <v>78862</v>
      </c>
      <c r="I251" s="15">
        <v>91</v>
      </c>
      <c r="J251" s="15">
        <v>30389</v>
      </c>
      <c r="K251" s="15">
        <v>55</v>
      </c>
      <c r="L251">
        <v>39</v>
      </c>
      <c r="M251">
        <v>-4</v>
      </c>
      <c r="N251">
        <v>0</v>
      </c>
      <c r="O251" s="15">
        <v>601</v>
      </c>
      <c r="P251" s="15">
        <v>41</v>
      </c>
      <c r="Q251" s="15">
        <v>642</v>
      </c>
      <c r="R251">
        <v>1.1120689655172413</v>
      </c>
      <c r="S251" s="15">
        <v>15</v>
      </c>
      <c r="T251" t="s">
        <v>355</v>
      </c>
      <c r="U251" s="15" t="str">
        <f>TEXT(EvolucionIncidencia[[#This Row],[Fecha]],"DDDD")</f>
        <v>martes</v>
      </c>
      <c r="V2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0.88235294117647056</v>
      </c>
      <c r="W2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22.30931408970379</v>
      </c>
      <c r="X251" s="2">
        <f>IF(EvolucionIncidencia[[#This Row],[Fecha]]&lt;=MIN(EvolucionIncidencia[Fecha])+14,"",EvolucionIncidencia[[#This Row],[NuevasAltas]]-EvolucionIncidencia[[#This Row],[Previsión Altas]])</f>
        <v>-7.3093140897037898</v>
      </c>
      <c r="Y2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211</v>
      </c>
      <c r="Z2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334</v>
      </c>
      <c r="AA251" s="2">
        <f>IF(LEN(EvolucionIncidencia[[#This Row],[Nuevos 7 dias]])=0,"",EvolucionIncidencia[[#This Row],[Nuevos 7 dias]]/_xlfn.MAXIFS(EvolucionIncidencia[Nuevos 7 dias],EvolucionIncidencia[Area_Sanitaria],EvolucionIncidencia[[#This Row],[Area_Sanitaria]]))</f>
        <v>0.25269461077844313</v>
      </c>
      <c r="AB251" s="2">
        <f>IF(LEN(EvolucionIncidencia[[#This Row],[Nuevos 14 dias]])=0,"",EvolucionIncidencia[[#This Row],[Nuevos 14 dias]]/_xlfn.MAXIFS(EvolucionIncidencia[Nuevos 14 dias],EvolucionIncidencia[Area_Sanitaria],EvolucionIncidencia[[#This Row],[Area_Sanitaria]]))</f>
        <v>0.20378279438682123</v>
      </c>
    </row>
    <row r="252" spans="1:28" hidden="1" x14ac:dyDescent="0.3">
      <c r="A252" s="1">
        <v>44201</v>
      </c>
      <c r="B252" s="2" t="s">
        <v>8</v>
      </c>
      <c r="C252" s="15">
        <v>7391</v>
      </c>
      <c r="D252" s="15">
        <v>575</v>
      </c>
      <c r="E252" s="15">
        <v>6668</v>
      </c>
      <c r="F252">
        <v>18</v>
      </c>
      <c r="G252">
        <v>0</v>
      </c>
      <c r="H252" s="15">
        <v>129326</v>
      </c>
      <c r="I252" s="15">
        <v>145</v>
      </c>
      <c r="J252" s="15">
        <v>75446</v>
      </c>
      <c r="K252" s="15">
        <v>63</v>
      </c>
      <c r="L252">
        <v>44</v>
      </c>
      <c r="M252">
        <v>1</v>
      </c>
      <c r="N252">
        <v>0</v>
      </c>
      <c r="O252" s="15">
        <v>1014</v>
      </c>
      <c r="P252" s="15">
        <v>124</v>
      </c>
      <c r="Q252" s="15">
        <v>1138</v>
      </c>
      <c r="R252">
        <v>1.0828625235404896</v>
      </c>
      <c r="S252" s="15">
        <v>19</v>
      </c>
      <c r="T252" t="s">
        <v>355</v>
      </c>
      <c r="U252" s="15" t="str">
        <f>TEXT(EvolucionIncidencia[[#This Row],[Fecha]],"DDDD")</f>
        <v>martes</v>
      </c>
      <c r="V2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0.73076923076923073</v>
      </c>
      <c r="W2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30.847443844663189</v>
      </c>
      <c r="X252" s="2">
        <f>IF(EvolucionIncidencia[[#This Row],[Fecha]]&lt;=MIN(EvolucionIncidencia[Fecha])+14,"",EvolucionIncidencia[[#This Row],[NuevasAltas]]-EvolucionIncidencia[[#This Row],[Previsión Altas]])</f>
        <v>-11.847443844663189</v>
      </c>
      <c r="Y2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332</v>
      </c>
      <c r="Z2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550</v>
      </c>
      <c r="AA252" s="2">
        <f>IF(LEN(EvolucionIncidencia[[#This Row],[Nuevos 7 dias]])=0,"",EvolucionIncidencia[[#This Row],[Nuevos 7 dias]]/_xlfn.MAXIFS(EvolucionIncidencia[Nuevos 7 dias],EvolucionIncidencia[Area_Sanitaria],EvolucionIncidencia[[#This Row],[Area_Sanitaria]]))</f>
        <v>0.30018083182640143</v>
      </c>
      <c r="AB252" s="2">
        <f>IF(LEN(EvolucionIncidencia[[#This Row],[Nuevos 14 dias]])=0,"",EvolucionIncidencia[[#This Row],[Nuevos 14 dias]]/_xlfn.MAXIFS(EvolucionIncidencia[Nuevos 14 dias],EvolucionIncidencia[Area_Sanitaria],EvolucionIncidencia[[#This Row],[Area_Sanitaria]]))</f>
        <v>0.27777777777777779</v>
      </c>
    </row>
    <row r="253" spans="1:28" hidden="1" x14ac:dyDescent="0.3">
      <c r="A253" s="1">
        <v>44201</v>
      </c>
      <c r="B253" s="2" t="s">
        <v>9</v>
      </c>
      <c r="C253" s="15">
        <v>8927</v>
      </c>
      <c r="D253" s="15">
        <v>734</v>
      </c>
      <c r="E253" s="15">
        <v>7881</v>
      </c>
      <c r="F253">
        <v>31</v>
      </c>
      <c r="G253">
        <v>1</v>
      </c>
      <c r="H253" s="15">
        <v>139315</v>
      </c>
      <c r="I253" s="15">
        <v>312</v>
      </c>
      <c r="J253" s="15">
        <v>68540</v>
      </c>
      <c r="K253" s="15">
        <v>95</v>
      </c>
      <c r="L253">
        <v>46</v>
      </c>
      <c r="M253">
        <v>3</v>
      </c>
      <c r="N253">
        <v>-1</v>
      </c>
      <c r="O253" s="15">
        <v>821</v>
      </c>
      <c r="P253" s="15">
        <v>306</v>
      </c>
      <c r="Q253" s="15">
        <v>1127</v>
      </c>
      <c r="R253">
        <v>1.066860465116279</v>
      </c>
      <c r="S253" s="15">
        <v>47</v>
      </c>
      <c r="T253" t="s">
        <v>355</v>
      </c>
      <c r="U253" s="15" t="str">
        <f>TEXT(EvolucionIncidencia[[#This Row],[Fecha]],"DDDD")</f>
        <v>martes</v>
      </c>
      <c r="V2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1.7407407407407407</v>
      </c>
      <c r="W2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28.480494982910436</v>
      </c>
      <c r="X253" s="2">
        <f>IF(EvolucionIncidencia[[#This Row],[Fecha]]&lt;=MIN(EvolucionIncidencia[Fecha])+14,"",EvolucionIncidencia[[#This Row],[NuevasAltas]]-EvolucionIncidencia[[#This Row],[Previsión Altas]])</f>
        <v>18.519505017089564</v>
      </c>
      <c r="Y2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443</v>
      </c>
      <c r="Z2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695</v>
      </c>
      <c r="AA253" s="2">
        <f>IF(LEN(EvolucionIncidencia[[#This Row],[Nuevos 7 dias]])=0,"",EvolucionIncidencia[[#This Row],[Nuevos 7 dias]]/_xlfn.MAXIFS(EvolucionIncidencia[Nuevos 7 dias],EvolucionIncidencia[Area_Sanitaria],EvolucionIncidencia[[#This Row],[Area_Sanitaria]]))</f>
        <v>0.28234544295729763</v>
      </c>
      <c r="AB253" s="2">
        <f>IF(LEN(EvolucionIncidencia[[#This Row],[Nuevos 14 dias]])=0,"",EvolucionIncidencia[[#This Row],[Nuevos 14 dias]]/_xlfn.MAXIFS(EvolucionIncidencia[Nuevos 14 dias],EvolucionIncidencia[Area_Sanitaria],EvolucionIncidencia[[#This Row],[Area_Sanitaria]]))</f>
        <v>0.24549629106322854</v>
      </c>
    </row>
    <row r="254" spans="1:28" x14ac:dyDescent="0.3">
      <c r="A254" s="1">
        <v>44201</v>
      </c>
      <c r="B254" s="2" t="s">
        <v>6</v>
      </c>
      <c r="C254" s="15">
        <v>7200</v>
      </c>
      <c r="D254" s="15">
        <v>743</v>
      </c>
      <c r="E254" s="15">
        <v>6377</v>
      </c>
      <c r="F254">
        <v>44</v>
      </c>
      <c r="G254">
        <v>11</v>
      </c>
      <c r="H254" s="15">
        <v>117753</v>
      </c>
      <c r="I254" s="15">
        <v>83</v>
      </c>
      <c r="J254" s="15">
        <v>46801</v>
      </c>
      <c r="K254" s="15">
        <v>33</v>
      </c>
      <c r="L254">
        <v>-8</v>
      </c>
      <c r="M254">
        <v>7</v>
      </c>
      <c r="N254">
        <v>0</v>
      </c>
      <c r="O254" s="15">
        <v>766</v>
      </c>
      <c r="P254" s="15">
        <v>119</v>
      </c>
      <c r="Q254" s="15">
        <v>885</v>
      </c>
      <c r="R254">
        <v>0.98934753661784292</v>
      </c>
      <c r="S254" s="15">
        <v>41</v>
      </c>
      <c r="T254" t="s">
        <v>355</v>
      </c>
      <c r="U254" s="15" t="str">
        <f>TEXT(EvolucionIncidencia[[#This Row],[Fecha]],"DDDD")</f>
        <v>martes</v>
      </c>
      <c r="V2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1.1388888888888888</v>
      </c>
      <c r="W2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39.356587153682447</v>
      </c>
      <c r="X254" s="2">
        <f>IF(EvolucionIncidencia[[#This Row],[Fecha]]&lt;=MIN(EvolucionIncidencia[Fecha])+14,"",EvolucionIncidencia[[#This Row],[NuevasAltas]]-EvolucionIncidencia[[#This Row],[Previsión Altas]])</f>
        <v>1.6434128463175526</v>
      </c>
      <c r="Y2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289</v>
      </c>
      <c r="Z2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621</v>
      </c>
      <c r="AA254" s="2">
        <f>IF(LEN(EvolucionIncidencia[[#This Row],[Nuevos 7 dias]])=0,"",EvolucionIncidencia[[#This Row],[Nuevos 7 dias]]/_xlfn.MAXIFS(EvolucionIncidencia[Nuevos 7 dias],EvolucionIncidencia[Area_Sanitaria],EvolucionIncidencia[[#This Row],[Area_Sanitaria]]))</f>
        <v>0.21977186311787072</v>
      </c>
      <c r="AB254" s="2">
        <f>IF(LEN(EvolucionIncidencia[[#This Row],[Nuevos 14 dias]])=0,"",EvolucionIncidencia[[#This Row],[Nuevos 14 dias]]/_xlfn.MAXIFS(EvolucionIncidencia[Nuevos 14 dias],EvolucionIncidencia[Area_Sanitaria],EvolucionIncidencia[[#This Row],[Area_Sanitaria]]))</f>
        <v>0.25545043192102018</v>
      </c>
    </row>
    <row r="255" spans="1:28" hidden="1" x14ac:dyDescent="0.3">
      <c r="A255" s="1">
        <v>44201</v>
      </c>
      <c r="B255" s="2" t="s">
        <v>7</v>
      </c>
      <c r="C255" s="15">
        <v>10792</v>
      </c>
      <c r="D255" s="15">
        <v>1442</v>
      </c>
      <c r="E255" s="15">
        <v>9151</v>
      </c>
      <c r="F255">
        <v>83</v>
      </c>
      <c r="G255">
        <v>13</v>
      </c>
      <c r="H255" s="15">
        <v>194985</v>
      </c>
      <c r="I255" s="15">
        <v>201</v>
      </c>
      <c r="J255" s="15">
        <v>93535</v>
      </c>
      <c r="K255" s="15">
        <v>156</v>
      </c>
      <c r="L255">
        <v>106</v>
      </c>
      <c r="M255">
        <v>3</v>
      </c>
      <c r="N255">
        <v>0</v>
      </c>
      <c r="O255" s="15">
        <v>1979</v>
      </c>
      <c r="P255" s="15">
        <v>294</v>
      </c>
      <c r="Q255" s="15">
        <v>2273</v>
      </c>
      <c r="R255">
        <v>1.0793413173652695</v>
      </c>
      <c r="S255" s="15">
        <v>49</v>
      </c>
      <c r="T255" t="s">
        <v>355</v>
      </c>
      <c r="U255" s="15" t="str">
        <f>TEXT(EvolucionIncidencia[[#This Row],[Fecha]],"DDDD")</f>
        <v>martes</v>
      </c>
      <c r="V2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0.61250000000000004</v>
      </c>
      <c r="W2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76.644724217503239</v>
      </c>
      <c r="X255" s="2">
        <f>IF(EvolucionIncidencia[[#This Row],[Fecha]]&lt;=MIN(EvolucionIncidencia[Fecha])+14,"",EvolucionIncidencia[[#This Row],[NuevasAltas]]-EvolucionIncidencia[[#This Row],[Previsión Altas]])</f>
        <v>-27.644724217503239</v>
      </c>
      <c r="Y2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675</v>
      </c>
      <c r="Z2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1314</v>
      </c>
      <c r="AA255" s="2">
        <f>IF(LEN(EvolucionIncidencia[[#This Row],[Nuevos 7 dias]])=0,"",EvolucionIncidencia[[#This Row],[Nuevos 7 dias]]/_xlfn.MAXIFS(EvolucionIncidencia[Nuevos 7 dias],EvolucionIncidencia[Area_Sanitaria],EvolucionIncidencia[[#This Row],[Area_Sanitaria]]))</f>
        <v>0.39752650176678445</v>
      </c>
      <c r="AB255" s="2">
        <f>IF(LEN(EvolucionIncidencia[[#This Row],[Nuevos 14 dias]])=0,"",EvolucionIncidencia[[#This Row],[Nuevos 14 dias]]/_xlfn.MAXIFS(EvolucionIncidencia[Nuevos 14 dias],EvolucionIncidencia[Area_Sanitaria],EvolucionIncidencia[[#This Row],[Area_Sanitaria]]))</f>
        <v>0.41294783155248271</v>
      </c>
    </row>
    <row r="256" spans="1:28" hidden="1" x14ac:dyDescent="0.3">
      <c r="A256" s="1">
        <v>44201</v>
      </c>
      <c r="B256" s="2" t="s">
        <v>2</v>
      </c>
      <c r="C256" s="15">
        <v>12929</v>
      </c>
      <c r="D256" s="15">
        <v>1146</v>
      </c>
      <c r="E256" s="15">
        <v>11511</v>
      </c>
      <c r="F256">
        <v>41</v>
      </c>
      <c r="G256">
        <v>13</v>
      </c>
      <c r="H256" s="15">
        <v>246582</v>
      </c>
      <c r="I256" s="15">
        <v>273</v>
      </c>
      <c r="J256" s="15">
        <v>58862</v>
      </c>
      <c r="K256" s="15">
        <v>95</v>
      </c>
      <c r="L256">
        <v>33</v>
      </c>
      <c r="M256">
        <v>-8</v>
      </c>
      <c r="N256">
        <v>1</v>
      </c>
      <c r="O256" s="15">
        <v>1307</v>
      </c>
      <c r="P256" s="15">
        <v>138</v>
      </c>
      <c r="Q256" s="15">
        <v>1445</v>
      </c>
      <c r="R256">
        <v>1.0296495956873315</v>
      </c>
      <c r="S256" s="15">
        <v>61</v>
      </c>
      <c r="T256" t="s">
        <v>355</v>
      </c>
      <c r="U256" s="15" t="str">
        <f>TEXT(EvolucionIncidencia[[#This Row],[Fecha]],"DDDD")</f>
        <v>martes</v>
      </c>
      <c r="V2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0.66304347826086951</v>
      </c>
      <c r="W2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107.28613916168426</v>
      </c>
      <c r="X256" s="2">
        <f>IF(EvolucionIncidencia[[#This Row],[Fecha]]&lt;=MIN(EvolucionIncidencia[Fecha])+14,"",EvolucionIncidencia[[#This Row],[NuevasAltas]]-EvolucionIncidencia[[#This Row],[Previsión Altas]])</f>
        <v>-46.286139161684261</v>
      </c>
      <c r="Y2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538</v>
      </c>
      <c r="Z2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1051</v>
      </c>
      <c r="AA256" s="2">
        <f>IF(LEN(EvolucionIncidencia[[#This Row],[Nuevos 7 dias]])=0,"",EvolucionIncidencia[[#This Row],[Nuevos 7 dias]]/_xlfn.MAXIFS(EvolucionIncidencia[Nuevos 7 dias],EvolucionIncidencia[Area_Sanitaria],EvolucionIncidencia[[#This Row],[Area_Sanitaria]]))</f>
        <v>0.27746260959257352</v>
      </c>
      <c r="AB256" s="2">
        <f>IF(LEN(EvolucionIncidencia[[#This Row],[Nuevos 14 dias]])=0,"",EvolucionIncidencia[[#This Row],[Nuevos 14 dias]]/_xlfn.MAXIFS(EvolucionIncidencia[Nuevos 14 dias],EvolucionIncidencia[Area_Sanitaria],EvolucionIncidencia[[#This Row],[Area_Sanitaria]]))</f>
        <v>0.28929259565097715</v>
      </c>
    </row>
    <row r="257" spans="1:28" hidden="1" x14ac:dyDescent="0.3">
      <c r="A257" s="1">
        <v>44201</v>
      </c>
      <c r="B257" s="2" t="s">
        <v>3</v>
      </c>
      <c r="C257" s="15">
        <v>65750</v>
      </c>
      <c r="D257" s="15">
        <v>6404</v>
      </c>
      <c r="E257" s="15">
        <v>57925</v>
      </c>
      <c r="F257">
        <v>342</v>
      </c>
      <c r="G257">
        <v>57</v>
      </c>
      <c r="H257" s="15">
        <v>1145403</v>
      </c>
      <c r="I257" s="15">
        <v>1427</v>
      </c>
      <c r="J257" s="15">
        <v>451733</v>
      </c>
      <c r="K257" s="15">
        <v>684</v>
      </c>
      <c r="L257">
        <v>413</v>
      </c>
      <c r="M257">
        <v>0</v>
      </c>
      <c r="N257">
        <v>1</v>
      </c>
      <c r="O257" s="15">
        <v>7752</v>
      </c>
      <c r="P257" s="15">
        <v>1263</v>
      </c>
      <c r="Q257" s="15">
        <v>9015</v>
      </c>
      <c r="R257">
        <v>1.0689367384409949</v>
      </c>
      <c r="S257" s="15">
        <v>265</v>
      </c>
      <c r="T257" t="s">
        <v>355</v>
      </c>
      <c r="U257" s="15" t="str">
        <f>TEXT(EvolucionIncidencia[[#This Row],[Fecha]],"DDDD")</f>
        <v>martes</v>
      </c>
      <c r="V2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0.77485380116959068</v>
      </c>
      <c r="W2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353.94916839132634</v>
      </c>
      <c r="X257" s="2">
        <f>IF(EvolucionIncidencia[[#This Row],[Fecha]]&lt;=MIN(EvolucionIncidencia[Fecha])+14,"",EvolucionIncidencia[[#This Row],[NuevasAltas]]-EvolucionIncidencia[[#This Row],[Previsión Altas]])</f>
        <v>-88.949168391326339</v>
      </c>
      <c r="Y2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3284</v>
      </c>
      <c r="Z2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5806</v>
      </c>
      <c r="AA257" s="2">
        <f>IF(LEN(EvolucionIncidencia[[#This Row],[Nuevos 7 dias]])=0,"",EvolucionIncidencia[[#This Row],[Nuevos 7 dias]]/_xlfn.MAXIFS(EvolucionIncidencia[Nuevos 7 dias],EvolucionIncidencia[Area_Sanitaria],EvolucionIncidencia[[#This Row],[Area_Sanitaria]]))</f>
        <v>0.28949224259520451</v>
      </c>
      <c r="AB257" s="2">
        <f>IF(LEN(EvolucionIncidencia[[#This Row],[Nuevos 14 dias]])=0,"",EvolucionIncidencia[[#This Row],[Nuevos 14 dias]]/_xlfn.MAXIFS(EvolucionIncidencia[Nuevos 14 dias],EvolucionIncidencia[Area_Sanitaria],EvolucionIncidencia[[#This Row],[Area_Sanitaria]]))</f>
        <v>0.27835842362642632</v>
      </c>
    </row>
    <row r="258" spans="1:28" hidden="1" x14ac:dyDescent="0.3">
      <c r="A258" s="1">
        <v>44202</v>
      </c>
      <c r="B258" s="2" t="s">
        <v>4</v>
      </c>
      <c r="C258" s="15">
        <v>14489</v>
      </c>
      <c r="D258" s="15">
        <v>1470</v>
      </c>
      <c r="E258" s="15">
        <v>12700</v>
      </c>
      <c r="F258">
        <v>85</v>
      </c>
      <c r="G258">
        <v>19</v>
      </c>
      <c r="H258" s="15">
        <v>239718</v>
      </c>
      <c r="I258" s="15">
        <v>324</v>
      </c>
      <c r="J258" s="15">
        <v>78249</v>
      </c>
      <c r="K258" s="15">
        <v>158</v>
      </c>
      <c r="L258">
        <v>93</v>
      </c>
      <c r="M258">
        <v>6</v>
      </c>
      <c r="N258">
        <v>1</v>
      </c>
      <c r="O258" s="15">
        <v>1138</v>
      </c>
      <c r="P258" s="15">
        <v>89</v>
      </c>
      <c r="Q258" s="15">
        <v>1227</v>
      </c>
      <c r="R258">
        <v>1.0675381263616557</v>
      </c>
      <c r="S258" s="15">
        <v>63</v>
      </c>
      <c r="T258" t="s">
        <v>356</v>
      </c>
      <c r="U258" s="15" t="str">
        <f>TEXT(EvolucionIncidencia[[#This Row],[Fecha]],"DDDD")</f>
        <v>miércoles</v>
      </c>
      <c r="V2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v>
      </c>
      <c r="W2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67.837821469237809</v>
      </c>
      <c r="X258" s="2">
        <f>IF(EvolucionIncidencia[[#This Row],[Fecha]]&lt;=MIN(EvolucionIncidencia[Fecha])+14,"",EvolucionIncidencia[[#This Row],[NuevasAltas]]-EvolucionIncidencia[[#This Row],[Previsión Altas]])</f>
        <v>-4.8378214692378094</v>
      </c>
      <c r="Y2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820</v>
      </c>
      <c r="Z2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1339</v>
      </c>
      <c r="AA258" s="2">
        <f>IF(LEN(EvolucionIncidencia[[#This Row],[Nuevos 7 dias]])=0,"",EvolucionIncidencia[[#This Row],[Nuevos 7 dias]]/_xlfn.MAXIFS(EvolucionIncidencia[Nuevos 7 dias],EvolucionIncidencia[Area_Sanitaria],EvolucionIncidencia[[#This Row],[Area_Sanitaria]]))</f>
        <v>0.27526015441423296</v>
      </c>
      <c r="AB258" s="2">
        <f>IF(LEN(EvolucionIncidencia[[#This Row],[Nuevos 14 dias]])=0,"",EvolucionIncidencia[[#This Row],[Nuevos 14 dias]]/_xlfn.MAXIFS(EvolucionIncidencia[Nuevos 14 dias],EvolucionIncidencia[Area_Sanitaria],EvolucionIncidencia[[#This Row],[Area_Sanitaria]]))</f>
        <v>0.24627551958800808</v>
      </c>
    </row>
    <row r="259" spans="1:28" hidden="1" x14ac:dyDescent="0.3">
      <c r="A259" s="1">
        <v>44202</v>
      </c>
      <c r="B259" s="2" t="s">
        <v>5</v>
      </c>
      <c r="C259" s="15">
        <v>4211</v>
      </c>
      <c r="D259" s="15">
        <v>399</v>
      </c>
      <c r="E259" s="15">
        <v>3718</v>
      </c>
      <c r="F259">
        <v>44</v>
      </c>
      <c r="G259">
        <v>3</v>
      </c>
      <c r="H259" s="15">
        <v>79320</v>
      </c>
      <c r="I259" s="15">
        <v>92</v>
      </c>
      <c r="J259" s="15">
        <v>30418</v>
      </c>
      <c r="K259" s="15">
        <v>31</v>
      </c>
      <c r="L259">
        <v>12</v>
      </c>
      <c r="M259">
        <v>-2</v>
      </c>
      <c r="N259">
        <v>2</v>
      </c>
      <c r="O259" s="15">
        <v>458</v>
      </c>
      <c r="P259" s="15">
        <v>29</v>
      </c>
      <c r="Q259" s="15">
        <v>487</v>
      </c>
      <c r="R259">
        <v>1.0310077519379846</v>
      </c>
      <c r="S259" s="15">
        <v>18</v>
      </c>
      <c r="T259" t="s">
        <v>356</v>
      </c>
      <c r="U259" s="15" t="str">
        <f>TEXT(EvolucionIncidencia[[#This Row],[Fecha]],"DDDD")</f>
        <v>miércoles</v>
      </c>
      <c r="V2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v>
      </c>
      <c r="W2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26.470341506094101</v>
      </c>
      <c r="X259" s="2">
        <f>IF(EvolucionIncidencia[[#This Row],[Fecha]]&lt;=MIN(EvolucionIncidencia[Fecha])+14,"",EvolucionIncidencia[[#This Row],[NuevasAltas]]-EvolucionIncidencia[[#This Row],[Previsión Altas]])</f>
        <v>-8.4703415060941012</v>
      </c>
      <c r="Y2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218</v>
      </c>
      <c r="Z2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345</v>
      </c>
      <c r="AA259" s="2">
        <f>IF(LEN(EvolucionIncidencia[[#This Row],[Nuevos 7 dias]])=0,"",EvolucionIncidencia[[#This Row],[Nuevos 7 dias]]/_xlfn.MAXIFS(EvolucionIncidencia[Nuevos 7 dias],EvolucionIncidencia[Area_Sanitaria],EvolucionIncidencia[[#This Row],[Area_Sanitaria]]))</f>
        <v>0.26107784431137726</v>
      </c>
      <c r="AB259" s="2">
        <f>IF(LEN(EvolucionIncidencia[[#This Row],[Nuevos 14 dias]])=0,"",EvolucionIncidencia[[#This Row],[Nuevos 14 dias]]/_xlfn.MAXIFS(EvolucionIncidencia[Nuevos 14 dias],EvolucionIncidencia[Area_Sanitaria],EvolucionIncidencia[[#This Row],[Area_Sanitaria]]))</f>
        <v>0.21049420378279438</v>
      </c>
    </row>
    <row r="260" spans="1:28" hidden="1" x14ac:dyDescent="0.3">
      <c r="A260" s="1">
        <v>44202</v>
      </c>
      <c r="B260" s="2" t="s">
        <v>8</v>
      </c>
      <c r="C260" s="15">
        <v>7460</v>
      </c>
      <c r="D260" s="15">
        <v>619</v>
      </c>
      <c r="E260" s="15">
        <v>6693</v>
      </c>
      <c r="F260">
        <v>19</v>
      </c>
      <c r="G260">
        <v>0</v>
      </c>
      <c r="H260" s="15">
        <v>130505</v>
      </c>
      <c r="I260" s="15">
        <v>145</v>
      </c>
      <c r="J260" s="15">
        <v>75518</v>
      </c>
      <c r="K260" s="15">
        <v>69</v>
      </c>
      <c r="L260">
        <v>44</v>
      </c>
      <c r="M260">
        <v>1</v>
      </c>
      <c r="N260">
        <v>0</v>
      </c>
      <c r="O260" s="15">
        <v>1179</v>
      </c>
      <c r="P260" s="15">
        <v>72</v>
      </c>
      <c r="Q260" s="15">
        <v>1251</v>
      </c>
      <c r="R260">
        <v>1.0765217391304347</v>
      </c>
      <c r="S260" s="15">
        <v>25</v>
      </c>
      <c r="T260" t="s">
        <v>356</v>
      </c>
      <c r="U260" s="15" t="str">
        <f>TEXT(EvolucionIncidencia[[#This Row],[Fecha]],"DDDD")</f>
        <v>miércoles</v>
      </c>
      <c r="V2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0.7142857142857143</v>
      </c>
      <c r="W2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40.935661585764542</v>
      </c>
      <c r="X260" s="2">
        <f>IF(EvolucionIncidencia[[#This Row],[Fecha]]&lt;=MIN(EvolucionIncidencia[Fecha])+14,"",EvolucionIncidencia[[#This Row],[NuevasAltas]]-EvolucionIncidencia[[#This Row],[Previsión Altas]])</f>
        <v>-15.935661585764542</v>
      </c>
      <c r="Y2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352</v>
      </c>
      <c r="Z2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584</v>
      </c>
      <c r="AA260" s="2">
        <f>IF(LEN(EvolucionIncidencia[[#This Row],[Nuevos 7 dias]])=0,"",EvolucionIncidencia[[#This Row],[Nuevos 7 dias]]/_xlfn.MAXIFS(EvolucionIncidencia[Nuevos 7 dias],EvolucionIncidencia[Area_Sanitaria],EvolucionIncidencia[[#This Row],[Area_Sanitaria]]))</f>
        <v>0.31826401446654612</v>
      </c>
      <c r="AB260" s="2">
        <f>IF(LEN(EvolucionIncidencia[[#This Row],[Nuevos 14 dias]])=0,"",EvolucionIncidencia[[#This Row],[Nuevos 14 dias]]/_xlfn.MAXIFS(EvolucionIncidencia[Nuevos 14 dias],EvolucionIncidencia[Area_Sanitaria],EvolucionIncidencia[[#This Row],[Area_Sanitaria]]))</f>
        <v>0.29494949494949496</v>
      </c>
    </row>
    <row r="261" spans="1:28" hidden="1" x14ac:dyDescent="0.3">
      <c r="A261" s="1">
        <v>44202</v>
      </c>
      <c r="B261" s="2" t="s">
        <v>9</v>
      </c>
      <c r="C261" s="15">
        <v>9007</v>
      </c>
      <c r="D261" s="15">
        <v>764</v>
      </c>
      <c r="E261" s="15">
        <v>7931</v>
      </c>
      <c r="F261">
        <v>32</v>
      </c>
      <c r="G261">
        <v>2</v>
      </c>
      <c r="H261" s="15">
        <v>140160</v>
      </c>
      <c r="I261" s="15">
        <v>312</v>
      </c>
      <c r="J261" s="15">
        <v>68633</v>
      </c>
      <c r="K261" s="15">
        <v>80</v>
      </c>
      <c r="L261">
        <v>30</v>
      </c>
      <c r="M261">
        <v>1</v>
      </c>
      <c r="N261">
        <v>1</v>
      </c>
      <c r="O261" s="15">
        <v>845</v>
      </c>
      <c r="P261" s="15">
        <v>93</v>
      </c>
      <c r="Q261" s="15">
        <v>938</v>
      </c>
      <c r="R261">
        <v>1.0408719346049047</v>
      </c>
      <c r="S261" s="15">
        <v>50</v>
      </c>
      <c r="T261" t="s">
        <v>356</v>
      </c>
      <c r="U261" s="15" t="str">
        <f>TEXT(EvolucionIncidencia[[#This Row],[Fecha]],"DDDD")</f>
        <v>miércoles</v>
      </c>
      <c r="V2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1.1111111111111112</v>
      </c>
      <c r="W2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49.281217128380135</v>
      </c>
      <c r="X261" s="2">
        <f>IF(EvolucionIncidencia[[#This Row],[Fecha]]&lt;=MIN(EvolucionIncidencia[Fecha])+14,"",EvolucionIncidencia[[#This Row],[NuevasAltas]]-EvolucionIncidencia[[#This Row],[Previsión Altas]])</f>
        <v>0.7187828716198652</v>
      </c>
      <c r="Y2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454</v>
      </c>
      <c r="Z2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730</v>
      </c>
      <c r="AA261" s="2">
        <f>IF(LEN(EvolucionIncidencia[[#This Row],[Nuevos 7 dias]])=0,"",EvolucionIncidencia[[#This Row],[Nuevos 7 dias]]/_xlfn.MAXIFS(EvolucionIncidencia[Nuevos 7 dias],EvolucionIncidencia[Area_Sanitaria],EvolucionIncidencia[[#This Row],[Area_Sanitaria]]))</f>
        <v>0.28935627788400253</v>
      </c>
      <c r="AB261" s="2">
        <f>IF(LEN(EvolucionIncidencia[[#This Row],[Nuevos 14 dias]])=0,"",EvolucionIncidencia[[#This Row],[Nuevos 14 dias]]/_xlfn.MAXIFS(EvolucionIncidencia[Nuevos 14 dias],EvolucionIncidencia[Area_Sanitaria],EvolucionIncidencia[[#This Row],[Area_Sanitaria]]))</f>
        <v>0.25785941363475806</v>
      </c>
    </row>
    <row r="262" spans="1:28" x14ac:dyDescent="0.3">
      <c r="A262" s="1">
        <v>44202</v>
      </c>
      <c r="B262" s="2" t="s">
        <v>6</v>
      </c>
      <c r="C262" s="15">
        <v>7250</v>
      </c>
      <c r="D262" s="15">
        <v>735</v>
      </c>
      <c r="E262" s="15">
        <v>6435</v>
      </c>
      <c r="F262">
        <v>46</v>
      </c>
      <c r="G262">
        <v>10</v>
      </c>
      <c r="H262" s="15">
        <v>118495</v>
      </c>
      <c r="I262" s="15">
        <v>83</v>
      </c>
      <c r="J262" s="15">
        <v>46878</v>
      </c>
      <c r="K262" s="15">
        <v>50</v>
      </c>
      <c r="L262">
        <v>-8</v>
      </c>
      <c r="M262">
        <v>2</v>
      </c>
      <c r="N262">
        <v>-1</v>
      </c>
      <c r="O262" s="15">
        <v>742</v>
      </c>
      <c r="P262" s="15">
        <v>77</v>
      </c>
      <c r="Q262" s="15">
        <v>819</v>
      </c>
      <c r="R262">
        <v>0.98923283983849264</v>
      </c>
      <c r="S262" s="15">
        <v>58</v>
      </c>
      <c r="T262" t="s">
        <v>356</v>
      </c>
      <c r="U262" s="15" t="str">
        <f>TEXT(EvolucionIncidencia[[#This Row],[Fecha]],"DDDD")</f>
        <v>miércoles</v>
      </c>
      <c r="V2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0.96666666666666667</v>
      </c>
      <c r="W2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66.278835732327892</v>
      </c>
      <c r="X262" s="2">
        <f>IF(EvolucionIncidencia[[#This Row],[Fecha]]&lt;=MIN(EvolucionIncidencia[Fecha])+14,"",EvolucionIncidencia[[#This Row],[NuevasAltas]]-EvolucionIncidencia[[#This Row],[Previsión Altas]])</f>
        <v>-8.2788357323278916</v>
      </c>
      <c r="Y2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309</v>
      </c>
      <c r="Z2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611</v>
      </c>
      <c r="AA262" s="2">
        <f>IF(LEN(EvolucionIncidencia[[#This Row],[Nuevos 7 dias]])=0,"",EvolucionIncidencia[[#This Row],[Nuevos 7 dias]]/_xlfn.MAXIFS(EvolucionIncidencia[Nuevos 7 dias],EvolucionIncidencia[Area_Sanitaria],EvolucionIncidencia[[#This Row],[Area_Sanitaria]]))</f>
        <v>0.23498098859315589</v>
      </c>
      <c r="AB262" s="2">
        <f>IF(LEN(EvolucionIncidencia[[#This Row],[Nuevos 14 dias]])=0,"",EvolucionIncidencia[[#This Row],[Nuevos 14 dias]]/_xlfn.MAXIFS(EvolucionIncidencia[Nuevos 14 dias],EvolucionIncidencia[Area_Sanitaria],EvolucionIncidencia[[#This Row],[Area_Sanitaria]]))</f>
        <v>0.25133689839572193</v>
      </c>
    </row>
    <row r="263" spans="1:28" hidden="1" x14ac:dyDescent="0.3">
      <c r="A263" s="1">
        <v>44202</v>
      </c>
      <c r="B263" s="2" t="s">
        <v>7</v>
      </c>
      <c r="C263" s="15">
        <v>10898</v>
      </c>
      <c r="D263" s="15">
        <v>1453</v>
      </c>
      <c r="E263" s="15">
        <v>9245</v>
      </c>
      <c r="F263">
        <v>91</v>
      </c>
      <c r="G263">
        <v>9</v>
      </c>
      <c r="H263" s="15">
        <v>197078</v>
      </c>
      <c r="I263" s="15">
        <v>202</v>
      </c>
      <c r="J263" s="15">
        <v>93644</v>
      </c>
      <c r="K263" s="15">
        <v>106</v>
      </c>
      <c r="L263">
        <v>11</v>
      </c>
      <c r="M263">
        <v>8</v>
      </c>
      <c r="N263">
        <v>-4</v>
      </c>
      <c r="O263" s="15">
        <v>2093</v>
      </c>
      <c r="P263" s="15">
        <v>109</v>
      </c>
      <c r="Q263" s="15">
        <v>2202</v>
      </c>
      <c r="R263">
        <v>1.007628294036061</v>
      </c>
      <c r="S263" s="15">
        <v>94</v>
      </c>
      <c r="T263" t="s">
        <v>356</v>
      </c>
      <c r="U263" s="15" t="str">
        <f>TEXT(EvolucionIncidencia[[#This Row],[Fecha]],"DDDD")</f>
        <v>miércoles</v>
      </c>
      <c r="V2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0.82456140350877194</v>
      </c>
      <c r="W2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105.60245842503643</v>
      </c>
      <c r="X263" s="2">
        <f>IF(EvolucionIncidencia[[#This Row],[Fecha]]&lt;=MIN(EvolucionIncidencia[Fecha])+14,"",EvolucionIncidencia[[#This Row],[NuevasAltas]]-EvolucionIncidencia[[#This Row],[Previsión Altas]])</f>
        <v>-11.602458425036431</v>
      </c>
      <c r="Y2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666</v>
      </c>
      <c r="Z2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1306</v>
      </c>
      <c r="AA263" s="2">
        <f>IF(LEN(EvolucionIncidencia[[#This Row],[Nuevos 7 dias]])=0,"",EvolucionIncidencia[[#This Row],[Nuevos 7 dias]]/_xlfn.MAXIFS(EvolucionIncidencia[Nuevos 7 dias],EvolucionIncidencia[Area_Sanitaria],EvolucionIncidencia[[#This Row],[Area_Sanitaria]]))</f>
        <v>0.392226148409894</v>
      </c>
      <c r="AB263" s="2">
        <f>IF(LEN(EvolucionIncidencia[[#This Row],[Nuevos 14 dias]])=0,"",EvolucionIncidencia[[#This Row],[Nuevos 14 dias]]/_xlfn.MAXIFS(EvolucionIncidencia[Nuevos 14 dias],EvolucionIncidencia[Area_Sanitaria],EvolucionIncidencia[[#This Row],[Area_Sanitaria]]))</f>
        <v>0.41043368950345693</v>
      </c>
    </row>
    <row r="264" spans="1:28" hidden="1" x14ac:dyDescent="0.3">
      <c r="A264" s="1">
        <v>44202</v>
      </c>
      <c r="B264" s="2" t="s">
        <v>2</v>
      </c>
      <c r="C264" s="15">
        <v>13113</v>
      </c>
      <c r="D264" s="15">
        <v>1260</v>
      </c>
      <c r="E264" s="15">
        <v>11581</v>
      </c>
      <c r="F264">
        <v>45</v>
      </c>
      <c r="G264">
        <v>14</v>
      </c>
      <c r="H264" s="15">
        <v>248071</v>
      </c>
      <c r="I264" s="15">
        <v>273</v>
      </c>
      <c r="J264" s="15">
        <v>58939</v>
      </c>
      <c r="K264" s="15">
        <v>184</v>
      </c>
      <c r="L264">
        <v>114</v>
      </c>
      <c r="M264">
        <v>4</v>
      </c>
      <c r="N264">
        <v>1</v>
      </c>
      <c r="O264" s="15">
        <v>1489</v>
      </c>
      <c r="P264" s="15">
        <v>77</v>
      </c>
      <c r="Q264" s="15">
        <v>1566</v>
      </c>
      <c r="R264">
        <v>1.0994764397905759</v>
      </c>
      <c r="S264" s="15">
        <v>70</v>
      </c>
      <c r="T264" t="s">
        <v>356</v>
      </c>
      <c r="U264" s="15" t="str">
        <f>TEXT(EvolucionIncidencia[[#This Row],[Fecha]],"DDDD")</f>
        <v>miércoles</v>
      </c>
      <c r="V2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0.59829059829059827</v>
      </c>
      <c r="W2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129.60409603546137</v>
      </c>
      <c r="X264" s="2">
        <f>IF(EvolucionIncidencia[[#This Row],[Fecha]]&lt;=MIN(EvolucionIncidencia[Fecha])+14,"",EvolucionIncidencia[[#This Row],[NuevasAltas]]-EvolucionIncidencia[[#This Row],[Previsión Altas]])</f>
        <v>-59.604096035461367</v>
      </c>
      <c r="Y2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631</v>
      </c>
      <c r="Z2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1118</v>
      </c>
      <c r="AA264" s="2">
        <f>IF(LEN(EvolucionIncidencia[[#This Row],[Nuevos 7 dias]])=0,"",EvolucionIncidencia[[#This Row],[Nuevos 7 dias]]/_xlfn.MAXIFS(EvolucionIncidencia[Nuevos 7 dias],EvolucionIncidencia[Area_Sanitaria],EvolucionIncidencia[[#This Row],[Area_Sanitaria]]))</f>
        <v>0.32542547705002578</v>
      </c>
      <c r="AB264" s="2">
        <f>IF(LEN(EvolucionIncidencia[[#This Row],[Nuevos 14 dias]])=0,"",EvolucionIncidencia[[#This Row],[Nuevos 14 dias]]/_xlfn.MAXIFS(EvolucionIncidencia[Nuevos 14 dias],EvolucionIncidencia[Area_Sanitaria],EvolucionIncidencia[[#This Row],[Area_Sanitaria]]))</f>
        <v>0.30773465455546378</v>
      </c>
    </row>
    <row r="265" spans="1:28" hidden="1" x14ac:dyDescent="0.3">
      <c r="A265" s="1">
        <v>44202</v>
      </c>
      <c r="B265" s="2" t="s">
        <v>3</v>
      </c>
      <c r="C265" s="15">
        <v>66428</v>
      </c>
      <c r="D265" s="15">
        <v>6700</v>
      </c>
      <c r="E265" s="15">
        <v>58303</v>
      </c>
      <c r="F265">
        <v>362</v>
      </c>
      <c r="G265">
        <v>57</v>
      </c>
      <c r="H265" s="15">
        <v>1153347</v>
      </c>
      <c r="I265" s="15">
        <v>1431</v>
      </c>
      <c r="J265" s="15">
        <v>452279</v>
      </c>
      <c r="K265" s="15">
        <v>678</v>
      </c>
      <c r="L265">
        <v>296</v>
      </c>
      <c r="M265">
        <v>20</v>
      </c>
      <c r="N265">
        <v>0</v>
      </c>
      <c r="O265" s="15">
        <v>7944</v>
      </c>
      <c r="P265" s="15">
        <v>546</v>
      </c>
      <c r="Q265" s="15">
        <v>8490</v>
      </c>
      <c r="R265">
        <v>1.0462211118051219</v>
      </c>
      <c r="S265" s="15">
        <v>378</v>
      </c>
      <c r="T265" t="s">
        <v>356</v>
      </c>
      <c r="U265" s="15" t="str">
        <f>TEXT(EvolucionIncidencia[[#This Row],[Fecha]],"DDDD")</f>
        <v>miércoles</v>
      </c>
      <c r="V2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0.83813747228381374</v>
      </c>
      <c r="W2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456.30201529298967</v>
      </c>
      <c r="X265" s="2">
        <f>IF(EvolucionIncidencia[[#This Row],[Fecha]]&lt;=MIN(EvolucionIncidencia[Fecha])+14,"",EvolucionIncidencia[[#This Row],[NuevasAltas]]-EvolucionIncidencia[[#This Row],[Previsión Altas]])</f>
        <v>-78.302015292989665</v>
      </c>
      <c r="Y2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3450</v>
      </c>
      <c r="Z2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6033</v>
      </c>
      <c r="AA265" s="2">
        <f>IF(LEN(EvolucionIncidencia[[#This Row],[Nuevos 7 dias]])=0,"",EvolucionIncidencia[[#This Row],[Nuevos 7 dias]]/_xlfn.MAXIFS(EvolucionIncidencia[Nuevos 7 dias],EvolucionIncidencia[Area_Sanitaria],EvolucionIncidencia[[#This Row],[Area_Sanitaria]]))</f>
        <v>0.30412552891396333</v>
      </c>
      <c r="AB265" s="2">
        <f>IF(LEN(EvolucionIncidencia[[#This Row],[Nuevos 14 dias]])=0,"",EvolucionIncidencia[[#This Row],[Nuevos 14 dias]]/_xlfn.MAXIFS(EvolucionIncidencia[Nuevos 14 dias],EvolucionIncidencia[Area_Sanitaria],EvolucionIncidencia[[#This Row],[Area_Sanitaria]]))</f>
        <v>0.2892415380189855</v>
      </c>
    </row>
    <row r="266" spans="1:28" hidden="1" x14ac:dyDescent="0.3">
      <c r="A266" s="1">
        <v>44203</v>
      </c>
      <c r="B266" s="2" t="s">
        <v>4</v>
      </c>
      <c r="C266" s="15">
        <v>14640</v>
      </c>
      <c r="D266" s="15">
        <v>1557</v>
      </c>
      <c r="E266" s="15">
        <v>12764</v>
      </c>
      <c r="F266">
        <v>88</v>
      </c>
      <c r="G266">
        <v>21</v>
      </c>
      <c r="H266" s="15">
        <v>240574</v>
      </c>
      <c r="I266" s="15">
        <v>324</v>
      </c>
      <c r="J266" s="15">
        <v>78450</v>
      </c>
      <c r="K266" s="15">
        <v>151</v>
      </c>
      <c r="L266">
        <v>87</v>
      </c>
      <c r="M266">
        <v>3</v>
      </c>
      <c r="N266">
        <v>2</v>
      </c>
      <c r="O266" s="15">
        <v>856</v>
      </c>
      <c r="P266" s="15">
        <v>201</v>
      </c>
      <c r="Q266" s="15">
        <v>1057</v>
      </c>
      <c r="R266">
        <v>1.0591836734693878</v>
      </c>
      <c r="S266" s="15">
        <v>64</v>
      </c>
      <c r="T266" t="s">
        <v>387</v>
      </c>
      <c r="U266" s="15" t="str">
        <f>TEXT(EvolucionIncidencia[[#This Row],[Fecha]],"DDDD")</f>
        <v>jueves</v>
      </c>
      <c r="V2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0.95522388059701491</v>
      </c>
      <c r="W2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73.87690174806859</v>
      </c>
      <c r="X266" s="2">
        <f>IF(EvolucionIncidencia[[#This Row],[Fecha]]&lt;=MIN(EvolucionIncidencia[Fecha])+14,"",EvolucionIncidencia[[#This Row],[NuevasAltas]]-EvolucionIncidencia[[#This Row],[Previsión Altas]])</f>
        <v>-9.8769017480685903</v>
      </c>
      <c r="Y2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864</v>
      </c>
      <c r="Z2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1423</v>
      </c>
      <c r="AA266" s="2">
        <f>IF(LEN(EvolucionIncidencia[[#This Row],[Nuevos 7 dias]])=0,"",EvolucionIncidencia[[#This Row],[Nuevos 7 dias]]/_xlfn.MAXIFS(EvolucionIncidencia[Nuevos 7 dias],EvolucionIncidencia[Area_Sanitaria],EvolucionIncidencia[[#This Row],[Area_Sanitaria]]))</f>
        <v>0.29003021148036257</v>
      </c>
      <c r="AB266" s="2">
        <f>IF(LEN(EvolucionIncidencia[[#This Row],[Nuevos 14 dias]])=0,"",EvolucionIncidencia[[#This Row],[Nuevos 14 dias]]/_xlfn.MAXIFS(EvolucionIncidencia[Nuevos 14 dias],EvolucionIncidencia[Area_Sanitaria],EvolucionIncidencia[[#This Row],[Area_Sanitaria]]))</f>
        <v>0.26172521611182636</v>
      </c>
    </row>
    <row r="267" spans="1:28" hidden="1" x14ac:dyDescent="0.3">
      <c r="A267" s="1">
        <v>44203</v>
      </c>
      <c r="B267" s="2" t="s">
        <v>5</v>
      </c>
      <c r="C267" s="15">
        <v>4261</v>
      </c>
      <c r="D267" s="15">
        <v>432</v>
      </c>
      <c r="E267" s="15">
        <v>3735</v>
      </c>
      <c r="F267">
        <v>43</v>
      </c>
      <c r="G267">
        <v>3</v>
      </c>
      <c r="H267" s="15">
        <v>79637</v>
      </c>
      <c r="I267" s="15">
        <v>92</v>
      </c>
      <c r="J267" s="15">
        <v>30461</v>
      </c>
      <c r="K267" s="15">
        <v>50</v>
      </c>
      <c r="L267">
        <v>33</v>
      </c>
      <c r="M267">
        <v>-1</v>
      </c>
      <c r="N267">
        <v>0</v>
      </c>
      <c r="O267" s="15">
        <v>317</v>
      </c>
      <c r="P267" s="15">
        <v>43</v>
      </c>
      <c r="Q267" s="15">
        <v>360</v>
      </c>
      <c r="R267">
        <v>1.0827067669172932</v>
      </c>
      <c r="S267" s="15">
        <v>17</v>
      </c>
      <c r="T267" t="s">
        <v>387</v>
      </c>
      <c r="U267" s="15" t="str">
        <f>TEXT(EvolucionIncidencia[[#This Row],[Fecha]],"DDDD")</f>
        <v>jueves</v>
      </c>
      <c r="V2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0.77272727272727271</v>
      </c>
      <c r="W2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27.192375656703501</v>
      </c>
      <c r="X267" s="2">
        <f>IF(EvolucionIncidencia[[#This Row],[Fecha]]&lt;=MIN(EvolucionIncidencia[Fecha])+14,"",EvolucionIncidencia[[#This Row],[NuevasAltas]]-EvolucionIncidencia[[#This Row],[Previsión Altas]])</f>
        <v>-10.192375656703501</v>
      </c>
      <c r="Y2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244</v>
      </c>
      <c r="Z2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373</v>
      </c>
      <c r="AA267" s="2">
        <f>IF(LEN(EvolucionIncidencia[[#This Row],[Nuevos 7 dias]])=0,"",EvolucionIncidencia[[#This Row],[Nuevos 7 dias]]/_xlfn.MAXIFS(EvolucionIncidencia[Nuevos 7 dias],EvolucionIncidencia[Area_Sanitaria],EvolucionIncidencia[[#This Row],[Area_Sanitaria]]))</f>
        <v>0.29221556886227545</v>
      </c>
      <c r="AB267" s="2">
        <f>IF(LEN(EvolucionIncidencia[[#This Row],[Nuevos 14 dias]])=0,"",EvolucionIncidencia[[#This Row],[Nuevos 14 dias]]/_xlfn.MAXIFS(EvolucionIncidencia[Nuevos 14 dias],EvolucionIncidencia[Area_Sanitaria],EvolucionIncidencia[[#This Row],[Area_Sanitaria]]))</f>
        <v>0.22757779133618058</v>
      </c>
    </row>
    <row r="268" spans="1:28" hidden="1" x14ac:dyDescent="0.3">
      <c r="A268" s="1">
        <v>44203</v>
      </c>
      <c r="B268" s="2" t="s">
        <v>8</v>
      </c>
      <c r="C268" s="15">
        <v>7502</v>
      </c>
      <c r="D268" s="15">
        <v>626</v>
      </c>
      <c r="E268" s="15">
        <v>6728</v>
      </c>
      <c r="F268">
        <v>17</v>
      </c>
      <c r="G268">
        <v>0</v>
      </c>
      <c r="H268" s="15">
        <v>131040</v>
      </c>
      <c r="I268" s="15">
        <v>145</v>
      </c>
      <c r="J268" s="15">
        <v>75694</v>
      </c>
      <c r="K268" s="15">
        <v>42</v>
      </c>
      <c r="L268">
        <v>7</v>
      </c>
      <c r="M268">
        <v>-2</v>
      </c>
      <c r="N268">
        <v>0</v>
      </c>
      <c r="O268" s="15">
        <v>535</v>
      </c>
      <c r="P268" s="15">
        <v>176</v>
      </c>
      <c r="Q268" s="15">
        <v>711</v>
      </c>
      <c r="R268">
        <v>1.0113085621970921</v>
      </c>
      <c r="S268" s="15">
        <v>35</v>
      </c>
      <c r="T268" t="s">
        <v>387</v>
      </c>
      <c r="U268" s="15" t="str">
        <f>TEXT(EvolucionIncidencia[[#This Row],[Fecha]],"DDDD")</f>
        <v>jueves</v>
      </c>
      <c r="V2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2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32.077100697183063</v>
      </c>
      <c r="X268" s="2">
        <f>IF(EvolucionIncidencia[[#This Row],[Fecha]]&lt;=MIN(EvolucionIncidencia[Fecha])+14,"",EvolucionIncidencia[[#This Row],[NuevasAltas]]-EvolucionIncidencia[[#This Row],[Previsión Altas]])</f>
        <v>2.922899302816937</v>
      </c>
      <c r="Y2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347</v>
      </c>
      <c r="Z2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598</v>
      </c>
      <c r="AA268" s="2">
        <f>IF(LEN(EvolucionIncidencia[[#This Row],[Nuevos 7 dias]])=0,"",EvolucionIncidencia[[#This Row],[Nuevos 7 dias]]/_xlfn.MAXIFS(EvolucionIncidencia[Nuevos 7 dias],EvolucionIncidencia[Area_Sanitaria],EvolucionIncidencia[[#This Row],[Area_Sanitaria]]))</f>
        <v>0.31374321880650996</v>
      </c>
      <c r="AB268" s="2">
        <f>IF(LEN(EvolucionIncidencia[[#This Row],[Nuevos 14 dias]])=0,"",EvolucionIncidencia[[#This Row],[Nuevos 14 dias]]/_xlfn.MAXIFS(EvolucionIncidencia[Nuevos 14 dias],EvolucionIncidencia[Area_Sanitaria],EvolucionIncidencia[[#This Row],[Area_Sanitaria]]))</f>
        <v>0.30202020202020202</v>
      </c>
    </row>
    <row r="269" spans="1:28" hidden="1" x14ac:dyDescent="0.3">
      <c r="A269" s="1">
        <v>44203</v>
      </c>
      <c r="B269" s="2" t="s">
        <v>9</v>
      </c>
      <c r="C269" s="15">
        <v>9109</v>
      </c>
      <c r="D269" s="15">
        <v>818</v>
      </c>
      <c r="E269" s="15">
        <v>7978</v>
      </c>
      <c r="F269">
        <v>32</v>
      </c>
      <c r="G269">
        <v>2</v>
      </c>
      <c r="H269" s="15">
        <v>140922</v>
      </c>
      <c r="I269" s="15">
        <v>313</v>
      </c>
      <c r="J269" s="15">
        <v>68887</v>
      </c>
      <c r="K269" s="15">
        <v>102</v>
      </c>
      <c r="L269">
        <v>54</v>
      </c>
      <c r="M269">
        <v>0</v>
      </c>
      <c r="N269">
        <v>0</v>
      </c>
      <c r="O269" s="15">
        <v>762</v>
      </c>
      <c r="P269" s="15">
        <v>254</v>
      </c>
      <c r="Q269" s="15">
        <v>1016</v>
      </c>
      <c r="R269">
        <v>1.0706806282722514</v>
      </c>
      <c r="S269" s="15">
        <v>47</v>
      </c>
      <c r="T269" t="s">
        <v>387</v>
      </c>
      <c r="U269" s="15" t="str">
        <f>TEXT(EvolucionIncidencia[[#This Row],[Fecha]],"DDDD")</f>
        <v>jueves</v>
      </c>
      <c r="V2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0.90384615384615385</v>
      </c>
      <c r="W2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57.719329654545973</v>
      </c>
      <c r="X269" s="2">
        <f>IF(EvolucionIncidencia[[#This Row],[Fecha]]&lt;=MIN(EvolucionIncidencia[Fecha])+14,"",EvolucionIncidencia[[#This Row],[NuevasAltas]]-EvolucionIncidencia[[#This Row],[Previsión Altas]])</f>
        <v>-10.719329654545973</v>
      </c>
      <c r="Y2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487</v>
      </c>
      <c r="Z2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780</v>
      </c>
      <c r="AA269" s="2">
        <f>IF(LEN(EvolucionIncidencia[[#This Row],[Nuevos 7 dias]])=0,"",EvolucionIncidencia[[#This Row],[Nuevos 7 dias]]/_xlfn.MAXIFS(EvolucionIncidencia[Nuevos 7 dias],EvolucionIncidencia[Area_Sanitaria],EvolucionIncidencia[[#This Row],[Area_Sanitaria]]))</f>
        <v>0.31038878266411729</v>
      </c>
      <c r="AB269" s="2">
        <f>IF(LEN(EvolucionIncidencia[[#This Row],[Nuevos 14 dias]])=0,"",EvolucionIncidencia[[#This Row],[Nuevos 14 dias]]/_xlfn.MAXIFS(EvolucionIncidencia[Nuevos 14 dias],EvolucionIncidencia[Area_Sanitaria],EvolucionIncidencia[[#This Row],[Area_Sanitaria]]))</f>
        <v>0.27552101730837159</v>
      </c>
    </row>
    <row r="270" spans="1:28" x14ac:dyDescent="0.3">
      <c r="A270" s="1">
        <v>44203</v>
      </c>
      <c r="B270" s="2" t="s">
        <v>6</v>
      </c>
      <c r="C270" s="15">
        <v>7305</v>
      </c>
      <c r="D270" s="15">
        <v>717</v>
      </c>
      <c r="E270" s="15">
        <v>6507</v>
      </c>
      <c r="F270">
        <v>39</v>
      </c>
      <c r="G270">
        <v>12</v>
      </c>
      <c r="H270" s="15">
        <v>118973</v>
      </c>
      <c r="I270" s="15">
        <v>84</v>
      </c>
      <c r="J270" s="15">
        <v>46976</v>
      </c>
      <c r="K270" s="15">
        <v>55</v>
      </c>
      <c r="L270">
        <v>-18</v>
      </c>
      <c r="M270">
        <v>-7</v>
      </c>
      <c r="N270">
        <v>2</v>
      </c>
      <c r="O270" s="15">
        <v>478</v>
      </c>
      <c r="P270" s="15">
        <v>98</v>
      </c>
      <c r="Q270" s="15">
        <v>576</v>
      </c>
      <c r="R270">
        <v>0.97551020408163269</v>
      </c>
      <c r="S270" s="15">
        <v>72</v>
      </c>
      <c r="T270" t="s">
        <v>387</v>
      </c>
      <c r="U270" s="15" t="str">
        <f>TEXT(EvolucionIncidencia[[#This Row],[Fecha]],"DDDD")</f>
        <v>jueves</v>
      </c>
      <c r="V2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1.2413793103448276</v>
      </c>
      <c r="W2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60.957086995462745</v>
      </c>
      <c r="X270" s="2">
        <f>IF(EvolucionIncidencia[[#This Row],[Fecha]]&lt;=MIN(EvolucionIncidencia[Fecha])+14,"",EvolucionIncidencia[[#This Row],[NuevasAltas]]-EvolucionIncidencia[[#This Row],[Previsión Altas]])</f>
        <v>11.042913004537255</v>
      </c>
      <c r="Y2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313</v>
      </c>
      <c r="Z2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608</v>
      </c>
      <c r="AA270" s="2">
        <f>IF(LEN(EvolucionIncidencia[[#This Row],[Nuevos 7 dias]])=0,"",EvolucionIncidencia[[#This Row],[Nuevos 7 dias]]/_xlfn.MAXIFS(EvolucionIncidencia[Nuevos 7 dias],EvolucionIncidencia[Area_Sanitaria],EvolucionIncidencia[[#This Row],[Area_Sanitaria]]))</f>
        <v>0.23802281368821293</v>
      </c>
      <c r="AB270" s="2">
        <f>IF(LEN(EvolucionIncidencia[[#This Row],[Nuevos 14 dias]])=0,"",EvolucionIncidencia[[#This Row],[Nuevos 14 dias]]/_xlfn.MAXIFS(EvolucionIncidencia[Nuevos 14 dias],EvolucionIncidencia[Area_Sanitaria],EvolucionIncidencia[[#This Row],[Area_Sanitaria]]))</f>
        <v>0.25010283833813246</v>
      </c>
    </row>
    <row r="271" spans="1:28" hidden="1" x14ac:dyDescent="0.3">
      <c r="A271" s="1">
        <v>44203</v>
      </c>
      <c r="B271" s="2" t="s">
        <v>7</v>
      </c>
      <c r="C271" s="15">
        <v>11077</v>
      </c>
      <c r="D271" s="15">
        <v>1517</v>
      </c>
      <c r="E271" s="15">
        <v>9360</v>
      </c>
      <c r="F271">
        <v>92</v>
      </c>
      <c r="G271">
        <v>9</v>
      </c>
      <c r="H271" s="15">
        <v>199738</v>
      </c>
      <c r="I271" s="15">
        <v>202</v>
      </c>
      <c r="J271" s="15">
        <v>93851</v>
      </c>
      <c r="K271" s="15">
        <v>179</v>
      </c>
      <c r="L271">
        <v>64</v>
      </c>
      <c r="M271">
        <v>1</v>
      </c>
      <c r="N271">
        <v>0</v>
      </c>
      <c r="O271" s="15">
        <v>2660</v>
      </c>
      <c r="P271" s="15">
        <v>207</v>
      </c>
      <c r="Q271" s="15">
        <v>2867</v>
      </c>
      <c r="R271">
        <v>1.0440467997247076</v>
      </c>
      <c r="S271" s="15">
        <v>115</v>
      </c>
      <c r="T271" t="s">
        <v>387</v>
      </c>
      <c r="U271" s="15" t="str">
        <f>TEXT(EvolucionIncidencia[[#This Row],[Fecha]],"DDDD")</f>
        <v>jueves</v>
      </c>
      <c r="V2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1.4743589743589745</v>
      </c>
      <c r="W2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72.289857063199918</v>
      </c>
      <c r="X271" s="2">
        <f>IF(EvolucionIncidencia[[#This Row],[Fecha]]&lt;=MIN(EvolucionIncidencia[Fecha])+14,"",EvolucionIncidencia[[#This Row],[NuevasAltas]]-EvolucionIncidencia[[#This Row],[Previsión Altas]])</f>
        <v>42.710142936800082</v>
      </c>
      <c r="Y2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742</v>
      </c>
      <c r="Z2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1407</v>
      </c>
      <c r="AA271" s="2">
        <f>IF(LEN(EvolucionIncidencia[[#This Row],[Nuevos 7 dias]])=0,"",EvolucionIncidencia[[#This Row],[Nuevos 7 dias]]/_xlfn.MAXIFS(EvolucionIncidencia[Nuevos 7 dias],EvolucionIncidencia[Area_Sanitaria],EvolucionIncidencia[[#This Row],[Area_Sanitaria]]))</f>
        <v>0.43698468786808009</v>
      </c>
      <c r="AB271" s="2">
        <f>IF(LEN(EvolucionIncidencia[[#This Row],[Nuevos 14 dias]])=0,"",EvolucionIncidencia[[#This Row],[Nuevos 14 dias]]/_xlfn.MAXIFS(EvolucionIncidencia[Nuevos 14 dias],EvolucionIncidencia[Area_Sanitaria],EvolucionIncidencia[[#This Row],[Area_Sanitaria]]))</f>
        <v>0.44217473287240727</v>
      </c>
    </row>
    <row r="272" spans="1:28" hidden="1" x14ac:dyDescent="0.3">
      <c r="A272" s="1">
        <v>44203</v>
      </c>
      <c r="B272" s="2" t="s">
        <v>2</v>
      </c>
      <c r="C272" s="15">
        <v>13191</v>
      </c>
      <c r="D272" s="15">
        <v>1222</v>
      </c>
      <c r="E272" s="15">
        <v>11694</v>
      </c>
      <c r="F272">
        <v>39</v>
      </c>
      <c r="G272">
        <v>16</v>
      </c>
      <c r="H272" s="15">
        <v>248732</v>
      </c>
      <c r="I272" s="15">
        <v>276</v>
      </c>
      <c r="J272" s="15">
        <v>59037</v>
      </c>
      <c r="K272" s="15">
        <v>78</v>
      </c>
      <c r="L272">
        <v>-38</v>
      </c>
      <c r="M272">
        <v>-6</v>
      </c>
      <c r="N272">
        <v>2</v>
      </c>
      <c r="O272" s="15">
        <v>661</v>
      </c>
      <c r="P272" s="15">
        <v>98</v>
      </c>
      <c r="Q272" s="15">
        <v>759</v>
      </c>
      <c r="R272">
        <v>0.96984126984126984</v>
      </c>
      <c r="S272" s="15">
        <v>113</v>
      </c>
      <c r="T272" t="s">
        <v>387</v>
      </c>
      <c r="U272" s="15" t="str">
        <f>TEXT(EvolucionIncidencia[[#This Row],[Fecha]],"DDDD")</f>
        <v>jueves</v>
      </c>
      <c r="V2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1.7384615384615385</v>
      </c>
      <c r="W2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68.976481924462661</v>
      </c>
      <c r="X272" s="2">
        <f>IF(EvolucionIncidencia[[#This Row],[Fecha]]&lt;=MIN(EvolucionIncidencia[Fecha])+14,"",EvolucionIncidencia[[#This Row],[NuevasAltas]]-EvolucionIncidencia[[#This Row],[Previsión Altas]])</f>
        <v>44.023518075537339</v>
      </c>
      <c r="Y2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578</v>
      </c>
      <c r="Z2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1131</v>
      </c>
      <c r="AA272" s="2">
        <f>IF(LEN(EvolucionIncidencia[[#This Row],[Nuevos 7 dias]])=0,"",EvolucionIncidencia[[#This Row],[Nuevos 7 dias]]/_xlfn.MAXIFS(EvolucionIncidencia[Nuevos 7 dias],EvolucionIncidencia[Area_Sanitaria],EvolucionIncidencia[[#This Row],[Area_Sanitaria]]))</f>
        <v>0.29809179989685403</v>
      </c>
      <c r="AB272" s="2">
        <f>IF(LEN(EvolucionIncidencia[[#This Row],[Nuevos 14 dias]])=0,"",EvolucionIncidencia[[#This Row],[Nuevos 14 dias]]/_xlfn.MAXIFS(EvolucionIncidencia[Nuevos 14 dias],EvolucionIncidencia[Area_Sanitaria],EvolucionIncidencia[[#This Row],[Area_Sanitaria]]))</f>
        <v>0.31131296449215523</v>
      </c>
    </row>
    <row r="273" spans="1:28" hidden="1" x14ac:dyDescent="0.3">
      <c r="A273" s="1">
        <v>44203</v>
      </c>
      <c r="B273" s="2" t="s">
        <v>3</v>
      </c>
      <c r="C273" s="15">
        <v>67085</v>
      </c>
      <c r="D273" s="15">
        <v>6889</v>
      </c>
      <c r="E273" s="15">
        <v>58766</v>
      </c>
      <c r="F273">
        <v>350</v>
      </c>
      <c r="G273">
        <v>63</v>
      </c>
      <c r="H273" s="15">
        <v>1159616</v>
      </c>
      <c r="I273" s="15">
        <v>1436</v>
      </c>
      <c r="J273" s="15">
        <v>453356</v>
      </c>
      <c r="K273" s="15">
        <v>657</v>
      </c>
      <c r="L273">
        <v>189</v>
      </c>
      <c r="M273">
        <v>-12</v>
      </c>
      <c r="N273">
        <v>6</v>
      </c>
      <c r="O273" s="15">
        <v>6269</v>
      </c>
      <c r="P273" s="15">
        <v>1077</v>
      </c>
      <c r="Q273" s="15">
        <v>7346</v>
      </c>
      <c r="R273">
        <v>1.0282089552238807</v>
      </c>
      <c r="S273" s="15">
        <v>463</v>
      </c>
      <c r="T273" t="s">
        <v>387</v>
      </c>
      <c r="U273" s="15" t="str">
        <f>TEXT(EvolucionIncidencia[[#This Row],[Fecha]],"DDDD")</f>
        <v>jueves</v>
      </c>
      <c r="V2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1.2513513513513514</v>
      </c>
      <c r="W2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363.51103420762064</v>
      </c>
      <c r="X273" s="2">
        <f>IF(EvolucionIncidencia[[#This Row],[Fecha]]&lt;=MIN(EvolucionIncidencia[Fecha])+14,"",EvolucionIncidencia[[#This Row],[NuevasAltas]]-EvolucionIncidencia[[#This Row],[Previsión Altas]])</f>
        <v>99.488965792379361</v>
      </c>
      <c r="Y2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3575</v>
      </c>
      <c r="Z2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6320</v>
      </c>
      <c r="AA273" s="2">
        <f>IF(LEN(EvolucionIncidencia[[#This Row],[Nuevos 7 dias]])=0,"",EvolucionIncidencia[[#This Row],[Nuevos 7 dias]]/_xlfn.MAXIFS(EvolucionIncidencia[Nuevos 7 dias],EvolucionIncidencia[Area_Sanitaria],EvolucionIncidencia[[#This Row],[Area_Sanitaria]]))</f>
        <v>0.31514456981664318</v>
      </c>
      <c r="AB273" s="2">
        <f>IF(LEN(EvolucionIncidencia[[#This Row],[Nuevos 14 dias]])=0,"",EvolucionIncidencia[[#This Row],[Nuevos 14 dias]]/_xlfn.MAXIFS(EvolucionIncidencia[Nuevos 14 dias],EvolucionIncidencia[Area_Sanitaria],EvolucionIncidencia[[#This Row],[Area_Sanitaria]]))</f>
        <v>0.30300124652411542</v>
      </c>
    </row>
    <row r="274" spans="1:28" hidden="1" x14ac:dyDescent="0.3">
      <c r="A274" s="1">
        <v>44204</v>
      </c>
      <c r="B274" s="2" t="s">
        <v>4</v>
      </c>
      <c r="C274" s="15">
        <v>14839</v>
      </c>
      <c r="D274" s="15">
        <v>1696</v>
      </c>
      <c r="E274" s="15">
        <v>12822</v>
      </c>
      <c r="F274">
        <v>84</v>
      </c>
      <c r="G274">
        <v>18</v>
      </c>
      <c r="H274" s="15">
        <v>242068</v>
      </c>
      <c r="I274" s="15">
        <v>326</v>
      </c>
      <c r="J274" s="15">
        <v>78718</v>
      </c>
      <c r="K274" s="15">
        <v>199</v>
      </c>
      <c r="L274">
        <v>139</v>
      </c>
      <c r="M274">
        <v>-4</v>
      </c>
      <c r="N274">
        <v>-3</v>
      </c>
      <c r="O274" s="15">
        <v>1494</v>
      </c>
      <c r="P274" s="15">
        <v>268</v>
      </c>
      <c r="Q274" s="15">
        <v>1762</v>
      </c>
      <c r="R274">
        <v>1.0892742453436095</v>
      </c>
      <c r="S274" s="15">
        <v>58</v>
      </c>
      <c r="T274" t="s">
        <v>398</v>
      </c>
      <c r="U274" s="15" t="str">
        <f>TEXT(EvolucionIncidencia[[#This Row],[Fecha]],"DDDD")</f>
        <v>viernes</v>
      </c>
      <c r="V2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0.98305084745762716</v>
      </c>
      <c r="W2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64.57305985738833</v>
      </c>
      <c r="X274" s="2">
        <f>IF(EvolucionIncidencia[[#This Row],[Fecha]]&lt;=MIN(EvolucionIncidencia[Fecha])+14,"",EvolucionIncidencia[[#This Row],[NuevasAltas]]-EvolucionIncidencia[[#This Row],[Previsión Altas]])</f>
        <v>-6.5730598573883299</v>
      </c>
      <c r="Y2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945</v>
      </c>
      <c r="Z2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1563</v>
      </c>
      <c r="AA274" s="2">
        <f>IF(LEN(EvolucionIncidencia[[#This Row],[Nuevos 7 dias]])=0,"",EvolucionIncidencia[[#This Row],[Nuevos 7 dias]]/_xlfn.MAXIFS(EvolucionIncidencia[Nuevos 7 dias],EvolucionIncidencia[Area_Sanitaria],EvolucionIncidencia[[#This Row],[Area_Sanitaria]]))</f>
        <v>0.31722054380664655</v>
      </c>
      <c r="AB274" s="2">
        <f>IF(LEN(EvolucionIncidencia[[#This Row],[Nuevos 14 dias]])=0,"",EvolucionIncidencia[[#This Row],[Nuevos 14 dias]]/_xlfn.MAXIFS(EvolucionIncidencia[Nuevos 14 dias],EvolucionIncidencia[Area_Sanitaria],EvolucionIncidencia[[#This Row],[Area_Sanitaria]]))</f>
        <v>0.28747471031819016</v>
      </c>
    </row>
    <row r="275" spans="1:28" hidden="1" x14ac:dyDescent="0.3">
      <c r="A275" s="1">
        <v>44204</v>
      </c>
      <c r="B275" s="2" t="s">
        <v>5</v>
      </c>
      <c r="C275" s="15">
        <v>4294</v>
      </c>
      <c r="D275" s="15">
        <v>437</v>
      </c>
      <c r="E275" s="15">
        <v>3762</v>
      </c>
      <c r="F275">
        <v>35</v>
      </c>
      <c r="G275">
        <v>4</v>
      </c>
      <c r="H275" s="15">
        <v>80005</v>
      </c>
      <c r="I275" s="15">
        <v>93</v>
      </c>
      <c r="J275" s="15">
        <v>30507</v>
      </c>
      <c r="K275" s="15">
        <v>33</v>
      </c>
      <c r="L275">
        <v>5</v>
      </c>
      <c r="M275">
        <v>-8</v>
      </c>
      <c r="N275">
        <v>1</v>
      </c>
      <c r="O275" s="15">
        <v>368</v>
      </c>
      <c r="P275" s="15">
        <v>46</v>
      </c>
      <c r="Q275" s="15">
        <v>414</v>
      </c>
      <c r="R275">
        <v>1.0115740740740742</v>
      </c>
      <c r="S275" s="15">
        <v>27</v>
      </c>
      <c r="T275" t="s">
        <v>398</v>
      </c>
      <c r="U275" s="15" t="str">
        <f>TEXT(EvolucionIncidencia[[#This Row],[Fecha]],"DDDD")</f>
        <v>viernes</v>
      </c>
      <c r="V2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2.25</v>
      </c>
      <c r="W2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14.78646803183263</v>
      </c>
      <c r="X275" s="2">
        <f>IF(EvolucionIncidencia[[#This Row],[Fecha]]&lt;=MIN(EvolucionIncidencia[Fecha])+14,"",EvolucionIncidencia[[#This Row],[NuevasAltas]]-EvolucionIncidencia[[#This Row],[Previsión Altas]])</f>
        <v>12.21353196816737</v>
      </c>
      <c r="Y2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256</v>
      </c>
      <c r="Z2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394</v>
      </c>
      <c r="AA275" s="2">
        <f>IF(LEN(EvolucionIncidencia[[#This Row],[Nuevos 7 dias]])=0,"",EvolucionIncidencia[[#This Row],[Nuevos 7 dias]]/_xlfn.MAXIFS(EvolucionIncidencia[Nuevos 7 dias],EvolucionIncidencia[Area_Sanitaria],EvolucionIncidencia[[#This Row],[Area_Sanitaria]]))</f>
        <v>0.30658682634730539</v>
      </c>
      <c r="AB275" s="2">
        <f>IF(LEN(EvolucionIncidencia[[#This Row],[Nuevos 14 dias]])=0,"",EvolucionIncidencia[[#This Row],[Nuevos 14 dias]]/_xlfn.MAXIFS(EvolucionIncidencia[Nuevos 14 dias],EvolucionIncidencia[Area_Sanitaria],EvolucionIncidencia[[#This Row],[Area_Sanitaria]]))</f>
        <v>0.24039048200122026</v>
      </c>
    </row>
    <row r="276" spans="1:28" hidden="1" x14ac:dyDescent="0.3">
      <c r="A276" s="1">
        <v>44204</v>
      </c>
      <c r="B276" s="2" t="s">
        <v>8</v>
      </c>
      <c r="C276" s="15">
        <v>7598</v>
      </c>
      <c r="D276" s="15">
        <v>699</v>
      </c>
      <c r="E276" s="15">
        <v>6750</v>
      </c>
      <c r="F276">
        <v>18</v>
      </c>
      <c r="G276">
        <v>0</v>
      </c>
      <c r="H276" s="15">
        <v>131831</v>
      </c>
      <c r="I276" s="15">
        <v>146</v>
      </c>
      <c r="J276" s="15">
        <v>75975</v>
      </c>
      <c r="K276" s="15">
        <v>96</v>
      </c>
      <c r="L276">
        <v>73</v>
      </c>
      <c r="M276">
        <v>1</v>
      </c>
      <c r="N276">
        <v>0</v>
      </c>
      <c r="O276" s="15">
        <v>791</v>
      </c>
      <c r="P276" s="15">
        <v>281</v>
      </c>
      <c r="Q276" s="15">
        <v>1072</v>
      </c>
      <c r="R276">
        <v>1.1166134185303513</v>
      </c>
      <c r="S276" s="15">
        <v>22</v>
      </c>
      <c r="T276" t="s">
        <v>398</v>
      </c>
      <c r="U276" s="15" t="str">
        <f>TEXT(EvolucionIncidencia[[#This Row],[Fecha]],"DDDD")</f>
        <v>viernes</v>
      </c>
      <c r="V2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0.62857142857142856</v>
      </c>
      <c r="W2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41.621375871478826</v>
      </c>
      <c r="X276" s="2">
        <f>IF(EvolucionIncidencia[[#This Row],[Fecha]]&lt;=MIN(EvolucionIncidencia[Fecha])+14,"",EvolucionIncidencia[[#This Row],[NuevasAltas]]-EvolucionIncidencia[[#This Row],[Previsión Altas]])</f>
        <v>-19.621375871478826</v>
      </c>
      <c r="Y2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408</v>
      </c>
      <c r="Z2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659</v>
      </c>
      <c r="AA276" s="2">
        <f>IF(LEN(EvolucionIncidencia[[#This Row],[Nuevos 7 dias]])=0,"",EvolucionIncidencia[[#This Row],[Nuevos 7 dias]]/_xlfn.MAXIFS(EvolucionIncidencia[Nuevos 7 dias],EvolucionIncidencia[Area_Sanitaria],EvolucionIncidencia[[#This Row],[Area_Sanitaria]]))</f>
        <v>0.36889692585895117</v>
      </c>
      <c r="AB276" s="2">
        <f>IF(LEN(EvolucionIncidencia[[#This Row],[Nuevos 14 dias]])=0,"",EvolucionIncidencia[[#This Row],[Nuevos 14 dias]]/_xlfn.MAXIFS(EvolucionIncidencia[Nuevos 14 dias],EvolucionIncidencia[Area_Sanitaria],EvolucionIncidencia[[#This Row],[Area_Sanitaria]]))</f>
        <v>0.33282828282828281</v>
      </c>
    </row>
    <row r="277" spans="1:28" hidden="1" x14ac:dyDescent="0.3">
      <c r="A277" s="1">
        <v>44204</v>
      </c>
      <c r="B277" s="2" t="s">
        <v>9</v>
      </c>
      <c r="C277" s="15">
        <v>9209</v>
      </c>
      <c r="D277" s="15">
        <v>856</v>
      </c>
      <c r="E277" s="15">
        <v>8040</v>
      </c>
      <c r="F277">
        <v>30</v>
      </c>
      <c r="G277">
        <v>3</v>
      </c>
      <c r="H277" s="15">
        <v>142045</v>
      </c>
      <c r="I277" s="15">
        <v>313</v>
      </c>
      <c r="J277" s="15">
        <v>69256</v>
      </c>
      <c r="K277" s="15">
        <v>100</v>
      </c>
      <c r="L277">
        <v>38</v>
      </c>
      <c r="M277">
        <v>-2</v>
      </c>
      <c r="N277">
        <v>1</v>
      </c>
      <c r="O277" s="15">
        <v>1123</v>
      </c>
      <c r="P277" s="15">
        <v>369</v>
      </c>
      <c r="Q277" s="15">
        <v>1492</v>
      </c>
      <c r="R277">
        <v>1.0464547677261613</v>
      </c>
      <c r="S277" s="15">
        <v>62</v>
      </c>
      <c r="T277" t="s">
        <v>398</v>
      </c>
      <c r="U277" s="15" t="str">
        <f>TEXT(EvolucionIncidencia[[#This Row],[Fecha]],"DDDD")</f>
        <v>viernes</v>
      </c>
      <c r="V2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1.4761904761904763</v>
      </c>
      <c r="W2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47.466132163806883</v>
      </c>
      <c r="X277" s="2">
        <f>IF(EvolucionIncidencia[[#This Row],[Fecha]]&lt;=MIN(EvolucionIncidencia[Fecha])+14,"",EvolucionIncidencia[[#This Row],[NuevasAltas]]-EvolucionIncidencia[[#This Row],[Previsión Altas]])</f>
        <v>14.533867836193117</v>
      </c>
      <c r="Y2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556</v>
      </c>
      <c r="Z2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838</v>
      </c>
      <c r="AA277" s="2">
        <f>IF(LEN(EvolucionIncidencia[[#This Row],[Nuevos 7 dias]])=0,"",EvolucionIncidencia[[#This Row],[Nuevos 7 dias]]/_xlfn.MAXIFS(EvolucionIncidencia[Nuevos 7 dias],EvolucionIncidencia[Area_Sanitaria],EvolucionIncidencia[[#This Row],[Area_Sanitaria]]))</f>
        <v>0.35436583811344807</v>
      </c>
      <c r="AB277" s="2">
        <f>IF(LEN(EvolucionIncidencia[[#This Row],[Nuevos 14 dias]])=0,"",EvolucionIncidencia[[#This Row],[Nuevos 14 dias]]/_xlfn.MAXIFS(EvolucionIncidencia[Nuevos 14 dias],EvolucionIncidencia[Area_Sanitaria],EvolucionIncidencia[[#This Row],[Area_Sanitaria]]))</f>
        <v>0.29600847756976334</v>
      </c>
    </row>
    <row r="278" spans="1:28" x14ac:dyDescent="0.3">
      <c r="A278" s="1">
        <v>44204</v>
      </c>
      <c r="B278" s="2" t="s">
        <v>6</v>
      </c>
      <c r="C278" s="15">
        <v>7368</v>
      </c>
      <c r="D278" s="15">
        <v>724</v>
      </c>
      <c r="E278" s="15">
        <v>6563</v>
      </c>
      <c r="F278">
        <v>40</v>
      </c>
      <c r="G278">
        <v>12</v>
      </c>
      <c r="H278" s="15">
        <v>119477</v>
      </c>
      <c r="I278" s="15">
        <v>84</v>
      </c>
      <c r="J278" s="15">
        <v>47095</v>
      </c>
      <c r="K278" s="15">
        <v>63</v>
      </c>
      <c r="L278">
        <v>7</v>
      </c>
      <c r="M278">
        <v>1</v>
      </c>
      <c r="N278">
        <v>0</v>
      </c>
      <c r="O278" s="15">
        <v>504</v>
      </c>
      <c r="P278" s="15">
        <v>119</v>
      </c>
      <c r="Q278" s="15">
        <v>623</v>
      </c>
      <c r="R278">
        <v>1.0097629009762901</v>
      </c>
      <c r="S278" s="15">
        <v>56</v>
      </c>
      <c r="T278" t="s">
        <v>398</v>
      </c>
      <c r="U278" s="15" t="str">
        <f>TEXT(EvolucionIncidencia[[#This Row],[Fecha]],"DDDD")</f>
        <v>viernes</v>
      </c>
      <c r="V2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1.4358974358974359</v>
      </c>
      <c r="W2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41.43493115039071</v>
      </c>
      <c r="X278" s="2">
        <f>IF(EvolucionIncidencia[[#This Row],[Fecha]]&lt;=MIN(EvolucionIncidencia[Fecha])+14,"",EvolucionIncidencia[[#This Row],[NuevasAltas]]-EvolucionIncidencia[[#This Row],[Previsión Altas]])</f>
        <v>14.56506884960929</v>
      </c>
      <c r="Y2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330</v>
      </c>
      <c r="Z2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632</v>
      </c>
      <c r="AA278" s="2">
        <f>IF(LEN(EvolucionIncidencia[[#This Row],[Nuevos 7 dias]])=0,"",EvolucionIncidencia[[#This Row],[Nuevos 7 dias]]/_xlfn.MAXIFS(EvolucionIncidencia[Nuevos 7 dias],EvolucionIncidencia[Area_Sanitaria],EvolucionIncidencia[[#This Row],[Area_Sanitaria]]))</f>
        <v>0.2509505703422053</v>
      </c>
      <c r="AB278" s="2">
        <f>IF(LEN(EvolucionIncidencia[[#This Row],[Nuevos 14 dias]])=0,"",EvolucionIncidencia[[#This Row],[Nuevos 14 dias]]/_xlfn.MAXIFS(EvolucionIncidencia[Nuevos 14 dias],EvolucionIncidencia[Area_Sanitaria],EvolucionIncidencia[[#This Row],[Area_Sanitaria]]))</f>
        <v>0.25997531879884822</v>
      </c>
    </row>
    <row r="279" spans="1:28" hidden="1" x14ac:dyDescent="0.3">
      <c r="A279" s="1">
        <v>44204</v>
      </c>
      <c r="B279" s="2" t="s">
        <v>7</v>
      </c>
      <c r="C279" s="15">
        <v>11280</v>
      </c>
      <c r="D279" s="15">
        <v>1650</v>
      </c>
      <c r="E279" s="15">
        <v>9430</v>
      </c>
      <c r="F279">
        <v>94</v>
      </c>
      <c r="G279">
        <v>8</v>
      </c>
      <c r="H279" s="15">
        <v>201981</v>
      </c>
      <c r="I279" s="15">
        <v>202</v>
      </c>
      <c r="J279" s="15">
        <v>94266</v>
      </c>
      <c r="K279" s="15">
        <v>203</v>
      </c>
      <c r="L279">
        <v>133</v>
      </c>
      <c r="M279">
        <v>2</v>
      </c>
      <c r="N279">
        <v>-1</v>
      </c>
      <c r="O279" s="15">
        <v>2243</v>
      </c>
      <c r="P279" s="15">
        <v>415</v>
      </c>
      <c r="Q279" s="15">
        <v>2658</v>
      </c>
      <c r="R279">
        <v>1.0876730388925511</v>
      </c>
      <c r="S279" s="15">
        <v>70</v>
      </c>
      <c r="T279" t="s">
        <v>398</v>
      </c>
      <c r="U279" s="15" t="str">
        <f>TEXT(EvolucionIncidencia[[#This Row],[Fecha]],"DDDD")</f>
        <v>viernes</v>
      </c>
      <c r="V2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0.70707070707070707</v>
      </c>
      <c r="W2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94.035477920874641</v>
      </c>
      <c r="X279" s="2">
        <f>IF(EvolucionIncidencia[[#This Row],[Fecha]]&lt;=MIN(EvolucionIncidencia[Fecha])+14,"",EvolucionIncidencia[[#This Row],[NuevasAltas]]-EvolucionIncidencia[[#This Row],[Previsión Altas]])</f>
        <v>-24.035477920874641</v>
      </c>
      <c r="Y2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823</v>
      </c>
      <c r="Z2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1511</v>
      </c>
      <c r="AA279" s="2">
        <f>IF(LEN(EvolucionIncidencia[[#This Row],[Nuevos 7 dias]])=0,"",EvolucionIncidencia[[#This Row],[Nuevos 7 dias]]/_xlfn.MAXIFS(EvolucionIncidencia[Nuevos 7 dias],EvolucionIncidencia[Area_Sanitaria],EvolucionIncidencia[[#This Row],[Area_Sanitaria]]))</f>
        <v>0.48468786808009423</v>
      </c>
      <c r="AB279" s="2">
        <f>IF(LEN(EvolucionIncidencia[[#This Row],[Nuevos 14 dias]])=0,"",EvolucionIncidencia[[#This Row],[Nuevos 14 dias]]/_xlfn.MAXIFS(EvolucionIncidencia[Nuevos 14 dias],EvolucionIncidencia[Area_Sanitaria],EvolucionIncidencia[[#This Row],[Area_Sanitaria]]))</f>
        <v>0.47485857950974231</v>
      </c>
    </row>
    <row r="280" spans="1:28" hidden="1" x14ac:dyDescent="0.3">
      <c r="A280" s="1">
        <v>44204</v>
      </c>
      <c r="B280" s="2" t="s">
        <v>2</v>
      </c>
      <c r="C280" s="15">
        <v>13411</v>
      </c>
      <c r="D280" s="15">
        <v>1330</v>
      </c>
      <c r="E280" s="15">
        <v>11805</v>
      </c>
      <c r="F280">
        <v>41</v>
      </c>
      <c r="G280">
        <v>18</v>
      </c>
      <c r="H280" s="15">
        <v>250599</v>
      </c>
      <c r="I280" s="15">
        <v>277</v>
      </c>
      <c r="J280" s="15">
        <v>59226</v>
      </c>
      <c r="K280" s="15">
        <v>220</v>
      </c>
      <c r="L280">
        <v>108</v>
      </c>
      <c r="M280">
        <v>2</v>
      </c>
      <c r="N280">
        <v>2</v>
      </c>
      <c r="O280" s="15">
        <v>1867</v>
      </c>
      <c r="P280" s="15">
        <v>189</v>
      </c>
      <c r="Q280" s="15">
        <v>2056</v>
      </c>
      <c r="R280">
        <v>1.0883797054009821</v>
      </c>
      <c r="S280" s="15">
        <v>111</v>
      </c>
      <c r="T280" t="s">
        <v>398</v>
      </c>
      <c r="U280" s="15" t="str">
        <f>TEXT(EvolucionIncidencia[[#This Row],[Fecha]],"DDDD")</f>
        <v>viernes</v>
      </c>
      <c r="V2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1.2613636363636365</v>
      </c>
      <c r="W2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101.78683280980468</v>
      </c>
      <c r="X280" s="2">
        <f>IF(EvolucionIncidencia[[#This Row],[Fecha]]&lt;=MIN(EvolucionIncidencia[Fecha])+14,"",EvolucionIncidencia[[#This Row],[NuevasAltas]]-EvolucionIncidencia[[#This Row],[Previsión Altas]])</f>
        <v>9.2131671901953212</v>
      </c>
      <c r="Y2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727</v>
      </c>
      <c r="Z2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1263</v>
      </c>
      <c r="AA280" s="2">
        <f>IF(LEN(EvolucionIncidencia[[#This Row],[Nuevos 7 dias]])=0,"",EvolucionIncidencia[[#This Row],[Nuevos 7 dias]]/_xlfn.MAXIFS(EvolucionIncidencia[Nuevos 7 dias],EvolucionIncidencia[Area_Sanitaria],EvolucionIncidencia[[#This Row],[Area_Sanitaria]]))</f>
        <v>0.37493553378029915</v>
      </c>
      <c r="AB280" s="2">
        <f>IF(LEN(EvolucionIncidencia[[#This Row],[Nuevos 14 dias]])=0,"",EvolucionIncidencia[[#This Row],[Nuevos 14 dias]]/_xlfn.MAXIFS(EvolucionIncidencia[Nuevos 14 dias],EvolucionIncidencia[Area_Sanitaria],EvolucionIncidencia[[#This Row],[Area_Sanitaria]]))</f>
        <v>0.34764657308009911</v>
      </c>
    </row>
    <row r="281" spans="1:28" hidden="1" x14ac:dyDescent="0.3">
      <c r="A281" s="1">
        <v>44204</v>
      </c>
      <c r="B281" s="2" t="s">
        <v>3</v>
      </c>
      <c r="C281" s="15">
        <v>67999</v>
      </c>
      <c r="D281" s="15">
        <v>7392</v>
      </c>
      <c r="E281" s="15">
        <v>59172</v>
      </c>
      <c r="F281">
        <v>342</v>
      </c>
      <c r="G281">
        <v>63</v>
      </c>
      <c r="H281" s="15">
        <v>1168006</v>
      </c>
      <c r="I281" s="15">
        <v>1441</v>
      </c>
      <c r="J281" s="15">
        <v>455043</v>
      </c>
      <c r="K281" s="15">
        <v>914</v>
      </c>
      <c r="L281">
        <v>503</v>
      </c>
      <c r="M281">
        <v>-8</v>
      </c>
      <c r="N281">
        <v>0</v>
      </c>
      <c r="O281" s="15">
        <v>8390</v>
      </c>
      <c r="P281" s="15">
        <v>1687</v>
      </c>
      <c r="Q281" s="15">
        <v>10077</v>
      </c>
      <c r="R281">
        <v>1.0730149513717522</v>
      </c>
      <c r="S281" s="15">
        <v>406</v>
      </c>
      <c r="T281" t="s">
        <v>398</v>
      </c>
      <c r="U281" s="15" t="str">
        <f>TEXT(EvolucionIncidencia[[#This Row],[Fecha]],"DDDD")</f>
        <v>viernes</v>
      </c>
      <c r="V2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1.0855614973262031</v>
      </c>
      <c r="W2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380.6475741947836</v>
      </c>
      <c r="X281" s="2">
        <f>IF(EvolucionIncidencia[[#This Row],[Fecha]]&lt;=MIN(EvolucionIncidencia[Fecha])+14,"",EvolucionIncidencia[[#This Row],[NuevasAltas]]-EvolucionIncidencia[[#This Row],[Previsión Altas]])</f>
        <v>25.352425805216399</v>
      </c>
      <c r="Y2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4045</v>
      </c>
      <c r="Z2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6860</v>
      </c>
      <c r="AA281" s="2">
        <f>IF(LEN(EvolucionIncidencia[[#This Row],[Nuevos 7 dias]])=0,"",EvolucionIncidencia[[#This Row],[Nuevos 7 dias]]/_xlfn.MAXIFS(EvolucionIncidencia[Nuevos 7 dias],EvolucionIncidencia[Area_Sanitaria],EvolucionIncidencia[[#This Row],[Area_Sanitaria]]))</f>
        <v>0.35657616361071931</v>
      </c>
      <c r="AB281" s="2">
        <f>IF(LEN(EvolucionIncidencia[[#This Row],[Nuevos 14 dias]])=0,"",EvolucionIncidencia[[#This Row],[Nuevos 14 dias]]/_xlfn.MAXIFS(EvolucionIncidencia[Nuevos 14 dias],EvolucionIncidencia[Area_Sanitaria],EvolucionIncidencia[[#This Row],[Area_Sanitaria]]))</f>
        <v>0.32889059353725192</v>
      </c>
    </row>
    <row r="282" spans="1:28" hidden="1" x14ac:dyDescent="0.3">
      <c r="A282" s="1">
        <v>44205</v>
      </c>
      <c r="B282" s="2" t="s">
        <v>4</v>
      </c>
      <c r="C282" s="15">
        <v>15023</v>
      </c>
      <c r="D282" s="15">
        <v>1831</v>
      </c>
      <c r="E282" s="15">
        <v>12871</v>
      </c>
      <c r="F282">
        <v>83</v>
      </c>
      <c r="G282">
        <v>18</v>
      </c>
      <c r="H282" s="15">
        <v>243463</v>
      </c>
      <c r="I282" s="15">
        <v>327</v>
      </c>
      <c r="J282" s="15">
        <v>78812</v>
      </c>
      <c r="K282" s="15">
        <v>184</v>
      </c>
      <c r="L282">
        <v>135</v>
      </c>
      <c r="M282">
        <v>-1</v>
      </c>
      <c r="N282">
        <v>0</v>
      </c>
      <c r="O282" s="15">
        <v>1395</v>
      </c>
      <c r="P282" s="15">
        <v>94</v>
      </c>
      <c r="Q282" s="15">
        <v>1489</v>
      </c>
      <c r="R282">
        <v>1.0795990566037736</v>
      </c>
      <c r="S282" s="15">
        <v>49</v>
      </c>
      <c r="T282" t="s">
        <v>399</v>
      </c>
      <c r="U282" s="15" t="str">
        <f>TEXT(EvolucionIncidencia[[#This Row],[Fecha]],"DDDD")</f>
        <v>sábado</v>
      </c>
      <c r="V2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1.3611111111111112</v>
      </c>
      <c r="W2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39.155246892045518</v>
      </c>
      <c r="X282" s="2">
        <f>IF(EvolucionIncidencia[[#This Row],[Fecha]]&lt;=MIN(EvolucionIncidencia[Fecha])+14,"",EvolucionIncidencia[[#This Row],[NuevasAltas]]-EvolucionIncidencia[[#This Row],[Previsión Altas]])</f>
        <v>9.8447531079544817</v>
      </c>
      <c r="Y2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1083</v>
      </c>
      <c r="Z2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1711</v>
      </c>
      <c r="AA282" s="2">
        <f>IF(LEN(EvolucionIncidencia[[#This Row],[Nuevos 7 dias]])=0,"",EvolucionIncidencia[[#This Row],[Nuevos 7 dias]]/_xlfn.MAXIFS(EvolucionIncidencia[Nuevos 7 dias],EvolucionIncidencia[Area_Sanitaria],EvolucionIncidencia[[#This Row],[Area_Sanitaria]]))</f>
        <v>0.36354481369587111</v>
      </c>
      <c r="AB282" s="2">
        <f>IF(LEN(EvolucionIncidencia[[#This Row],[Nuevos 14 dias]])=0,"",EvolucionIncidencia[[#This Row],[Nuevos 14 dias]]/_xlfn.MAXIFS(EvolucionIncidencia[Nuevos 14 dias],EvolucionIncidencia[Area_Sanitaria],EvolucionIncidencia[[#This Row],[Area_Sanitaria]]))</f>
        <v>0.31469560419348908</v>
      </c>
    </row>
    <row r="283" spans="1:28" hidden="1" x14ac:dyDescent="0.3">
      <c r="A283" s="1">
        <v>44205</v>
      </c>
      <c r="B283" s="2" t="s">
        <v>5</v>
      </c>
      <c r="C283" s="15">
        <v>4358</v>
      </c>
      <c r="D283" s="15">
        <v>491</v>
      </c>
      <c r="E283" s="15">
        <v>3772</v>
      </c>
      <c r="F283">
        <v>43</v>
      </c>
      <c r="G283">
        <v>3</v>
      </c>
      <c r="H283" s="15">
        <v>80740</v>
      </c>
      <c r="I283" s="15">
        <v>93</v>
      </c>
      <c r="J283" s="15">
        <v>30543</v>
      </c>
      <c r="K283" s="15">
        <v>64</v>
      </c>
      <c r="L283">
        <v>54</v>
      </c>
      <c r="M283">
        <v>8</v>
      </c>
      <c r="N283">
        <v>-1</v>
      </c>
      <c r="O283" s="15">
        <v>735</v>
      </c>
      <c r="P283" s="15">
        <v>36</v>
      </c>
      <c r="Q283" s="15">
        <v>771</v>
      </c>
      <c r="R283">
        <v>1.1235697940503433</v>
      </c>
      <c r="S283" s="15">
        <v>10</v>
      </c>
      <c r="T283" t="s">
        <v>399</v>
      </c>
      <c r="U283" s="15" t="str">
        <f>TEXT(EvolucionIncidencia[[#This Row],[Fecha]],"DDDD")</f>
        <v>sábado</v>
      </c>
      <c r="V2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1.1111111111111112</v>
      </c>
      <c r="W2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11.9971090883906</v>
      </c>
      <c r="X283" s="2">
        <f>IF(EvolucionIncidencia[[#This Row],[Fecha]]&lt;=MIN(EvolucionIncidencia[Fecha])+14,"",EvolucionIncidencia[[#This Row],[NuevasAltas]]-EvolucionIncidencia[[#This Row],[Previsión Altas]])</f>
        <v>-1.9971090883905998</v>
      </c>
      <c r="Y2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309</v>
      </c>
      <c r="Z2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449</v>
      </c>
      <c r="AA283" s="2">
        <f>IF(LEN(EvolucionIncidencia[[#This Row],[Nuevos 7 dias]])=0,"",EvolucionIncidencia[[#This Row],[Nuevos 7 dias]]/_xlfn.MAXIFS(EvolucionIncidencia[Nuevos 7 dias],EvolucionIncidencia[Area_Sanitaria],EvolucionIncidencia[[#This Row],[Area_Sanitaria]]))</f>
        <v>0.37005988023952097</v>
      </c>
      <c r="AB283" s="2">
        <f>IF(LEN(EvolucionIncidencia[[#This Row],[Nuevos 14 dias]])=0,"",EvolucionIncidencia[[#This Row],[Nuevos 14 dias]]/_xlfn.MAXIFS(EvolucionIncidencia[Nuevos 14 dias],EvolucionIncidencia[Area_Sanitaria],EvolucionIncidencia[[#This Row],[Area_Sanitaria]]))</f>
        <v>0.27394752898108604</v>
      </c>
    </row>
    <row r="284" spans="1:28" hidden="1" x14ac:dyDescent="0.3">
      <c r="A284" s="1">
        <v>44205</v>
      </c>
      <c r="B284" s="2" t="s">
        <v>8</v>
      </c>
      <c r="C284" s="15">
        <v>7673</v>
      </c>
      <c r="D284" s="15">
        <v>751</v>
      </c>
      <c r="E284" s="15">
        <v>6773</v>
      </c>
      <c r="F284">
        <v>20</v>
      </c>
      <c r="G284">
        <v>2</v>
      </c>
      <c r="H284" s="15">
        <v>132730</v>
      </c>
      <c r="I284" s="15">
        <v>146</v>
      </c>
      <c r="J284" s="15">
        <v>76051</v>
      </c>
      <c r="K284" s="15">
        <v>75</v>
      </c>
      <c r="L284">
        <v>52</v>
      </c>
      <c r="M284">
        <v>2</v>
      </c>
      <c r="N284">
        <v>2</v>
      </c>
      <c r="O284" s="15">
        <v>899</v>
      </c>
      <c r="P284" s="15">
        <v>76</v>
      </c>
      <c r="Q284" s="15">
        <v>975</v>
      </c>
      <c r="R284">
        <v>1.0743919885550788</v>
      </c>
      <c r="S284" s="15">
        <v>23</v>
      </c>
      <c r="T284" t="s">
        <v>399</v>
      </c>
      <c r="U284" s="15" t="str">
        <f>TEXT(EvolucionIncidencia[[#This Row],[Fecha]],"DDDD")</f>
        <v>sábado</v>
      </c>
      <c r="V2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2.0909090909090908</v>
      </c>
      <c r="W2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12.086159591831047</v>
      </c>
      <c r="X284" s="2">
        <f>IF(EvolucionIncidencia[[#This Row],[Fecha]]&lt;=MIN(EvolucionIncidencia[Fecha])+14,"",EvolucionIncidencia[[#This Row],[NuevasAltas]]-EvolucionIncidencia[[#This Row],[Previsión Altas]])</f>
        <v>10.913840408168953</v>
      </c>
      <c r="Y2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450</v>
      </c>
      <c r="Z2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723</v>
      </c>
      <c r="AA284" s="2">
        <f>IF(LEN(EvolucionIncidencia[[#This Row],[Nuevos 7 dias]])=0,"",EvolucionIncidencia[[#This Row],[Nuevos 7 dias]]/_xlfn.MAXIFS(EvolucionIncidencia[Nuevos 7 dias],EvolucionIncidencia[Area_Sanitaria],EvolucionIncidencia[[#This Row],[Area_Sanitaria]]))</f>
        <v>0.40687160940325495</v>
      </c>
      <c r="AB284" s="2">
        <f>IF(LEN(EvolucionIncidencia[[#This Row],[Nuevos 14 dias]])=0,"",EvolucionIncidencia[[#This Row],[Nuevos 14 dias]]/_xlfn.MAXIFS(EvolucionIncidencia[Nuevos 14 dias],EvolucionIncidencia[Area_Sanitaria],EvolucionIncidencia[[#This Row],[Area_Sanitaria]]))</f>
        <v>0.36515151515151517</v>
      </c>
    </row>
    <row r="285" spans="1:28" hidden="1" x14ac:dyDescent="0.3">
      <c r="A285" s="1">
        <v>44205</v>
      </c>
      <c r="B285" s="2" t="s">
        <v>9</v>
      </c>
      <c r="C285" s="15">
        <v>9319</v>
      </c>
      <c r="D285" s="15">
        <v>947</v>
      </c>
      <c r="E285" s="15">
        <v>8058</v>
      </c>
      <c r="F285">
        <v>37</v>
      </c>
      <c r="G285">
        <v>3</v>
      </c>
      <c r="H285" s="15">
        <v>143165</v>
      </c>
      <c r="I285" s="15">
        <v>314</v>
      </c>
      <c r="J285" s="15">
        <v>69514</v>
      </c>
      <c r="K285" s="15">
        <v>110</v>
      </c>
      <c r="L285">
        <v>91</v>
      </c>
      <c r="M285">
        <v>7</v>
      </c>
      <c r="N285">
        <v>0</v>
      </c>
      <c r="O285" s="15">
        <v>1120</v>
      </c>
      <c r="P285" s="15">
        <v>258</v>
      </c>
      <c r="Q285" s="15">
        <v>1378</v>
      </c>
      <c r="R285">
        <v>1.1063084112149533</v>
      </c>
      <c r="S285" s="15">
        <v>18</v>
      </c>
      <c r="T285" t="s">
        <v>399</v>
      </c>
      <c r="U285" s="15" t="str">
        <f>TEXT(EvolucionIncidencia[[#This Row],[Fecha]],"DDDD")</f>
        <v>sábado</v>
      </c>
      <c r="V2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1.125</v>
      </c>
      <c r="W2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18.479088311689434</v>
      </c>
      <c r="X285" s="2">
        <f>IF(EvolucionIncidencia[[#This Row],[Fecha]]&lt;=MIN(EvolucionIncidencia[Fecha])+14,"",EvolucionIncidencia[[#This Row],[NuevasAltas]]-EvolucionIncidencia[[#This Row],[Previsión Altas]])</f>
        <v>-0.47908831168943422</v>
      </c>
      <c r="Y2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636</v>
      </c>
      <c r="Z2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932</v>
      </c>
      <c r="AA285" s="2">
        <f>IF(LEN(EvolucionIncidencia[[#This Row],[Nuevos 7 dias]])=0,"",EvolucionIncidencia[[#This Row],[Nuevos 7 dias]]/_xlfn.MAXIFS(EvolucionIncidencia[Nuevos 7 dias],EvolucionIncidencia[Area_Sanitaria],EvolucionIncidencia[[#This Row],[Area_Sanitaria]]))</f>
        <v>0.40535372848948376</v>
      </c>
      <c r="AB285" s="2">
        <f>IF(LEN(EvolucionIncidencia[[#This Row],[Nuevos 14 dias]])=0,"",EvolucionIncidencia[[#This Row],[Nuevos 14 dias]]/_xlfn.MAXIFS(EvolucionIncidencia[Nuevos 14 dias],EvolucionIncidencia[Area_Sanitaria],EvolucionIncidencia[[#This Row],[Area_Sanitaria]]))</f>
        <v>0.32921229247615685</v>
      </c>
    </row>
    <row r="286" spans="1:28" x14ac:dyDescent="0.3">
      <c r="A286" s="1">
        <v>44205</v>
      </c>
      <c r="B286" s="2" t="s">
        <v>6</v>
      </c>
      <c r="C286" s="15">
        <v>7418</v>
      </c>
      <c r="D286" s="15">
        <v>736</v>
      </c>
      <c r="E286" s="15">
        <v>6599</v>
      </c>
      <c r="F286">
        <v>38</v>
      </c>
      <c r="G286">
        <v>12</v>
      </c>
      <c r="H286" s="15">
        <v>120151</v>
      </c>
      <c r="I286" s="15">
        <v>86</v>
      </c>
      <c r="J286" s="15">
        <v>47192</v>
      </c>
      <c r="K286" s="15">
        <v>50</v>
      </c>
      <c r="L286">
        <v>12</v>
      </c>
      <c r="M286">
        <v>-2</v>
      </c>
      <c r="N286">
        <v>0</v>
      </c>
      <c r="O286" s="15">
        <v>674</v>
      </c>
      <c r="P286" s="15">
        <v>97</v>
      </c>
      <c r="Q286" s="15">
        <v>771</v>
      </c>
      <c r="R286">
        <v>1.0165745856353592</v>
      </c>
      <c r="S286" s="15">
        <v>36</v>
      </c>
      <c r="T286" t="s">
        <v>399</v>
      </c>
      <c r="U286" s="15" t="str">
        <f>TEXT(EvolucionIncidencia[[#This Row],[Fecha]],"DDDD")</f>
        <v>sábado</v>
      </c>
      <c r="V2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0.78260869565217395</v>
      </c>
      <c r="W2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50.868936649911383</v>
      </c>
      <c r="X286" s="2">
        <f>IF(EvolucionIncidencia[[#This Row],[Fecha]]&lt;=MIN(EvolucionIncidencia[Fecha])+14,"",EvolucionIncidencia[[#This Row],[NuevasAltas]]-EvolucionIncidencia[[#This Row],[Previsión Altas]])</f>
        <v>-14.868936649911383</v>
      </c>
      <c r="Y2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354</v>
      </c>
      <c r="Z2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636</v>
      </c>
      <c r="AA286" s="2">
        <f>IF(LEN(EvolucionIncidencia[[#This Row],[Nuevos 7 dias]])=0,"",EvolucionIncidencia[[#This Row],[Nuevos 7 dias]]/_xlfn.MAXIFS(EvolucionIncidencia[Nuevos 7 dias],EvolucionIncidencia[Area_Sanitaria],EvolucionIncidencia[[#This Row],[Area_Sanitaria]]))</f>
        <v>0.26920152091254751</v>
      </c>
      <c r="AB286" s="2">
        <f>IF(LEN(EvolucionIncidencia[[#This Row],[Nuevos 14 dias]])=0,"",EvolucionIncidencia[[#This Row],[Nuevos 14 dias]]/_xlfn.MAXIFS(EvolucionIncidencia[Nuevos 14 dias],EvolucionIncidencia[Area_Sanitaria],EvolucionIncidencia[[#This Row],[Area_Sanitaria]]))</f>
        <v>0.26162073220896748</v>
      </c>
    </row>
    <row r="287" spans="1:28" hidden="1" x14ac:dyDescent="0.3">
      <c r="A287" s="1">
        <v>44205</v>
      </c>
      <c r="B287" s="2" t="s">
        <v>7</v>
      </c>
      <c r="C287" s="15">
        <v>11378</v>
      </c>
      <c r="D287" s="15">
        <v>1642</v>
      </c>
      <c r="E287" s="15">
        <v>9536</v>
      </c>
      <c r="F287">
        <v>98</v>
      </c>
      <c r="G287">
        <v>7</v>
      </c>
      <c r="H287" s="15">
        <v>204277</v>
      </c>
      <c r="I287" s="15">
        <v>202</v>
      </c>
      <c r="J287" s="15">
        <v>94457</v>
      </c>
      <c r="K287" s="15">
        <v>98</v>
      </c>
      <c r="L287">
        <v>-8</v>
      </c>
      <c r="M287">
        <v>4</v>
      </c>
      <c r="N287">
        <v>-1</v>
      </c>
      <c r="O287" s="15">
        <v>2296</v>
      </c>
      <c r="P287" s="15">
        <v>191</v>
      </c>
      <c r="Q287" s="15">
        <v>2487</v>
      </c>
      <c r="R287">
        <v>0.99515151515151512</v>
      </c>
      <c r="S287" s="15">
        <v>106</v>
      </c>
      <c r="T287" t="s">
        <v>399</v>
      </c>
      <c r="U287" s="15" t="str">
        <f>TEXT(EvolucionIncidencia[[#This Row],[Fecha]],"DDDD")</f>
        <v>sábado</v>
      </c>
      <c r="V2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1.3417721518987342</v>
      </c>
      <c r="W2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75.059707838386615</v>
      </c>
      <c r="X287" s="2">
        <f>IF(EvolucionIncidencia[[#This Row],[Fecha]]&lt;=MIN(EvolucionIncidencia[Fecha])+14,"",EvolucionIncidencia[[#This Row],[NuevasAltas]]-EvolucionIncidencia[[#This Row],[Previsión Altas]])</f>
        <v>30.940292161613385</v>
      </c>
      <c r="Y2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855</v>
      </c>
      <c r="Z2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1530</v>
      </c>
      <c r="AA287" s="2">
        <f>IF(LEN(EvolucionIncidencia[[#This Row],[Nuevos 7 dias]])=0,"",EvolucionIncidencia[[#This Row],[Nuevos 7 dias]]/_xlfn.MAXIFS(EvolucionIncidencia[Nuevos 7 dias],EvolucionIncidencia[Area_Sanitaria],EvolucionIncidencia[[#This Row],[Area_Sanitaria]]))</f>
        <v>0.50353356890459366</v>
      </c>
      <c r="AB287" s="2">
        <f>IF(LEN(EvolucionIncidencia[[#This Row],[Nuevos 14 dias]])=0,"",EvolucionIncidencia[[#This Row],[Nuevos 14 dias]]/_xlfn.MAXIFS(EvolucionIncidencia[Nuevos 14 dias],EvolucionIncidencia[Area_Sanitaria],EvolucionIncidencia[[#This Row],[Area_Sanitaria]]))</f>
        <v>0.48082966687617851</v>
      </c>
    </row>
    <row r="288" spans="1:28" hidden="1" x14ac:dyDescent="0.3">
      <c r="A288" s="1">
        <v>44205</v>
      </c>
      <c r="B288" s="2" t="s">
        <v>2</v>
      </c>
      <c r="C288" s="15">
        <v>13547</v>
      </c>
      <c r="D288" s="15">
        <v>1397</v>
      </c>
      <c r="E288" s="15">
        <v>11874</v>
      </c>
      <c r="F288">
        <v>41</v>
      </c>
      <c r="G288">
        <v>16</v>
      </c>
      <c r="H288" s="15">
        <v>252346</v>
      </c>
      <c r="I288" s="15">
        <v>277</v>
      </c>
      <c r="J288" s="15">
        <v>59305</v>
      </c>
      <c r="K288" s="15">
        <v>136</v>
      </c>
      <c r="L288">
        <v>67</v>
      </c>
      <c r="M288">
        <v>0</v>
      </c>
      <c r="N288">
        <v>-2</v>
      </c>
      <c r="O288" s="15">
        <v>1747</v>
      </c>
      <c r="P288" s="15">
        <v>79</v>
      </c>
      <c r="Q288" s="15">
        <v>1826</v>
      </c>
      <c r="R288">
        <v>1.050375939849624</v>
      </c>
      <c r="S288" s="15">
        <v>69</v>
      </c>
      <c r="T288" t="s">
        <v>399</v>
      </c>
      <c r="U288" s="15" t="str">
        <f>TEXT(EvolucionIncidencia[[#This Row],[Fecha]],"DDDD")</f>
        <v>sábado</v>
      </c>
      <c r="V2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1.7692307692307692</v>
      </c>
      <c r="W2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41.580745648280569</v>
      </c>
      <c r="X288" s="2">
        <f>IF(EvolucionIncidencia[[#This Row],[Fecha]]&lt;=MIN(EvolucionIncidencia[Fecha])+14,"",EvolucionIncidencia[[#This Row],[NuevasAltas]]-EvolucionIncidencia[[#This Row],[Previsión Altas]])</f>
        <v>27.419254351719431</v>
      </c>
      <c r="Y2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778</v>
      </c>
      <c r="Z2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1360</v>
      </c>
      <c r="AA288" s="2">
        <f>IF(LEN(EvolucionIncidencia[[#This Row],[Nuevos 7 dias]])=0,"",EvolucionIncidencia[[#This Row],[Nuevos 7 dias]]/_xlfn.MAXIFS(EvolucionIncidencia[Nuevos 7 dias],EvolucionIncidencia[Area_Sanitaria],EvolucionIncidencia[[#This Row],[Area_Sanitaria]]))</f>
        <v>0.40123775141825685</v>
      </c>
      <c r="AB288" s="2">
        <f>IF(LEN(EvolucionIncidencia[[#This Row],[Nuevos 14 dias]])=0,"",EvolucionIncidencia[[#This Row],[Nuevos 14 dias]]/_xlfn.MAXIFS(EvolucionIncidencia[Nuevos 14 dias],EvolucionIncidencia[Area_Sanitaria],EvolucionIncidencia[[#This Row],[Area_Sanitaria]]))</f>
        <v>0.37434627030002754</v>
      </c>
    </row>
    <row r="289" spans="1:28" hidden="1" x14ac:dyDescent="0.3">
      <c r="A289" s="1">
        <v>44205</v>
      </c>
      <c r="B289" s="2" t="s">
        <v>3</v>
      </c>
      <c r="C289" s="15">
        <v>68716</v>
      </c>
      <c r="D289" s="15">
        <v>7795</v>
      </c>
      <c r="E289" s="15">
        <v>59483</v>
      </c>
      <c r="F289">
        <v>360</v>
      </c>
      <c r="G289">
        <v>61</v>
      </c>
      <c r="H289" s="15">
        <v>1176872</v>
      </c>
      <c r="I289" s="15">
        <v>1445</v>
      </c>
      <c r="J289" s="15">
        <v>455874</v>
      </c>
      <c r="K289" s="15">
        <v>717</v>
      </c>
      <c r="L289">
        <v>403</v>
      </c>
      <c r="M289">
        <v>18</v>
      </c>
      <c r="N289">
        <v>-2</v>
      </c>
      <c r="O289" s="15">
        <v>8866</v>
      </c>
      <c r="P289" s="15">
        <v>831</v>
      </c>
      <c r="Q289" s="15">
        <v>9697</v>
      </c>
      <c r="R289">
        <v>1.0545183982683983</v>
      </c>
      <c r="S289" s="15">
        <v>311</v>
      </c>
      <c r="T289" t="s">
        <v>399</v>
      </c>
      <c r="U289" s="15" t="str">
        <f>TEXT(EvolucionIncidencia[[#This Row],[Fecha]],"DDDD")</f>
        <v>sábado</v>
      </c>
      <c r="V2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1.3177966101694916</v>
      </c>
      <c r="W2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238.51351893421787</v>
      </c>
      <c r="X289" s="2">
        <f>IF(EvolucionIncidencia[[#This Row],[Fecha]]&lt;=MIN(EvolucionIncidencia[Fecha])+14,"",EvolucionIncidencia[[#This Row],[NuevasAltas]]-EvolucionIncidencia[[#This Row],[Previsión Altas]])</f>
        <v>72.486481065782129</v>
      </c>
      <c r="Y2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4465</v>
      </c>
      <c r="Z2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7341</v>
      </c>
      <c r="AA289" s="2">
        <f>IF(LEN(EvolucionIncidencia[[#This Row],[Nuevos 7 dias]])=0,"",EvolucionIncidencia[[#This Row],[Nuevos 7 dias]]/_xlfn.MAXIFS(EvolucionIncidencia[Nuevos 7 dias],EvolucionIncidencia[Area_Sanitaria],EvolucionIncidencia[[#This Row],[Area_Sanitaria]]))</f>
        <v>0.39360014104372354</v>
      </c>
      <c r="AB289" s="2">
        <f>IF(LEN(EvolucionIncidencia[[#This Row],[Nuevos 14 dias]])=0,"",EvolucionIncidencia[[#This Row],[Nuevos 14 dias]]/_xlfn.MAXIFS(EvolucionIncidencia[Nuevos 14 dias],EvolucionIncidencia[Area_Sanitaria],EvolucionIncidencia[[#This Row],[Area_Sanitaria]]))</f>
        <v>0.35195128967302713</v>
      </c>
    </row>
    <row r="290" spans="1:28" hidden="1" x14ac:dyDescent="0.3">
      <c r="A290" s="1">
        <v>44206</v>
      </c>
      <c r="B290" s="2" t="s">
        <v>4</v>
      </c>
      <c r="C290" s="15">
        <v>15181</v>
      </c>
      <c r="D290" s="15">
        <v>1944</v>
      </c>
      <c r="E290" s="15">
        <v>12916</v>
      </c>
      <c r="F290">
        <v>93</v>
      </c>
      <c r="G290">
        <v>21</v>
      </c>
      <c r="H290" s="15">
        <v>244567</v>
      </c>
      <c r="I290" s="15">
        <v>327</v>
      </c>
      <c r="J290" s="15">
        <v>78963</v>
      </c>
      <c r="K290" s="15">
        <v>158</v>
      </c>
      <c r="L290">
        <v>113</v>
      </c>
      <c r="M290">
        <v>10</v>
      </c>
      <c r="N290">
        <v>3</v>
      </c>
      <c r="O290" s="15">
        <v>1104</v>
      </c>
      <c r="P290" s="15">
        <v>151</v>
      </c>
      <c r="Q290" s="15">
        <v>1255</v>
      </c>
      <c r="R290">
        <v>1.0617149098853085</v>
      </c>
      <c r="S290" s="15">
        <v>45</v>
      </c>
      <c r="T290" t="s">
        <v>400</v>
      </c>
      <c r="U290" s="15" t="str">
        <f>TEXT(EvolucionIncidencia[[#This Row],[Fecha]],"DDDD")</f>
        <v>domingo</v>
      </c>
      <c r="V2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0.9375</v>
      </c>
      <c r="W2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51.649172726808978</v>
      </c>
      <c r="X290" s="2">
        <f>IF(EvolucionIncidencia[[#This Row],[Fecha]]&lt;=MIN(EvolucionIncidencia[Fecha])+14,"",EvolucionIncidencia[[#This Row],[NuevasAltas]]-EvolucionIncidencia[[#This Row],[Previsión Altas]])</f>
        <v>-6.6491727268089775</v>
      </c>
      <c r="Y2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1123</v>
      </c>
      <c r="Z2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1821</v>
      </c>
      <c r="AA290" s="2">
        <f>IF(LEN(EvolucionIncidencia[[#This Row],[Nuevos 7 dias]])=0,"",EvolucionIncidencia[[#This Row],[Nuevos 7 dias]]/_xlfn.MAXIFS(EvolucionIncidencia[Nuevos 7 dias],EvolucionIncidencia[Area_Sanitaria],EvolucionIncidencia[[#This Row],[Area_Sanitaria]]))</f>
        <v>0.37697213830144344</v>
      </c>
      <c r="AB290" s="2">
        <f>IF(LEN(EvolucionIncidencia[[#This Row],[Nuevos 14 dias]])=0,"",EvolucionIncidencia[[#This Row],[Nuevos 14 dias]]/_xlfn.MAXIFS(EvolucionIncidencia[Nuevos 14 dias],EvolucionIncidencia[Area_Sanitaria],EvolucionIncidencia[[#This Row],[Area_Sanitaria]]))</f>
        <v>0.33492734964134635</v>
      </c>
    </row>
    <row r="291" spans="1:28" hidden="1" x14ac:dyDescent="0.3">
      <c r="A291" s="1">
        <v>44206</v>
      </c>
      <c r="B291" s="2" t="s">
        <v>5</v>
      </c>
      <c r="C291" s="15">
        <v>4445</v>
      </c>
      <c r="D291" s="15">
        <v>567</v>
      </c>
      <c r="E291" s="15">
        <v>3783</v>
      </c>
      <c r="F291">
        <v>54</v>
      </c>
      <c r="G291">
        <v>6</v>
      </c>
      <c r="H291" s="15">
        <v>81369</v>
      </c>
      <c r="I291" s="15">
        <v>93</v>
      </c>
      <c r="J291" s="15">
        <v>30566</v>
      </c>
      <c r="K291" s="15">
        <v>87</v>
      </c>
      <c r="L291">
        <v>76</v>
      </c>
      <c r="M291">
        <v>11</v>
      </c>
      <c r="N291">
        <v>3</v>
      </c>
      <c r="O291" s="15">
        <v>629</v>
      </c>
      <c r="P291" s="15">
        <v>23</v>
      </c>
      <c r="Q291" s="15">
        <v>652</v>
      </c>
      <c r="R291">
        <v>1.154786150712831</v>
      </c>
      <c r="S291" s="15">
        <v>11</v>
      </c>
      <c r="T291" t="s">
        <v>400</v>
      </c>
      <c r="U291" s="15" t="str">
        <f>TEXT(EvolucionIncidencia[[#This Row],[Fecha]],"DDDD")</f>
        <v>domingo</v>
      </c>
      <c r="V2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0.6875</v>
      </c>
      <c r="W2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20.707925314648005</v>
      </c>
      <c r="X291" s="2">
        <f>IF(EvolucionIncidencia[[#This Row],[Fecha]]&lt;=MIN(EvolucionIncidencia[Fecha])+14,"",EvolucionIncidencia[[#This Row],[NuevasAltas]]-EvolucionIncidencia[[#This Row],[Previsión Altas]])</f>
        <v>-9.7079253146480049</v>
      </c>
      <c r="Y2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342</v>
      </c>
      <c r="Z2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520</v>
      </c>
      <c r="AA291" s="2">
        <f>IF(LEN(EvolucionIncidencia[[#This Row],[Nuevos 7 dias]])=0,"",EvolucionIncidencia[[#This Row],[Nuevos 7 dias]]/_xlfn.MAXIFS(EvolucionIncidencia[Nuevos 7 dias],EvolucionIncidencia[Area_Sanitaria],EvolucionIncidencia[[#This Row],[Area_Sanitaria]]))</f>
        <v>0.40958083832335329</v>
      </c>
      <c r="AB291" s="2">
        <f>IF(LEN(EvolucionIncidencia[[#This Row],[Nuevos 14 dias]])=0,"",EvolucionIncidencia[[#This Row],[Nuevos 14 dias]]/_xlfn.MAXIFS(EvolucionIncidencia[Nuevos 14 dias],EvolucionIncidencia[Area_Sanitaria],EvolucionIncidencia[[#This Row],[Area_Sanitaria]]))</f>
        <v>0.31726662599145822</v>
      </c>
    </row>
    <row r="292" spans="1:28" hidden="1" x14ac:dyDescent="0.3">
      <c r="A292" s="1">
        <v>44206</v>
      </c>
      <c r="B292" s="2" t="s">
        <v>8</v>
      </c>
      <c r="C292" s="15">
        <v>7730</v>
      </c>
      <c r="D292" s="15">
        <v>778</v>
      </c>
      <c r="E292" s="15">
        <v>6802</v>
      </c>
      <c r="F292">
        <v>21</v>
      </c>
      <c r="G292">
        <v>3</v>
      </c>
      <c r="H292" s="15">
        <v>133652</v>
      </c>
      <c r="I292" s="15">
        <v>147</v>
      </c>
      <c r="J292" s="15">
        <v>76110</v>
      </c>
      <c r="K292" s="15">
        <v>57</v>
      </c>
      <c r="L292">
        <v>27</v>
      </c>
      <c r="M292">
        <v>1</v>
      </c>
      <c r="N292">
        <v>1</v>
      </c>
      <c r="O292" s="15">
        <v>922</v>
      </c>
      <c r="P292" s="15">
        <v>59</v>
      </c>
      <c r="Q292" s="15">
        <v>981</v>
      </c>
      <c r="R292">
        <v>1.0359520639147803</v>
      </c>
      <c r="S292" s="15">
        <v>29</v>
      </c>
      <c r="T292" t="s">
        <v>400</v>
      </c>
      <c r="U292" s="15" t="str">
        <f>TEXT(EvolucionIncidencia[[#This Row],[Fecha]],"DDDD")</f>
        <v>domingo</v>
      </c>
      <c r="V2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0.67441860465116277</v>
      </c>
      <c r="W2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51.39778817292283</v>
      </c>
      <c r="X292" s="2">
        <f>IF(EvolucionIncidencia[[#This Row],[Fecha]]&lt;=MIN(EvolucionIncidencia[Fecha])+14,"",EvolucionIncidencia[[#This Row],[NuevasAltas]]-EvolucionIncidencia[[#This Row],[Previsión Altas]])</f>
        <v>-22.39778817292283</v>
      </c>
      <c r="Y2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447</v>
      </c>
      <c r="Z2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737</v>
      </c>
      <c r="AA292" s="2">
        <f>IF(LEN(EvolucionIncidencia[[#This Row],[Nuevos 7 dias]])=0,"",EvolucionIncidencia[[#This Row],[Nuevos 7 dias]]/_xlfn.MAXIFS(EvolucionIncidencia[Nuevos 7 dias],EvolucionIncidencia[Area_Sanitaria],EvolucionIncidencia[[#This Row],[Area_Sanitaria]]))</f>
        <v>0.40415913200723325</v>
      </c>
      <c r="AB292" s="2">
        <f>IF(LEN(EvolucionIncidencia[[#This Row],[Nuevos 14 dias]])=0,"",EvolucionIncidencia[[#This Row],[Nuevos 14 dias]]/_xlfn.MAXIFS(EvolucionIncidencia[Nuevos 14 dias],EvolucionIncidencia[Area_Sanitaria],EvolucionIncidencia[[#This Row],[Area_Sanitaria]]))</f>
        <v>0.37222222222222223</v>
      </c>
    </row>
    <row r="293" spans="1:28" hidden="1" x14ac:dyDescent="0.3">
      <c r="A293" s="1">
        <v>44206</v>
      </c>
      <c r="B293" s="2" t="s">
        <v>9</v>
      </c>
      <c r="C293" s="15">
        <v>9433</v>
      </c>
      <c r="D293" s="15">
        <v>1040</v>
      </c>
      <c r="E293" s="15">
        <v>8078</v>
      </c>
      <c r="F293">
        <v>42</v>
      </c>
      <c r="G293">
        <v>3</v>
      </c>
      <c r="H293" s="15">
        <v>144529</v>
      </c>
      <c r="I293" s="15">
        <v>315</v>
      </c>
      <c r="J293" s="15">
        <v>69623</v>
      </c>
      <c r="K293" s="15">
        <v>114</v>
      </c>
      <c r="L293">
        <v>93</v>
      </c>
      <c r="M293">
        <v>5</v>
      </c>
      <c r="N293">
        <v>0</v>
      </c>
      <c r="O293" s="15">
        <v>1364</v>
      </c>
      <c r="P293" s="15">
        <v>109</v>
      </c>
      <c r="Q293" s="15">
        <v>1473</v>
      </c>
      <c r="R293">
        <v>1.0982048574445618</v>
      </c>
      <c r="S293" s="15">
        <v>20</v>
      </c>
      <c r="T293" t="s">
        <v>400</v>
      </c>
      <c r="U293" s="15" t="str">
        <f>TEXT(EvolucionIncidencia[[#This Row],[Fecha]],"DDDD")</f>
        <v>domingo</v>
      </c>
      <c r="V2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0.95238095238095233</v>
      </c>
      <c r="W2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24.878803409092381</v>
      </c>
      <c r="X293" s="2">
        <f>IF(EvolucionIncidencia[[#This Row],[Fecha]]&lt;=MIN(EvolucionIncidencia[Fecha])+14,"",EvolucionIncidencia[[#This Row],[NuevasAltas]]-EvolucionIncidencia[[#This Row],[Previsión Altas]])</f>
        <v>-4.8788034090923809</v>
      </c>
      <c r="Y2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663</v>
      </c>
      <c r="Z2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1025</v>
      </c>
      <c r="AA293" s="2">
        <f>IF(LEN(EvolucionIncidencia[[#This Row],[Nuevos 7 dias]])=0,"",EvolucionIncidencia[[#This Row],[Nuevos 7 dias]]/_xlfn.MAXIFS(EvolucionIncidencia[Nuevos 7 dias],EvolucionIncidencia[Area_Sanitaria],EvolucionIncidencia[[#This Row],[Area_Sanitaria]]))</f>
        <v>0.42256214149139582</v>
      </c>
      <c r="AB293" s="2">
        <f>IF(LEN(EvolucionIncidencia[[#This Row],[Nuevos 14 dias]])=0,"",EvolucionIncidencia[[#This Row],[Nuevos 14 dias]]/_xlfn.MAXIFS(EvolucionIncidencia[Nuevos 14 dias],EvolucionIncidencia[Area_Sanitaria],EvolucionIncidencia[[#This Row],[Area_Sanitaria]]))</f>
        <v>0.36206287530907805</v>
      </c>
    </row>
    <row r="294" spans="1:28" x14ac:dyDescent="0.3">
      <c r="A294" s="1">
        <v>44206</v>
      </c>
      <c r="B294" s="2" t="s">
        <v>6</v>
      </c>
      <c r="C294" s="15">
        <v>7485</v>
      </c>
      <c r="D294" s="15">
        <v>758</v>
      </c>
      <c r="E294" s="15">
        <v>6644</v>
      </c>
      <c r="F294">
        <v>44</v>
      </c>
      <c r="G294">
        <v>11</v>
      </c>
      <c r="H294" s="15">
        <v>120500</v>
      </c>
      <c r="I294" s="15">
        <v>87</v>
      </c>
      <c r="J294" s="15">
        <v>47268</v>
      </c>
      <c r="K294" s="15">
        <v>67</v>
      </c>
      <c r="L294">
        <v>22</v>
      </c>
      <c r="M294">
        <v>6</v>
      </c>
      <c r="N294">
        <v>-1</v>
      </c>
      <c r="O294" s="15">
        <v>349</v>
      </c>
      <c r="P294" s="15">
        <v>76</v>
      </c>
      <c r="Q294" s="15">
        <v>425</v>
      </c>
      <c r="R294">
        <v>1.0298913043478262</v>
      </c>
      <c r="S294" s="15">
        <v>45</v>
      </c>
      <c r="T294" t="s">
        <v>400</v>
      </c>
      <c r="U294" s="15" t="str">
        <f>TEXT(EvolucionIncidencia[[#This Row],[Fecha]],"DDDD")</f>
        <v>domingo</v>
      </c>
      <c r="V2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1.2162162162162162</v>
      </c>
      <c r="W2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40.769305456624011</v>
      </c>
      <c r="X294" s="2">
        <f>IF(EvolucionIncidencia[[#This Row],[Fecha]]&lt;=MIN(EvolucionIncidencia[Fecha])+14,"",EvolucionIncidencia[[#This Row],[NuevasAltas]]-EvolucionIncidencia[[#This Row],[Previsión Altas]])</f>
        <v>4.2306945433759893</v>
      </c>
      <c r="Y2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362</v>
      </c>
      <c r="Z2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666</v>
      </c>
      <c r="AA294" s="2">
        <f>IF(LEN(EvolucionIncidencia[[#This Row],[Nuevos 7 dias]])=0,"",EvolucionIncidencia[[#This Row],[Nuevos 7 dias]]/_xlfn.MAXIFS(EvolucionIncidencia[Nuevos 7 dias],EvolucionIncidencia[Area_Sanitaria],EvolucionIncidencia[[#This Row],[Area_Sanitaria]]))</f>
        <v>0.2752851711026616</v>
      </c>
      <c r="AB294" s="2">
        <f>IF(LEN(EvolucionIncidencia[[#This Row],[Nuevos 14 dias]])=0,"",EvolucionIncidencia[[#This Row],[Nuevos 14 dias]]/_xlfn.MAXIFS(EvolucionIncidencia[Nuevos 14 dias],EvolucionIncidencia[Area_Sanitaria],EvolucionIncidencia[[#This Row],[Area_Sanitaria]]))</f>
        <v>0.27396133278486218</v>
      </c>
    </row>
    <row r="295" spans="1:28" hidden="1" x14ac:dyDescent="0.3">
      <c r="A295" s="1">
        <v>44206</v>
      </c>
      <c r="B295" s="2" t="s">
        <v>7</v>
      </c>
      <c r="C295" s="15">
        <v>11477</v>
      </c>
      <c r="D295" s="15">
        <v>1679</v>
      </c>
      <c r="E295" s="15">
        <v>9596</v>
      </c>
      <c r="F295">
        <v>101</v>
      </c>
      <c r="G295">
        <v>8</v>
      </c>
      <c r="H295" s="15">
        <v>206256</v>
      </c>
      <c r="I295" s="15">
        <v>204</v>
      </c>
      <c r="J295" s="15">
        <v>94568</v>
      </c>
      <c r="K295" s="15">
        <v>99</v>
      </c>
      <c r="L295">
        <v>37</v>
      </c>
      <c r="M295">
        <v>3</v>
      </c>
      <c r="N295">
        <v>1</v>
      </c>
      <c r="O295" s="15">
        <v>1979</v>
      </c>
      <c r="P295" s="15">
        <v>111</v>
      </c>
      <c r="Q295" s="15">
        <v>2090</v>
      </c>
      <c r="R295">
        <v>1.0225334957369061</v>
      </c>
      <c r="S295" s="15">
        <v>60</v>
      </c>
      <c r="T295" t="s">
        <v>400</v>
      </c>
      <c r="U295" s="15" t="str">
        <f>TEXT(EvolucionIncidencia[[#This Row],[Fecha]],"DDDD")</f>
        <v>domingo</v>
      </c>
      <c r="V2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0.78947368421052633</v>
      </c>
      <c r="W2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74.969435629936712</v>
      </c>
      <c r="X295" s="2">
        <f>IF(EvolucionIncidencia[[#This Row],[Fecha]]&lt;=MIN(EvolucionIncidencia[Fecha])+14,"",EvolucionIncidencia[[#This Row],[NuevasAltas]]-EvolucionIncidencia[[#This Row],[Previsión Altas]])</f>
        <v>-14.969435629936712</v>
      </c>
      <c r="Y2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901</v>
      </c>
      <c r="Z2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1553</v>
      </c>
      <c r="AA295" s="2">
        <f>IF(LEN(EvolucionIncidencia[[#This Row],[Nuevos 7 dias]])=0,"",EvolucionIncidencia[[#This Row],[Nuevos 7 dias]]/_xlfn.MAXIFS(EvolucionIncidencia[Nuevos 7 dias],EvolucionIncidencia[Area_Sanitaria],EvolucionIncidencia[[#This Row],[Area_Sanitaria]]))</f>
        <v>0.53062426383981154</v>
      </c>
      <c r="AB295" s="2">
        <f>IF(LEN(EvolucionIncidencia[[#This Row],[Nuevos 14 dias]])=0,"",EvolucionIncidencia[[#This Row],[Nuevos 14 dias]]/_xlfn.MAXIFS(EvolucionIncidencia[Nuevos 14 dias],EvolucionIncidencia[Area_Sanitaria],EvolucionIncidencia[[#This Row],[Area_Sanitaria]]))</f>
        <v>0.4880578252671276</v>
      </c>
    </row>
    <row r="296" spans="1:28" hidden="1" x14ac:dyDescent="0.3">
      <c r="A296" s="1">
        <v>44206</v>
      </c>
      <c r="B296" s="2" t="s">
        <v>2</v>
      </c>
      <c r="C296" s="15">
        <v>13667</v>
      </c>
      <c r="D296" s="15">
        <v>1484</v>
      </c>
      <c r="E296" s="15">
        <v>11906</v>
      </c>
      <c r="F296">
        <v>42</v>
      </c>
      <c r="G296">
        <v>19</v>
      </c>
      <c r="H296" s="15">
        <v>254048</v>
      </c>
      <c r="I296" s="15">
        <v>277</v>
      </c>
      <c r="J296" s="15">
        <v>59344</v>
      </c>
      <c r="K296" s="15">
        <v>120</v>
      </c>
      <c r="L296">
        <v>87</v>
      </c>
      <c r="M296">
        <v>1</v>
      </c>
      <c r="N296">
        <v>3</v>
      </c>
      <c r="O296" s="15">
        <v>1702</v>
      </c>
      <c r="P296" s="15">
        <v>39</v>
      </c>
      <c r="Q296" s="15">
        <v>1741</v>
      </c>
      <c r="R296">
        <v>1.0622763063707945</v>
      </c>
      <c r="S296" s="15">
        <v>32</v>
      </c>
      <c r="T296" t="s">
        <v>400</v>
      </c>
      <c r="U296" s="15" t="str">
        <f>TEXT(EvolucionIncidencia[[#This Row],[Fecha]],"DDDD")</f>
        <v>domingo</v>
      </c>
      <c r="V2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0.61538461538461542</v>
      </c>
      <c r="W2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60.33500341429729</v>
      </c>
      <c r="X296" s="2">
        <f>IF(EvolucionIncidencia[[#This Row],[Fecha]]&lt;=MIN(EvolucionIncidencia[Fecha])+14,"",EvolucionIncidencia[[#This Row],[NuevasAltas]]-EvolucionIncidencia[[#This Row],[Previsión Altas]])</f>
        <v>-28.33500341429729</v>
      </c>
      <c r="Y2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865</v>
      </c>
      <c r="Z2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1428</v>
      </c>
      <c r="AA296" s="2">
        <f>IF(LEN(EvolucionIncidencia[[#This Row],[Nuevos 7 dias]])=0,"",EvolucionIncidencia[[#This Row],[Nuevos 7 dias]]/_xlfn.MAXIFS(EvolucionIncidencia[Nuevos 7 dias],EvolucionIncidencia[Area_Sanitaria],EvolucionIncidencia[[#This Row],[Area_Sanitaria]]))</f>
        <v>0.44610624033006707</v>
      </c>
      <c r="AB296" s="2">
        <f>IF(LEN(EvolucionIncidencia[[#This Row],[Nuevos 14 dias]])=0,"",EvolucionIncidencia[[#This Row],[Nuevos 14 dias]]/_xlfn.MAXIFS(EvolucionIncidencia[Nuevos 14 dias],EvolucionIncidencia[Area_Sanitaria],EvolucionIncidencia[[#This Row],[Area_Sanitaria]]))</f>
        <v>0.39306358381502893</v>
      </c>
    </row>
    <row r="297" spans="1:28" hidden="1" x14ac:dyDescent="0.3">
      <c r="A297" s="1">
        <v>44206</v>
      </c>
      <c r="B297" s="2" t="s">
        <v>3</v>
      </c>
      <c r="C297" s="15">
        <v>69418</v>
      </c>
      <c r="D297" s="15">
        <v>8250</v>
      </c>
      <c r="E297" s="15">
        <v>59725</v>
      </c>
      <c r="F297">
        <v>397</v>
      </c>
      <c r="G297">
        <v>71</v>
      </c>
      <c r="H297" s="15">
        <v>1184921</v>
      </c>
      <c r="I297" s="15">
        <v>1450</v>
      </c>
      <c r="J297" s="15">
        <v>456442</v>
      </c>
      <c r="K297" s="15">
        <v>702</v>
      </c>
      <c r="L297">
        <v>455</v>
      </c>
      <c r="M297">
        <v>37</v>
      </c>
      <c r="N297">
        <v>10</v>
      </c>
      <c r="O297" s="15">
        <v>8049</v>
      </c>
      <c r="P297" s="15">
        <v>568</v>
      </c>
      <c r="Q297" s="15">
        <v>8617</v>
      </c>
      <c r="R297">
        <v>1.0583707504810775</v>
      </c>
      <c r="S297" s="15">
        <v>242</v>
      </c>
      <c r="T297" t="s">
        <v>400</v>
      </c>
      <c r="U297" s="15" t="str">
        <f>TEXT(EvolucionIncidencia[[#This Row],[Fecha]],"DDDD")</f>
        <v>domingo</v>
      </c>
      <c r="V2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0.82593856655290099</v>
      </c>
      <c r="W2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305.88977245869108</v>
      </c>
      <c r="X297" s="2">
        <f>IF(EvolucionIncidencia[[#This Row],[Fecha]]&lt;=MIN(EvolucionIncidencia[Fecha])+14,"",EvolucionIncidencia[[#This Row],[NuevasAltas]]-EvolucionIncidencia[[#This Row],[Previsión Altas]])</f>
        <v>-63.889772458691084</v>
      </c>
      <c r="Y2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4703</v>
      </c>
      <c r="Z2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7750</v>
      </c>
      <c r="AA297" s="2">
        <f>IF(LEN(EvolucionIncidencia[[#This Row],[Nuevos 7 dias]])=0,"",EvolucionIncidencia[[#This Row],[Nuevos 7 dias]]/_xlfn.MAXIFS(EvolucionIncidencia[Nuevos 7 dias],EvolucionIncidencia[Area_Sanitaria],EvolucionIncidencia[[#This Row],[Area_Sanitaria]]))</f>
        <v>0.41458039492242593</v>
      </c>
      <c r="AB297" s="2">
        <f>IF(LEN(EvolucionIncidencia[[#This Row],[Nuevos 14 dias]])=0,"",EvolucionIncidencia[[#This Row],[Nuevos 14 dias]]/_xlfn.MAXIFS(EvolucionIncidencia[Nuevos 14 dias],EvolucionIncidencia[Area_Sanitaria],EvolucionIncidencia[[#This Row],[Area_Sanitaria]]))</f>
        <v>0.37156007287371751</v>
      </c>
    </row>
    <row r="298" spans="1:28" hidden="1" x14ac:dyDescent="0.3">
      <c r="A298" s="1">
        <v>44207</v>
      </c>
      <c r="B298" s="2" t="s">
        <v>4</v>
      </c>
      <c r="C298" s="15">
        <v>15360</v>
      </c>
      <c r="D298" s="15">
        <v>2064</v>
      </c>
      <c r="E298" s="15">
        <v>12973</v>
      </c>
      <c r="F298">
        <v>95</v>
      </c>
      <c r="G298">
        <v>22</v>
      </c>
      <c r="H298" s="15">
        <v>245390</v>
      </c>
      <c r="I298" s="15">
        <v>329</v>
      </c>
      <c r="J298" s="15">
        <v>79413</v>
      </c>
      <c r="K298" s="15">
        <v>179</v>
      </c>
      <c r="L298">
        <v>120</v>
      </c>
      <c r="M298">
        <v>2</v>
      </c>
      <c r="N298">
        <v>1</v>
      </c>
      <c r="O298" s="15">
        <v>823</v>
      </c>
      <c r="P298" s="15">
        <v>450</v>
      </c>
      <c r="Q298" s="15">
        <v>1273</v>
      </c>
      <c r="R298">
        <v>1.0617283950617284</v>
      </c>
      <c r="S298" s="15">
        <v>57</v>
      </c>
      <c r="T298" t="s">
        <v>401</v>
      </c>
      <c r="U298" s="15" t="str">
        <f>TEXT(EvolucionIncidencia[[#This Row],[Fecha]],"DDDD")</f>
        <v>lunes</v>
      </c>
      <c r="V2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1.0555555555555556</v>
      </c>
      <c r="W2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58.101610526451317</v>
      </c>
      <c r="X298" s="2">
        <f>IF(EvolucionIncidencia[[#This Row],[Fecha]]&lt;=MIN(EvolucionIncidencia[Fecha])+14,"",EvolucionIncidencia[[#This Row],[NuevasAltas]]-EvolucionIncidencia[[#This Row],[Previsión Altas]])</f>
        <v>-1.1016105264513172</v>
      </c>
      <c r="Y2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1216</v>
      </c>
      <c r="Z2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1946</v>
      </c>
      <c r="AA298" s="2">
        <f>IF(LEN(EvolucionIncidencia[[#This Row],[Nuevos 7 dias]])=0,"",EvolucionIncidencia[[#This Row],[Nuevos 7 dias]]/_xlfn.MAXIFS(EvolucionIncidencia[Nuevos 7 dias],EvolucionIncidencia[Area_Sanitaria],EvolucionIncidencia[[#This Row],[Area_Sanitaria]]))</f>
        <v>0.40819066800939913</v>
      </c>
      <c r="AB298" s="2">
        <f>IF(LEN(EvolucionIncidencia[[#This Row],[Nuevos 14 dias]])=0,"",EvolucionIncidencia[[#This Row],[Nuevos 14 dias]]/_xlfn.MAXIFS(EvolucionIncidencia[Nuevos 14 dias],EvolucionIncidencia[Area_Sanitaria],EvolucionIncidencia[[#This Row],[Area_Sanitaria]]))</f>
        <v>0.35791796946845689</v>
      </c>
    </row>
    <row r="299" spans="1:28" hidden="1" x14ac:dyDescent="0.3">
      <c r="A299" s="1">
        <v>44207</v>
      </c>
      <c r="B299" s="2" t="s">
        <v>5</v>
      </c>
      <c r="C299" s="15">
        <v>4496</v>
      </c>
      <c r="D299" s="15">
        <v>598</v>
      </c>
      <c r="E299" s="15">
        <v>3800</v>
      </c>
      <c r="F299">
        <v>62</v>
      </c>
      <c r="G299">
        <v>5</v>
      </c>
      <c r="H299" s="15">
        <v>81907</v>
      </c>
      <c r="I299" s="15">
        <v>96</v>
      </c>
      <c r="J299" s="15">
        <v>30633</v>
      </c>
      <c r="K299" s="15">
        <v>51</v>
      </c>
      <c r="L299">
        <v>31</v>
      </c>
      <c r="M299">
        <v>8</v>
      </c>
      <c r="N299">
        <v>-1</v>
      </c>
      <c r="O299" s="15">
        <v>538</v>
      </c>
      <c r="P299" s="15">
        <v>67</v>
      </c>
      <c r="Q299" s="15">
        <v>605</v>
      </c>
      <c r="R299">
        <v>1.0546737213403881</v>
      </c>
      <c r="S299" s="15">
        <v>17</v>
      </c>
      <c r="T299" t="s">
        <v>401</v>
      </c>
      <c r="U299" s="15" t="str">
        <f>TEXT(EvolucionIncidencia[[#This Row],[Fecha]],"DDDD")</f>
        <v>lunes</v>
      </c>
      <c r="V2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0.58620689655172409</v>
      </c>
      <c r="W2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37.773548306268893</v>
      </c>
      <c r="X299" s="2">
        <f>IF(EvolucionIncidencia[[#This Row],[Fecha]]&lt;=MIN(EvolucionIncidencia[Fecha])+14,"",EvolucionIncidencia[[#This Row],[NuevasAltas]]-EvolucionIncidencia[[#This Row],[Previsión Altas]])</f>
        <v>-20.773548306268893</v>
      </c>
      <c r="Y2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371</v>
      </c>
      <c r="Z2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542</v>
      </c>
      <c r="AA299" s="2">
        <f>IF(LEN(EvolucionIncidencia[[#This Row],[Nuevos 7 dias]])=0,"",EvolucionIncidencia[[#This Row],[Nuevos 7 dias]]/_xlfn.MAXIFS(EvolucionIncidencia[Nuevos 7 dias],EvolucionIncidencia[Area_Sanitaria],EvolucionIncidencia[[#This Row],[Area_Sanitaria]]))</f>
        <v>0.44431137724550901</v>
      </c>
      <c r="AB299" s="2">
        <f>IF(LEN(EvolucionIncidencia[[#This Row],[Nuevos 14 dias]])=0,"",EvolucionIncidencia[[#This Row],[Nuevos 14 dias]]/_xlfn.MAXIFS(EvolucionIncidencia[Nuevos 14 dias],EvolucionIncidencia[Area_Sanitaria],EvolucionIncidencia[[#This Row],[Area_Sanitaria]]))</f>
        <v>0.33068944478340451</v>
      </c>
    </row>
    <row r="300" spans="1:28" hidden="1" x14ac:dyDescent="0.3">
      <c r="A300" s="1">
        <v>44207</v>
      </c>
      <c r="B300" s="2" t="s">
        <v>8</v>
      </c>
      <c r="C300" s="15">
        <v>7777</v>
      </c>
      <c r="D300" s="15">
        <v>810</v>
      </c>
      <c r="E300" s="15">
        <v>6815</v>
      </c>
      <c r="F300">
        <v>25</v>
      </c>
      <c r="G300">
        <v>2</v>
      </c>
      <c r="H300" s="15">
        <v>134704</v>
      </c>
      <c r="I300" s="15">
        <v>148</v>
      </c>
      <c r="J300" s="15">
        <v>76350</v>
      </c>
      <c r="K300" s="15">
        <v>47</v>
      </c>
      <c r="L300">
        <v>32</v>
      </c>
      <c r="M300">
        <v>4</v>
      </c>
      <c r="N300">
        <v>-1</v>
      </c>
      <c r="O300" s="15">
        <v>1052</v>
      </c>
      <c r="P300" s="15">
        <v>240</v>
      </c>
      <c r="Q300" s="15">
        <v>1292</v>
      </c>
      <c r="R300">
        <v>1.0411311053984575</v>
      </c>
      <c r="S300" s="15">
        <v>13</v>
      </c>
      <c r="T300" t="s">
        <v>401</v>
      </c>
      <c r="U300" s="15" t="str">
        <f>TEXT(EvolucionIncidencia[[#This Row],[Fecha]],"DDDD")</f>
        <v>lunes</v>
      </c>
      <c r="V3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0.8125</v>
      </c>
      <c r="W3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18.75266536666896</v>
      </c>
      <c r="X300" s="2">
        <f>IF(EvolucionIncidencia[[#This Row],[Fecha]]&lt;=MIN(EvolucionIncidencia[Fecha])+14,"",EvolucionIncidencia[[#This Row],[NuevasAltas]]-EvolucionIncidencia[[#This Row],[Previsión Altas]])</f>
        <v>-5.7526653666689604</v>
      </c>
      <c r="Y3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449</v>
      </c>
      <c r="Z3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768</v>
      </c>
      <c r="AA300" s="2">
        <f>IF(LEN(EvolucionIncidencia[[#This Row],[Nuevos 7 dias]])=0,"",EvolucionIncidencia[[#This Row],[Nuevos 7 dias]]/_xlfn.MAXIFS(EvolucionIncidencia[Nuevos 7 dias],EvolucionIncidencia[Area_Sanitaria],EvolucionIncidencia[[#This Row],[Area_Sanitaria]]))</f>
        <v>0.40596745027124775</v>
      </c>
      <c r="AB300" s="2">
        <f>IF(LEN(EvolucionIncidencia[[#This Row],[Nuevos 14 dias]])=0,"",EvolucionIncidencia[[#This Row],[Nuevos 14 dias]]/_xlfn.MAXIFS(EvolucionIncidencia[Nuevos 14 dias],EvolucionIncidencia[Area_Sanitaria],EvolucionIncidencia[[#This Row],[Area_Sanitaria]]))</f>
        <v>0.38787878787878788</v>
      </c>
    </row>
    <row r="301" spans="1:28" hidden="1" x14ac:dyDescent="0.3">
      <c r="A301" s="1">
        <v>44207</v>
      </c>
      <c r="B301" s="2" t="s">
        <v>9</v>
      </c>
      <c r="C301" s="15">
        <v>9557</v>
      </c>
      <c r="D301" s="15">
        <v>1140</v>
      </c>
      <c r="E301" s="15">
        <v>8101</v>
      </c>
      <c r="F301">
        <v>44</v>
      </c>
      <c r="G301">
        <v>4</v>
      </c>
      <c r="H301" s="15">
        <v>145561</v>
      </c>
      <c r="I301" s="15">
        <v>316</v>
      </c>
      <c r="J301" s="15">
        <v>69872</v>
      </c>
      <c r="K301" s="15">
        <v>124</v>
      </c>
      <c r="L301">
        <v>100</v>
      </c>
      <c r="M301">
        <v>2</v>
      </c>
      <c r="N301">
        <v>1</v>
      </c>
      <c r="O301" s="15">
        <v>1032</v>
      </c>
      <c r="P301" s="15">
        <v>249</v>
      </c>
      <c r="Q301" s="15">
        <v>1281</v>
      </c>
      <c r="R301">
        <v>1.0961538461538463</v>
      </c>
      <c r="S301" s="15">
        <v>23</v>
      </c>
      <c r="T301" t="s">
        <v>401</v>
      </c>
      <c r="U301" s="15" t="str">
        <f>TEXT(EvolucionIncidencia[[#This Row],[Fecha]],"DDDD")</f>
        <v>lunes</v>
      </c>
      <c r="V3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0.85185185185185186</v>
      </c>
      <c r="W3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32.130387857484124</v>
      </c>
      <c r="X301" s="2">
        <f>IF(EvolucionIncidencia[[#This Row],[Fecha]]&lt;=MIN(EvolucionIncidencia[Fecha])+14,"",EvolucionIncidencia[[#This Row],[NuevasAltas]]-EvolucionIncidencia[[#This Row],[Previsión Altas]])</f>
        <v>-9.1303878574841235</v>
      </c>
      <c r="Y3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725</v>
      </c>
      <c r="Z3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1122</v>
      </c>
      <c r="AA301" s="2">
        <f>IF(LEN(EvolucionIncidencia[[#This Row],[Nuevos 7 dias]])=0,"",EvolucionIncidencia[[#This Row],[Nuevos 7 dias]]/_xlfn.MAXIFS(EvolucionIncidencia[Nuevos 7 dias],EvolucionIncidencia[Area_Sanitaria],EvolucionIncidencia[[#This Row],[Area_Sanitaria]]))</f>
        <v>0.46207775653282346</v>
      </c>
      <c r="AB301" s="2">
        <f>IF(LEN(EvolucionIncidencia[[#This Row],[Nuevos 14 dias]])=0,"",EvolucionIncidencia[[#This Row],[Nuevos 14 dias]]/_xlfn.MAXIFS(EvolucionIncidencia[Nuevos 14 dias],EvolucionIncidencia[Area_Sanitaria],EvolucionIncidencia[[#This Row],[Area_Sanitaria]]))</f>
        <v>0.39632638643588836</v>
      </c>
    </row>
    <row r="302" spans="1:28" x14ac:dyDescent="0.3">
      <c r="A302" s="1">
        <v>44207</v>
      </c>
      <c r="B302" s="2" t="s">
        <v>6</v>
      </c>
      <c r="C302" s="15">
        <v>7580</v>
      </c>
      <c r="D302" s="15">
        <v>809</v>
      </c>
      <c r="E302" s="15">
        <v>6687</v>
      </c>
      <c r="F302">
        <v>45</v>
      </c>
      <c r="G302">
        <v>10</v>
      </c>
      <c r="H302" s="15">
        <v>120914</v>
      </c>
      <c r="I302" s="15">
        <v>88</v>
      </c>
      <c r="J302" s="15">
        <v>47435</v>
      </c>
      <c r="K302" s="15">
        <v>95</v>
      </c>
      <c r="L302">
        <v>51</v>
      </c>
      <c r="M302">
        <v>1</v>
      </c>
      <c r="N302">
        <v>-1</v>
      </c>
      <c r="O302" s="15">
        <v>414</v>
      </c>
      <c r="P302" s="15">
        <v>167</v>
      </c>
      <c r="Q302" s="15">
        <v>581</v>
      </c>
      <c r="R302">
        <v>1.067282321899736</v>
      </c>
      <c r="S302" s="15">
        <v>43</v>
      </c>
      <c r="T302" t="s">
        <v>401</v>
      </c>
      <c r="U302" s="15" t="str">
        <f>TEXT(EvolucionIncidencia[[#This Row],[Fecha]],"DDDD")</f>
        <v>lunes</v>
      </c>
      <c r="V3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1.1025641025641026</v>
      </c>
      <c r="W3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42.771796871267782</v>
      </c>
      <c r="X302" s="2">
        <f>IF(EvolucionIncidencia[[#This Row],[Fecha]]&lt;=MIN(EvolucionIncidencia[Fecha])+14,"",EvolucionIncidencia[[#This Row],[NuevasAltas]]-EvolucionIncidencia[[#This Row],[Previsión Altas]])</f>
        <v>0.22820312873221837</v>
      </c>
      <c r="Y3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413</v>
      </c>
      <c r="Z3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722</v>
      </c>
      <c r="AA302" s="2">
        <f>IF(LEN(EvolucionIncidencia[[#This Row],[Nuevos 7 dias]])=0,"",EvolucionIncidencia[[#This Row],[Nuevos 7 dias]]/_xlfn.MAXIFS(EvolucionIncidencia[Nuevos 7 dias],EvolucionIncidencia[Area_Sanitaria],EvolucionIncidencia[[#This Row],[Area_Sanitaria]]))</f>
        <v>0.31406844106463877</v>
      </c>
      <c r="AB302" s="2">
        <f>IF(LEN(EvolucionIncidencia[[#This Row],[Nuevos 14 dias]])=0,"",EvolucionIncidencia[[#This Row],[Nuevos 14 dias]]/_xlfn.MAXIFS(EvolucionIncidencia[Nuevos 14 dias],EvolucionIncidencia[Area_Sanitaria],EvolucionIncidencia[[#This Row],[Area_Sanitaria]]))</f>
        <v>0.29699712052653227</v>
      </c>
    </row>
    <row r="303" spans="1:28" hidden="1" x14ac:dyDescent="0.3">
      <c r="A303" s="1">
        <v>44207</v>
      </c>
      <c r="B303" s="2" t="s">
        <v>7</v>
      </c>
      <c r="C303" s="15">
        <v>11677</v>
      </c>
      <c r="D303" s="15">
        <v>1810</v>
      </c>
      <c r="E303" s="15">
        <v>9664</v>
      </c>
      <c r="F303">
        <v>105</v>
      </c>
      <c r="G303">
        <v>7</v>
      </c>
      <c r="H303" s="15">
        <v>207313</v>
      </c>
      <c r="I303" s="15">
        <v>206</v>
      </c>
      <c r="J303" s="15">
        <v>94818</v>
      </c>
      <c r="K303" s="15">
        <v>200</v>
      </c>
      <c r="L303">
        <v>131</v>
      </c>
      <c r="M303">
        <v>4</v>
      </c>
      <c r="N303">
        <v>-1</v>
      </c>
      <c r="O303" s="15">
        <v>1057</v>
      </c>
      <c r="P303" s="15">
        <v>250</v>
      </c>
      <c r="Q303" s="15">
        <v>1307</v>
      </c>
      <c r="R303">
        <v>1.0780226325193567</v>
      </c>
      <c r="S303" s="15">
        <v>68</v>
      </c>
      <c r="T303" t="s">
        <v>401</v>
      </c>
      <c r="U303" s="15" t="str">
        <f>TEXT(EvolucionIncidencia[[#This Row],[Fecha]],"DDDD")</f>
        <v>lunes</v>
      </c>
      <c r="V3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0.94444444444444442</v>
      </c>
      <c r="W3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70.350060002113665</v>
      </c>
      <c r="X303" s="2">
        <f>IF(EvolucionIncidencia[[#This Row],[Fecha]]&lt;=MIN(EvolucionIncidencia[Fecha])+14,"",EvolucionIncidencia[[#This Row],[NuevasAltas]]-EvolucionIncidencia[[#This Row],[Previsión Altas]])</f>
        <v>-2.3500600021136648</v>
      </c>
      <c r="Y3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1041</v>
      </c>
      <c r="Z3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1681</v>
      </c>
      <c r="AA303" s="2">
        <f>IF(LEN(EvolucionIncidencia[[#This Row],[Nuevos 7 dias]])=0,"",EvolucionIncidencia[[#This Row],[Nuevos 7 dias]]/_xlfn.MAXIFS(EvolucionIncidencia[Nuevos 7 dias],EvolucionIncidencia[Area_Sanitaria],EvolucionIncidencia[[#This Row],[Area_Sanitaria]]))</f>
        <v>0.61307420494699649</v>
      </c>
      <c r="AB303" s="2">
        <f>IF(LEN(EvolucionIncidencia[[#This Row],[Nuevos 14 dias]])=0,"",EvolucionIncidencia[[#This Row],[Nuevos 14 dias]]/_xlfn.MAXIFS(EvolucionIncidencia[Nuevos 14 dias],EvolucionIncidencia[Area_Sanitaria],EvolucionIncidencia[[#This Row],[Area_Sanitaria]]))</f>
        <v>0.52828409805153986</v>
      </c>
    </row>
    <row r="304" spans="1:28" hidden="1" x14ac:dyDescent="0.3">
      <c r="A304" s="1">
        <v>44207</v>
      </c>
      <c r="B304" s="2" t="s">
        <v>2</v>
      </c>
      <c r="C304" s="15">
        <v>13815</v>
      </c>
      <c r="D304" s="15">
        <v>1579</v>
      </c>
      <c r="E304" s="15">
        <v>11957</v>
      </c>
      <c r="F304">
        <v>45</v>
      </c>
      <c r="G304">
        <v>20</v>
      </c>
      <c r="H304" s="15">
        <v>255364</v>
      </c>
      <c r="I304" s="15">
        <v>279</v>
      </c>
      <c r="J304" s="15">
        <v>59450</v>
      </c>
      <c r="K304" s="15">
        <v>148</v>
      </c>
      <c r="L304">
        <v>95</v>
      </c>
      <c r="M304">
        <v>3</v>
      </c>
      <c r="N304">
        <v>1</v>
      </c>
      <c r="O304" s="15">
        <v>1316</v>
      </c>
      <c r="P304" s="15">
        <v>106</v>
      </c>
      <c r="Q304" s="15">
        <v>1422</v>
      </c>
      <c r="R304">
        <v>1.0640161725067385</v>
      </c>
      <c r="S304" s="15">
        <v>51</v>
      </c>
      <c r="T304" t="s">
        <v>401</v>
      </c>
      <c r="U304" s="15" t="str">
        <f>TEXT(EvolucionIncidencia[[#This Row],[Fecha]],"DDDD")</f>
        <v>lunes</v>
      </c>
      <c r="V3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0.66233766233766234</v>
      </c>
      <c r="W3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82.905403407434719</v>
      </c>
      <c r="X304" s="2">
        <f>IF(EvolucionIncidencia[[#This Row],[Fecha]]&lt;=MIN(EvolucionIncidencia[Fecha])+14,"",EvolucionIncidencia[[#This Row],[NuevasAltas]]-EvolucionIncidencia[[#This Row],[Previsión Altas]])</f>
        <v>-31.905403407434719</v>
      </c>
      <c r="Y3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981</v>
      </c>
      <c r="Z3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1499</v>
      </c>
      <c r="AA304" s="2">
        <f>IF(LEN(EvolucionIncidencia[[#This Row],[Nuevos 7 dias]])=0,"",EvolucionIncidencia[[#This Row],[Nuevos 7 dias]]/_xlfn.MAXIFS(EvolucionIncidencia[Nuevos 7 dias],EvolucionIncidencia[Area_Sanitaria],EvolucionIncidencia[[#This Row],[Area_Sanitaria]]))</f>
        <v>0.50593089221248067</v>
      </c>
      <c r="AB304" s="2">
        <f>IF(LEN(EvolucionIncidencia[[#This Row],[Nuevos 14 dias]])=0,"",EvolucionIncidencia[[#This Row],[Nuevos 14 dias]]/_xlfn.MAXIFS(EvolucionIncidencia[Nuevos 14 dias],EvolucionIncidencia[Area_Sanitaria],EvolucionIncidencia[[#This Row],[Area_Sanitaria]]))</f>
        <v>0.41260666116157446</v>
      </c>
    </row>
    <row r="305" spans="1:28" hidden="1" x14ac:dyDescent="0.3">
      <c r="A305" s="1">
        <v>44207</v>
      </c>
      <c r="B305" s="2" t="s">
        <v>3</v>
      </c>
      <c r="C305" s="15">
        <v>70262</v>
      </c>
      <c r="D305" s="15">
        <v>8810</v>
      </c>
      <c r="E305" s="15">
        <v>59997</v>
      </c>
      <c r="F305">
        <v>421</v>
      </c>
      <c r="G305">
        <v>70</v>
      </c>
      <c r="H305" s="15">
        <v>1191153</v>
      </c>
      <c r="I305" s="15">
        <v>1462</v>
      </c>
      <c r="J305" s="15">
        <v>457971</v>
      </c>
      <c r="K305" s="15">
        <v>844</v>
      </c>
      <c r="L305">
        <v>560</v>
      </c>
      <c r="M305">
        <v>24</v>
      </c>
      <c r="N305">
        <v>-1</v>
      </c>
      <c r="O305" s="15">
        <v>6232</v>
      </c>
      <c r="P305" s="15">
        <v>1529</v>
      </c>
      <c r="Q305" s="15">
        <v>7761</v>
      </c>
      <c r="R305">
        <v>1.0678787878787879</v>
      </c>
      <c r="S305" s="15">
        <v>272</v>
      </c>
      <c r="T305" t="s">
        <v>401</v>
      </c>
      <c r="U305" s="15" t="str">
        <f>TEXT(EvolucionIncidencia[[#This Row],[Fecha]],"DDDD")</f>
        <v>lunes</v>
      </c>
      <c r="V3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0.86624203821656054</v>
      </c>
      <c r="W3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322.57966736312881</v>
      </c>
      <c r="X305" s="2">
        <f>IF(EvolucionIncidencia[[#This Row],[Fecha]]&lt;=MIN(EvolucionIncidencia[Fecha])+14,"",EvolucionIncidencia[[#This Row],[NuevasAltas]]-EvolucionIncidencia[[#This Row],[Previsión Altas]])</f>
        <v>-50.579667363128806</v>
      </c>
      <c r="Y3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5196</v>
      </c>
      <c r="Z3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8280</v>
      </c>
      <c r="AA305" s="2">
        <f>IF(LEN(EvolucionIncidencia[[#This Row],[Nuevos 7 dias]])=0,"",EvolucionIncidencia[[#This Row],[Nuevos 7 dias]]/_xlfn.MAXIFS(EvolucionIncidencia[Nuevos 7 dias],EvolucionIncidencia[Area_Sanitaria],EvolucionIncidencia[[#This Row],[Area_Sanitaria]]))</f>
        <v>0.45803949224259521</v>
      </c>
      <c r="AB305" s="2">
        <f>IF(LEN(EvolucionIncidencia[[#This Row],[Nuevos 14 dias]])=0,"",EvolucionIncidencia[[#This Row],[Nuevos 14 dias]]/_xlfn.MAXIFS(EvolucionIncidencia[Nuevos 14 dias],EvolucionIncidencia[Area_Sanitaria],EvolucionIncidencia[[#This Row],[Area_Sanitaria]]))</f>
        <v>0.39696998753475887</v>
      </c>
    </row>
    <row r="306" spans="1:28" hidden="1" x14ac:dyDescent="0.3">
      <c r="A306" s="1">
        <v>44208</v>
      </c>
      <c r="B306" s="2" t="s">
        <v>4</v>
      </c>
      <c r="C306" s="15">
        <v>15616</v>
      </c>
      <c r="D306" s="15">
        <v>2260</v>
      </c>
      <c r="E306" s="15">
        <v>13031</v>
      </c>
      <c r="F306">
        <v>108</v>
      </c>
      <c r="G306">
        <v>22</v>
      </c>
      <c r="H306" s="15">
        <v>247114</v>
      </c>
      <c r="I306" s="15">
        <v>331</v>
      </c>
      <c r="J306" s="15">
        <v>79691</v>
      </c>
      <c r="K306" s="15">
        <v>256</v>
      </c>
      <c r="L306">
        <v>196</v>
      </c>
      <c r="M306">
        <v>13</v>
      </c>
      <c r="N306">
        <v>0</v>
      </c>
      <c r="O306" s="15">
        <v>1724</v>
      </c>
      <c r="P306" s="15">
        <v>278</v>
      </c>
      <c r="Q306" s="15">
        <v>2002</v>
      </c>
      <c r="R306">
        <v>1.0949612403100775</v>
      </c>
      <c r="S306" s="15">
        <v>58</v>
      </c>
      <c r="T306" t="s">
        <v>403</v>
      </c>
      <c r="U306" s="15" t="str">
        <f>TEXT(EvolucionIncidencia[[#This Row],[Fecha]],"DDDD")</f>
        <v>martes</v>
      </c>
      <c r="V3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0.47933884297520662</v>
      </c>
      <c r="W3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128.61298141017758</v>
      </c>
      <c r="X306" s="2">
        <f>IF(EvolucionIncidencia[[#This Row],[Fecha]]&lt;=MIN(EvolucionIncidencia[Fecha])+14,"",EvolucionIncidencia[[#This Row],[NuevasAltas]]-EvolucionIncidencia[[#This Row],[Previsión Altas]])</f>
        <v>-70.612981410177582</v>
      </c>
      <c r="Y3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1285</v>
      </c>
      <c r="Z3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2081</v>
      </c>
      <c r="AA306" s="2">
        <f>IF(LEN(EvolucionIncidencia[[#This Row],[Nuevos 7 dias]])=0,"",EvolucionIncidencia[[#This Row],[Nuevos 7 dias]]/_xlfn.MAXIFS(EvolucionIncidencia[Nuevos 7 dias],EvolucionIncidencia[Area_Sanitaria],EvolucionIncidencia[[#This Row],[Area_Sanitaria]]))</f>
        <v>0.43135280295401141</v>
      </c>
      <c r="AB306" s="2">
        <f>IF(LEN(EvolucionIncidencia[[#This Row],[Nuevos 14 dias]])=0,"",EvolucionIncidencia[[#This Row],[Nuevos 14 dias]]/_xlfn.MAXIFS(EvolucionIncidencia[Nuevos 14 dias],EvolucionIncidencia[Area_Sanitaria],EvolucionIncidencia[[#This Row],[Area_Sanitaria]]))</f>
        <v>0.38274783888173625</v>
      </c>
    </row>
    <row r="307" spans="1:28" hidden="1" x14ac:dyDescent="0.3">
      <c r="A307" s="1">
        <v>44208</v>
      </c>
      <c r="B307" s="2" t="s">
        <v>5</v>
      </c>
      <c r="C307" s="15">
        <v>4570</v>
      </c>
      <c r="D307" s="15">
        <v>659</v>
      </c>
      <c r="E307" s="15">
        <v>3813</v>
      </c>
      <c r="F307">
        <v>74</v>
      </c>
      <c r="G307">
        <v>5</v>
      </c>
      <c r="H307" s="15">
        <v>82576</v>
      </c>
      <c r="I307" s="15">
        <v>96</v>
      </c>
      <c r="J307" s="15">
        <v>30702</v>
      </c>
      <c r="K307" s="15">
        <v>74</v>
      </c>
      <c r="L307">
        <v>61</v>
      </c>
      <c r="M307">
        <v>12</v>
      </c>
      <c r="N307">
        <v>0</v>
      </c>
      <c r="O307" s="15">
        <v>669</v>
      </c>
      <c r="P307" s="15">
        <v>69</v>
      </c>
      <c r="Q307" s="15">
        <v>738</v>
      </c>
      <c r="R307">
        <v>1.1020066889632107</v>
      </c>
      <c r="S307" s="15">
        <v>13</v>
      </c>
      <c r="T307" t="s">
        <v>403</v>
      </c>
      <c r="U307" s="15" t="str">
        <f>TEXT(EvolucionIncidencia[[#This Row],[Fecha]],"DDDD")</f>
        <v>martes</v>
      </c>
      <c r="V3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0.8666666666666667</v>
      </c>
      <c r="W3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18.558978187971597</v>
      </c>
      <c r="X307" s="2">
        <f>IF(EvolucionIncidencia[[#This Row],[Fecha]]&lt;=MIN(EvolucionIncidencia[Fecha])+14,"",EvolucionIncidencia[[#This Row],[NuevasAltas]]-EvolucionIncidencia[[#This Row],[Previsión Altas]])</f>
        <v>-5.5589781879715972</v>
      </c>
      <c r="Y3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390</v>
      </c>
      <c r="Z3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601</v>
      </c>
      <c r="AA307" s="2">
        <f>IF(LEN(EvolucionIncidencia[[#This Row],[Nuevos 7 dias]])=0,"",EvolucionIncidencia[[#This Row],[Nuevos 7 dias]]/_xlfn.MAXIFS(EvolucionIncidencia[Nuevos 7 dias],EvolucionIncidencia[Area_Sanitaria],EvolucionIncidencia[[#This Row],[Area_Sanitaria]]))</f>
        <v>0.46706586826347307</v>
      </c>
      <c r="AB307" s="2">
        <f>IF(LEN(EvolucionIncidencia[[#This Row],[Nuevos 14 dias]])=0,"",EvolucionIncidencia[[#This Row],[Nuevos 14 dias]]/_xlfn.MAXIFS(EvolucionIncidencia[Nuevos 14 dias],EvolucionIncidencia[Area_Sanitaria],EvolucionIncidencia[[#This Row],[Area_Sanitaria]]))</f>
        <v>0.3666870042708969</v>
      </c>
    </row>
    <row r="308" spans="1:28" hidden="1" x14ac:dyDescent="0.3">
      <c r="A308" s="1">
        <v>44208</v>
      </c>
      <c r="B308" s="2" t="s">
        <v>8</v>
      </c>
      <c r="C308" s="15">
        <v>7881</v>
      </c>
      <c r="D308" s="15">
        <v>890</v>
      </c>
      <c r="E308" s="15">
        <v>6838</v>
      </c>
      <c r="F308">
        <v>28</v>
      </c>
      <c r="G308">
        <v>4</v>
      </c>
      <c r="H308" s="15">
        <v>136017</v>
      </c>
      <c r="I308" s="15">
        <v>148</v>
      </c>
      <c r="J308" s="15">
        <v>76690</v>
      </c>
      <c r="K308" s="15">
        <v>104</v>
      </c>
      <c r="L308">
        <v>80</v>
      </c>
      <c r="M308">
        <v>3</v>
      </c>
      <c r="N308">
        <v>2</v>
      </c>
      <c r="O308" s="15">
        <v>1313</v>
      </c>
      <c r="P308" s="15">
        <v>340</v>
      </c>
      <c r="Q308" s="15">
        <v>1653</v>
      </c>
      <c r="R308">
        <v>1.0987654320987654</v>
      </c>
      <c r="S308" s="15">
        <v>23</v>
      </c>
      <c r="T308" t="s">
        <v>403</v>
      </c>
      <c r="U308" s="15" t="str">
        <f>TEXT(EvolucionIncidencia[[#This Row],[Fecha]],"DDDD")</f>
        <v>martes</v>
      </c>
      <c r="V3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v>
      </c>
      <c r="W3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57.108260589521819</v>
      </c>
      <c r="X308" s="2">
        <f>IF(EvolucionIncidencia[[#This Row],[Fecha]]&lt;=MIN(EvolucionIncidencia[Fecha])+14,"",EvolucionIncidencia[[#This Row],[NuevasAltas]]-EvolucionIncidencia[[#This Row],[Previsión Altas]])</f>
        <v>-34.108260589521819</v>
      </c>
      <c r="Y3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490</v>
      </c>
      <c r="Z3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822</v>
      </c>
      <c r="AA308" s="2">
        <f>IF(LEN(EvolucionIncidencia[[#This Row],[Nuevos 7 dias]])=0,"",EvolucionIncidencia[[#This Row],[Nuevos 7 dias]]/_xlfn.MAXIFS(EvolucionIncidencia[Nuevos 7 dias],EvolucionIncidencia[Area_Sanitaria],EvolucionIncidencia[[#This Row],[Area_Sanitaria]]))</f>
        <v>0.44303797468354428</v>
      </c>
      <c r="AB308" s="2">
        <f>IF(LEN(EvolucionIncidencia[[#This Row],[Nuevos 14 dias]])=0,"",EvolucionIncidencia[[#This Row],[Nuevos 14 dias]]/_xlfn.MAXIFS(EvolucionIncidencia[Nuevos 14 dias],EvolucionIncidencia[Area_Sanitaria],EvolucionIncidencia[[#This Row],[Area_Sanitaria]]))</f>
        <v>0.41515151515151516</v>
      </c>
    </row>
    <row r="309" spans="1:28" hidden="1" x14ac:dyDescent="0.3">
      <c r="A309" s="1">
        <v>44208</v>
      </c>
      <c r="B309" s="2" t="s">
        <v>9</v>
      </c>
      <c r="C309" s="15">
        <v>9692</v>
      </c>
      <c r="D309" s="15">
        <v>1232</v>
      </c>
      <c r="E309" s="15">
        <v>8144</v>
      </c>
      <c r="F309">
        <v>44</v>
      </c>
      <c r="G309">
        <v>4</v>
      </c>
      <c r="H309" s="15">
        <v>146929</v>
      </c>
      <c r="I309" s="15">
        <v>316</v>
      </c>
      <c r="J309" s="15">
        <v>70172</v>
      </c>
      <c r="K309" s="15">
        <v>135</v>
      </c>
      <c r="L309">
        <v>92</v>
      </c>
      <c r="M309">
        <v>0</v>
      </c>
      <c r="N309">
        <v>0</v>
      </c>
      <c r="O309" s="15">
        <v>1368</v>
      </c>
      <c r="P309" s="15">
        <v>300</v>
      </c>
      <c r="Q309" s="15">
        <v>1668</v>
      </c>
      <c r="R309">
        <v>1.0807017543859649</v>
      </c>
      <c r="S309" s="15">
        <v>43</v>
      </c>
      <c r="T309" t="s">
        <v>403</v>
      </c>
      <c r="U309" s="15" t="str">
        <f>TEXT(EvolucionIncidencia[[#This Row],[Fecha]],"DDDD")</f>
        <v>martes</v>
      </c>
      <c r="V3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0.87755102040816324</v>
      </c>
      <c r="W3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53.417185370989714</v>
      </c>
      <c r="X309" s="2">
        <f>IF(EvolucionIncidencia[[#This Row],[Fecha]]&lt;=MIN(EvolucionIncidencia[Fecha])+14,"",EvolucionIncidencia[[#This Row],[NuevasAltas]]-EvolucionIncidencia[[#This Row],[Previsión Altas]])</f>
        <v>-10.417185370989714</v>
      </c>
      <c r="Y3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765</v>
      </c>
      <c r="Z3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1208</v>
      </c>
      <c r="AA309" s="2">
        <f>IF(LEN(EvolucionIncidencia[[#This Row],[Nuevos 7 dias]])=0,"",EvolucionIncidencia[[#This Row],[Nuevos 7 dias]]/_xlfn.MAXIFS(EvolucionIncidencia[Nuevos 7 dias],EvolucionIncidencia[Area_Sanitaria],EvolucionIncidencia[[#This Row],[Area_Sanitaria]]))</f>
        <v>0.4875717017208413</v>
      </c>
      <c r="AB309" s="2">
        <f>IF(LEN(EvolucionIncidencia[[#This Row],[Nuevos 14 dias]])=0,"",EvolucionIncidencia[[#This Row],[Nuevos 14 dias]]/_xlfn.MAXIFS(EvolucionIncidencia[Nuevos 14 dias],EvolucionIncidencia[Area_Sanitaria],EvolucionIncidencia[[#This Row],[Area_Sanitaria]]))</f>
        <v>0.42670434475450369</v>
      </c>
    </row>
    <row r="310" spans="1:28" x14ac:dyDescent="0.3">
      <c r="A310" s="1">
        <v>44208</v>
      </c>
      <c r="B310" s="2" t="s">
        <v>6</v>
      </c>
      <c r="C310" s="15">
        <v>7642</v>
      </c>
      <c r="D310" s="15">
        <v>832</v>
      </c>
      <c r="E310" s="15">
        <v>6726</v>
      </c>
      <c r="F310">
        <v>47</v>
      </c>
      <c r="G310">
        <v>10</v>
      </c>
      <c r="H310" s="15">
        <v>121546</v>
      </c>
      <c r="I310" s="15">
        <v>88</v>
      </c>
      <c r="J310" s="15">
        <v>47570</v>
      </c>
      <c r="K310" s="15">
        <v>62</v>
      </c>
      <c r="L310">
        <v>23</v>
      </c>
      <c r="M310">
        <v>2</v>
      </c>
      <c r="N310">
        <v>0</v>
      </c>
      <c r="O310" s="15">
        <v>632</v>
      </c>
      <c r="P310" s="15">
        <v>135</v>
      </c>
      <c r="Q310" s="15">
        <v>767</v>
      </c>
      <c r="R310">
        <v>1.0284301606922126</v>
      </c>
      <c r="S310" s="15">
        <v>39</v>
      </c>
      <c r="T310" t="s">
        <v>403</v>
      </c>
      <c r="U310" s="15" t="str">
        <f>TEXT(EvolucionIncidencia[[#This Row],[Fecha]],"DDDD")</f>
        <v>martes</v>
      </c>
      <c r="V3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0.73584905660377353</v>
      </c>
      <c r="W3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59.852903797807038</v>
      </c>
      <c r="X310" s="2">
        <f>IF(EvolucionIncidencia[[#This Row],[Fecha]]&lt;=MIN(EvolucionIncidencia[Fecha])+14,"",EvolucionIncidencia[[#This Row],[NuevasAltas]]-EvolucionIncidencia[[#This Row],[Previsión Altas]])</f>
        <v>-20.852903797807038</v>
      </c>
      <c r="Y3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442</v>
      </c>
      <c r="Z3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731</v>
      </c>
      <c r="AA310" s="2">
        <f>IF(LEN(EvolucionIncidencia[[#This Row],[Nuevos 7 dias]])=0,"",EvolucionIncidencia[[#This Row],[Nuevos 7 dias]]/_xlfn.MAXIFS(EvolucionIncidencia[Nuevos 7 dias],EvolucionIncidencia[Area_Sanitaria],EvolucionIncidencia[[#This Row],[Area_Sanitaria]]))</f>
        <v>0.3361216730038023</v>
      </c>
      <c r="AB310" s="2">
        <f>IF(LEN(EvolucionIncidencia[[#This Row],[Nuevos 14 dias]])=0,"",EvolucionIncidencia[[#This Row],[Nuevos 14 dias]]/_xlfn.MAXIFS(EvolucionIncidencia[Nuevos 14 dias],EvolucionIncidencia[Area_Sanitaria],EvolucionIncidencia[[#This Row],[Area_Sanitaria]]))</f>
        <v>0.30069930069930068</v>
      </c>
    </row>
    <row r="311" spans="1:28" hidden="1" x14ac:dyDescent="0.3">
      <c r="A311" s="1">
        <v>44208</v>
      </c>
      <c r="B311" s="2" t="s">
        <v>7</v>
      </c>
      <c r="C311" s="15">
        <v>11872</v>
      </c>
      <c r="D311" s="15">
        <v>1886</v>
      </c>
      <c r="E311" s="15">
        <v>9775</v>
      </c>
      <c r="F311">
        <v>93</v>
      </c>
      <c r="G311">
        <v>6</v>
      </c>
      <c r="H311" s="15">
        <v>209553</v>
      </c>
      <c r="I311" s="15">
        <v>215</v>
      </c>
      <c r="J311" s="15">
        <v>95267</v>
      </c>
      <c r="K311" s="15">
        <v>195</v>
      </c>
      <c r="L311">
        <v>76</v>
      </c>
      <c r="M311">
        <v>-12</v>
      </c>
      <c r="N311">
        <v>-1</v>
      </c>
      <c r="O311" s="15">
        <v>2240</v>
      </c>
      <c r="P311" s="15">
        <v>449</v>
      </c>
      <c r="Q311" s="15">
        <v>2689</v>
      </c>
      <c r="R311">
        <v>1.0419889502762432</v>
      </c>
      <c r="S311" s="15">
        <v>111</v>
      </c>
      <c r="T311" t="s">
        <v>403</v>
      </c>
      <c r="U311" s="15" t="str">
        <f>TEXT(EvolucionIncidencia[[#This Row],[Fecha]],"DDDD")</f>
        <v>martes</v>
      </c>
      <c r="V3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0.9173553719008265</v>
      </c>
      <c r="W3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117.63621957925419</v>
      </c>
      <c r="X311" s="2">
        <f>IF(EvolucionIncidencia[[#This Row],[Fecha]]&lt;=MIN(EvolucionIncidencia[Fecha])+14,"",EvolucionIncidencia[[#This Row],[NuevasAltas]]-EvolucionIncidencia[[#This Row],[Previsión Altas]])</f>
        <v>-6.6362195792541883</v>
      </c>
      <c r="Y3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1080</v>
      </c>
      <c r="Z3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1755</v>
      </c>
      <c r="AA311" s="2">
        <f>IF(LEN(EvolucionIncidencia[[#This Row],[Nuevos 7 dias]])=0,"",EvolucionIncidencia[[#This Row],[Nuevos 7 dias]]/_xlfn.MAXIFS(EvolucionIncidencia[Nuevos 7 dias],EvolucionIncidencia[Area_Sanitaria],EvolucionIncidencia[[#This Row],[Area_Sanitaria]]))</f>
        <v>0.63604240282685509</v>
      </c>
      <c r="AB311" s="2">
        <f>IF(LEN(EvolucionIncidencia[[#This Row],[Nuevos 14 dias]])=0,"",EvolucionIncidencia[[#This Row],[Nuevos 14 dias]]/_xlfn.MAXIFS(EvolucionIncidencia[Nuevos 14 dias],EvolucionIncidencia[Area_Sanitaria],EvolucionIncidencia[[#This Row],[Area_Sanitaria]]))</f>
        <v>0.55153991200502828</v>
      </c>
    </row>
    <row r="312" spans="1:28" hidden="1" x14ac:dyDescent="0.3">
      <c r="A312" s="1">
        <v>44208</v>
      </c>
      <c r="B312" s="2" t="s">
        <v>2</v>
      </c>
      <c r="C312" s="15">
        <v>14036</v>
      </c>
      <c r="D312" s="15">
        <v>1720</v>
      </c>
      <c r="E312" s="15">
        <v>12036</v>
      </c>
      <c r="F312">
        <v>44</v>
      </c>
      <c r="G312">
        <v>22</v>
      </c>
      <c r="H312" s="15">
        <v>257339</v>
      </c>
      <c r="I312" s="15">
        <v>280</v>
      </c>
      <c r="J312" s="15">
        <v>59668</v>
      </c>
      <c r="K312" s="15">
        <v>221</v>
      </c>
      <c r="L312">
        <v>141</v>
      </c>
      <c r="M312">
        <v>-1</v>
      </c>
      <c r="N312">
        <v>2</v>
      </c>
      <c r="O312" s="15">
        <v>1975</v>
      </c>
      <c r="P312" s="15">
        <v>218</v>
      </c>
      <c r="Q312" s="15">
        <v>2193</v>
      </c>
      <c r="R312">
        <v>1.0892970234325523</v>
      </c>
      <c r="S312" s="15">
        <v>79</v>
      </c>
      <c r="T312" t="s">
        <v>403</v>
      </c>
      <c r="U312" s="15" t="str">
        <f>TEXT(EvolucionIncidencia[[#This Row],[Fecha]],"DDDD")</f>
        <v>martes</v>
      </c>
      <c r="V3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1.0533333333333332</v>
      </c>
      <c r="W3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77.764539497037532</v>
      </c>
      <c r="X312" s="2">
        <f>IF(EvolucionIncidencia[[#This Row],[Fecha]]&lt;=MIN(EvolucionIncidencia[Fecha])+14,"",EvolucionIncidencia[[#This Row],[NuevasAltas]]-EvolucionIncidencia[[#This Row],[Previsión Altas]])</f>
        <v>1.2354605029624679</v>
      </c>
      <c r="Y3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1107</v>
      </c>
      <c r="Z3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1645</v>
      </c>
      <c r="AA312" s="2">
        <f>IF(LEN(EvolucionIncidencia[[#This Row],[Nuevos 7 dias]])=0,"",EvolucionIncidencia[[#This Row],[Nuevos 7 dias]]/_xlfn.MAXIFS(EvolucionIncidencia[Nuevos 7 dias],EvolucionIncidencia[Area_Sanitaria],EvolucionIncidencia[[#This Row],[Area_Sanitaria]]))</f>
        <v>0.57091284167096445</v>
      </c>
      <c r="AB312" s="2">
        <f>IF(LEN(EvolucionIncidencia[[#This Row],[Nuevos 14 dias]])=0,"",EvolucionIncidencia[[#This Row],[Nuevos 14 dias]]/_xlfn.MAXIFS(EvolucionIncidencia[Nuevos 14 dias],EvolucionIncidencia[Area_Sanitaria],EvolucionIncidencia[[#This Row],[Area_Sanitaria]]))</f>
        <v>0.45279383429672448</v>
      </c>
    </row>
    <row r="313" spans="1:28" hidden="1" x14ac:dyDescent="0.3">
      <c r="A313" s="1">
        <v>44208</v>
      </c>
      <c r="B313" s="2" t="s">
        <v>3</v>
      </c>
      <c r="C313" s="15">
        <v>71309</v>
      </c>
      <c r="D313" s="15">
        <v>9479</v>
      </c>
      <c r="E313" s="15">
        <v>60363</v>
      </c>
      <c r="F313">
        <v>438</v>
      </c>
      <c r="G313">
        <v>73</v>
      </c>
      <c r="H313" s="15">
        <v>1201074</v>
      </c>
      <c r="I313" s="15">
        <v>1474</v>
      </c>
      <c r="J313" s="15">
        <v>459760</v>
      </c>
      <c r="K313" s="15">
        <v>1047</v>
      </c>
      <c r="L313">
        <v>669</v>
      </c>
      <c r="M313">
        <v>17</v>
      </c>
      <c r="N313">
        <v>3</v>
      </c>
      <c r="O313" s="15">
        <v>9921</v>
      </c>
      <c r="P313" s="15">
        <v>1789</v>
      </c>
      <c r="Q313" s="15">
        <v>11710</v>
      </c>
      <c r="R313">
        <v>1.0759364358683314</v>
      </c>
      <c r="S313" s="15">
        <v>366</v>
      </c>
      <c r="T313" t="s">
        <v>403</v>
      </c>
      <c r="U313" s="15" t="str">
        <f>TEXT(EvolucionIncidencia[[#This Row],[Fecha]],"DDDD")</f>
        <v>martes</v>
      </c>
      <c r="V3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0.75619834710743805</v>
      </c>
      <c r="W3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490.70790992674296</v>
      </c>
      <c r="X313" s="2">
        <f>IF(EvolucionIncidencia[[#This Row],[Fecha]]&lt;=MIN(EvolucionIncidencia[Fecha])+14,"",EvolucionIncidencia[[#This Row],[NuevasAltas]]-EvolucionIncidencia[[#This Row],[Previsión Altas]])</f>
        <v>-124.70790992674296</v>
      </c>
      <c r="Y3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5559</v>
      </c>
      <c r="Z3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8843</v>
      </c>
      <c r="AA313" s="2">
        <f>IF(LEN(EvolucionIncidencia[[#This Row],[Nuevos 7 dias]])=0,"",EvolucionIncidencia[[#This Row],[Nuevos 7 dias]]/_xlfn.MAXIFS(EvolucionIncidencia[Nuevos 7 dias],EvolucionIncidencia[Area_Sanitaria],EvolucionIncidencia[[#This Row],[Area_Sanitaria]]))</f>
        <v>0.49003878702397741</v>
      </c>
      <c r="AB313" s="2">
        <f>IF(LEN(EvolucionIncidencia[[#This Row],[Nuevos 14 dias]])=0,"",EvolucionIncidencia[[#This Row],[Nuevos 14 dias]]/_xlfn.MAXIFS(EvolucionIncidencia[Nuevos 14 dias],EvolucionIncidencia[Area_Sanitaria],EvolucionIncidencia[[#This Row],[Area_Sanitaria]]))</f>
        <v>0.42396202895771407</v>
      </c>
    </row>
    <row r="314" spans="1:28" hidden="1" x14ac:dyDescent="0.3">
      <c r="A314" s="1">
        <v>44209</v>
      </c>
      <c r="B314" s="2" t="s">
        <v>4</v>
      </c>
      <c r="C314" s="15">
        <v>15914</v>
      </c>
      <c r="D314" s="15">
        <v>2469</v>
      </c>
      <c r="E314" s="15">
        <v>13119</v>
      </c>
      <c r="F314">
        <v>123</v>
      </c>
      <c r="G314">
        <v>27</v>
      </c>
      <c r="H314" s="15">
        <v>249368</v>
      </c>
      <c r="I314" s="15">
        <v>333</v>
      </c>
      <c r="J314" s="15">
        <v>80099</v>
      </c>
      <c r="K314" s="15">
        <v>298</v>
      </c>
      <c r="L314">
        <v>209</v>
      </c>
      <c r="M314">
        <v>15</v>
      </c>
      <c r="N314">
        <v>5</v>
      </c>
      <c r="O314" s="15">
        <v>2254</v>
      </c>
      <c r="P314" s="15">
        <v>408</v>
      </c>
      <c r="Q314" s="15">
        <v>2662</v>
      </c>
      <c r="R314">
        <v>1.0924778761061946</v>
      </c>
      <c r="S314" s="15">
        <v>88</v>
      </c>
      <c r="T314" t="s">
        <v>404</v>
      </c>
      <c r="U314" s="15" t="str">
        <f>TEXT(EvolucionIncidencia[[#This Row],[Fecha]],"DDDD")</f>
        <v>miércoles</v>
      </c>
      <c r="V3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0.65671641791044777</v>
      </c>
      <c r="W3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136.59664030758481</v>
      </c>
      <c r="X314" s="2">
        <f>IF(EvolucionIncidencia[[#This Row],[Fecha]]&lt;=MIN(EvolucionIncidencia[Fecha])+14,"",EvolucionIncidencia[[#This Row],[NuevasAltas]]-EvolucionIncidencia[[#This Row],[Previsión Altas]])</f>
        <v>-48.596640307584806</v>
      </c>
      <c r="Y3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1425</v>
      </c>
      <c r="Z3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2245</v>
      </c>
      <c r="AA314" s="2">
        <f>IF(LEN(EvolucionIncidencia[[#This Row],[Nuevos 7 dias]])=0,"",EvolucionIncidencia[[#This Row],[Nuevos 7 dias]]/_xlfn.MAXIFS(EvolucionIncidencia[Nuevos 7 dias],EvolucionIncidencia[Area_Sanitaria],EvolucionIncidencia[[#This Row],[Area_Sanitaria]]))</f>
        <v>0.4783484390735146</v>
      </c>
      <c r="AB314" s="2">
        <f>IF(LEN(EvolucionIncidencia[[#This Row],[Nuevos 14 dias]])=0,"",EvolucionIncidencia[[#This Row],[Nuevos 14 dias]]/_xlfn.MAXIFS(EvolucionIncidencia[Nuevos 14 dias],EvolucionIncidencia[Area_Sanitaria],EvolucionIncidencia[[#This Row],[Area_Sanitaria]]))</f>
        <v>0.41291153209490528</v>
      </c>
    </row>
    <row r="315" spans="1:28" hidden="1" x14ac:dyDescent="0.3">
      <c r="A315" s="1">
        <v>44209</v>
      </c>
      <c r="B315" s="2" t="s">
        <v>5</v>
      </c>
      <c r="C315" s="15">
        <v>4638</v>
      </c>
      <c r="D315" s="15">
        <v>710</v>
      </c>
      <c r="E315" s="15">
        <v>3830</v>
      </c>
      <c r="F315">
        <v>73</v>
      </c>
      <c r="G315">
        <v>6</v>
      </c>
      <c r="H315" s="15">
        <v>83246</v>
      </c>
      <c r="I315" s="15">
        <v>96</v>
      </c>
      <c r="J315" s="15">
        <v>30746</v>
      </c>
      <c r="K315" s="15">
        <v>68</v>
      </c>
      <c r="L315">
        <v>51</v>
      </c>
      <c r="M315">
        <v>-1</v>
      </c>
      <c r="N315">
        <v>1</v>
      </c>
      <c r="O315" s="15">
        <v>670</v>
      </c>
      <c r="P315" s="15">
        <v>44</v>
      </c>
      <c r="Q315" s="15">
        <v>714</v>
      </c>
      <c r="R315">
        <v>1.0773899848254931</v>
      </c>
      <c r="S315" s="15">
        <v>17</v>
      </c>
      <c r="T315" t="s">
        <v>404</v>
      </c>
      <c r="U315" s="15" t="str">
        <f>TEXT(EvolucionIncidencia[[#This Row],[Fecha]],"DDDD")</f>
        <v>miércoles</v>
      </c>
      <c r="V3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0.70833333333333337</v>
      </c>
      <c r="W3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29.969995352855396</v>
      </c>
      <c r="X315" s="2">
        <f>IF(EvolucionIncidencia[[#This Row],[Fecha]]&lt;=MIN(EvolucionIncidencia[Fecha])+14,"",EvolucionIncidencia[[#This Row],[NuevasAltas]]-EvolucionIncidencia[[#This Row],[Previsión Altas]])</f>
        <v>-12.969995352855396</v>
      </c>
      <c r="Y3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427</v>
      </c>
      <c r="Z3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645</v>
      </c>
      <c r="AA315" s="2">
        <f>IF(LEN(EvolucionIncidencia[[#This Row],[Nuevos 7 dias]])=0,"",EvolucionIncidencia[[#This Row],[Nuevos 7 dias]]/_xlfn.MAXIFS(EvolucionIncidencia[Nuevos 7 dias],EvolucionIncidencia[Area_Sanitaria],EvolucionIncidencia[[#This Row],[Area_Sanitaria]]))</f>
        <v>0.511377245508982</v>
      </c>
      <c r="AB315" s="2">
        <f>IF(LEN(EvolucionIncidencia[[#This Row],[Nuevos 14 dias]])=0,"",EvolucionIncidencia[[#This Row],[Nuevos 14 dias]]/_xlfn.MAXIFS(EvolucionIncidencia[Nuevos 14 dias],EvolucionIncidencia[Area_Sanitaria],EvolucionIncidencia[[#This Row],[Area_Sanitaria]]))</f>
        <v>0.39353264185478953</v>
      </c>
    </row>
    <row r="316" spans="1:28" hidden="1" x14ac:dyDescent="0.3">
      <c r="A316" s="1">
        <v>44209</v>
      </c>
      <c r="B316" s="2" t="s">
        <v>8</v>
      </c>
      <c r="C316" s="15">
        <v>7980</v>
      </c>
      <c r="D316" s="15">
        <v>945</v>
      </c>
      <c r="E316" s="15">
        <v>6881</v>
      </c>
      <c r="F316">
        <v>31</v>
      </c>
      <c r="G316">
        <v>3</v>
      </c>
      <c r="H316" s="15">
        <v>137147</v>
      </c>
      <c r="I316" s="15">
        <v>149</v>
      </c>
      <c r="J316" s="15">
        <v>76890</v>
      </c>
      <c r="K316" s="15">
        <v>99</v>
      </c>
      <c r="L316">
        <v>55</v>
      </c>
      <c r="M316">
        <v>3</v>
      </c>
      <c r="N316">
        <v>-1</v>
      </c>
      <c r="O316" s="15">
        <v>1130</v>
      </c>
      <c r="P316" s="15">
        <v>200</v>
      </c>
      <c r="Q316" s="15">
        <v>1330</v>
      </c>
      <c r="R316">
        <v>1.0617977528089888</v>
      </c>
      <c r="S316" s="15">
        <v>43</v>
      </c>
      <c r="T316" t="s">
        <v>404</v>
      </c>
      <c r="U316" s="15" t="str">
        <f>TEXT(EvolucionIncidencia[[#This Row],[Fecha]],"DDDD")</f>
        <v>miércoles</v>
      </c>
      <c r="V3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0.87755102040816324</v>
      </c>
      <c r="W3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55.77306507470108</v>
      </c>
      <c r="X316" s="2">
        <f>IF(EvolucionIncidencia[[#This Row],[Fecha]]&lt;=MIN(EvolucionIncidencia[Fecha])+14,"",EvolucionIncidencia[[#This Row],[NuevasAltas]]-EvolucionIncidencia[[#This Row],[Previsión Altas]])</f>
        <v>-12.77306507470108</v>
      </c>
      <c r="Y3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520</v>
      </c>
      <c r="Z3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872</v>
      </c>
      <c r="AA316" s="2">
        <f>IF(LEN(EvolucionIncidencia[[#This Row],[Nuevos 7 dias]])=0,"",EvolucionIncidencia[[#This Row],[Nuevos 7 dias]]/_xlfn.MAXIFS(EvolucionIncidencia[Nuevos 7 dias],EvolucionIncidencia[Area_Sanitaria],EvolucionIncidencia[[#This Row],[Area_Sanitaria]]))</f>
        <v>0.47016274864376129</v>
      </c>
      <c r="AB316" s="2">
        <f>IF(LEN(EvolucionIncidencia[[#This Row],[Nuevos 14 dias]])=0,"",EvolucionIncidencia[[#This Row],[Nuevos 14 dias]]/_xlfn.MAXIFS(EvolucionIncidencia[Nuevos 14 dias],EvolucionIncidencia[Area_Sanitaria],EvolucionIncidencia[[#This Row],[Area_Sanitaria]]))</f>
        <v>0.44040404040404041</v>
      </c>
    </row>
    <row r="317" spans="1:28" hidden="1" x14ac:dyDescent="0.3">
      <c r="A317" s="1">
        <v>44209</v>
      </c>
      <c r="B317" s="2" t="s">
        <v>9</v>
      </c>
      <c r="C317" s="15">
        <v>9856</v>
      </c>
      <c r="D317" s="15">
        <v>1348</v>
      </c>
      <c r="E317" s="15">
        <v>8191</v>
      </c>
      <c r="F317">
        <v>46</v>
      </c>
      <c r="G317">
        <v>7</v>
      </c>
      <c r="H317" s="15">
        <v>148464</v>
      </c>
      <c r="I317" s="15">
        <v>317</v>
      </c>
      <c r="J317" s="15">
        <v>70434</v>
      </c>
      <c r="K317" s="15">
        <v>164</v>
      </c>
      <c r="L317">
        <v>116</v>
      </c>
      <c r="M317">
        <v>2</v>
      </c>
      <c r="N317">
        <v>3</v>
      </c>
      <c r="O317" s="15">
        <v>1535</v>
      </c>
      <c r="P317" s="15">
        <v>262</v>
      </c>
      <c r="Q317" s="15">
        <v>1797</v>
      </c>
      <c r="R317">
        <v>1.0941558441558441</v>
      </c>
      <c r="S317" s="15">
        <v>47</v>
      </c>
      <c r="T317" t="s">
        <v>404</v>
      </c>
      <c r="U317" s="15" t="str">
        <f>TEXT(EvolucionIncidencia[[#This Row],[Fecha]],"DDDD")</f>
        <v>miércoles</v>
      </c>
      <c r="V3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0.6811594202898551</v>
      </c>
      <c r="W3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74.440599225037985</v>
      </c>
      <c r="X317" s="2">
        <f>IF(EvolucionIncidencia[[#This Row],[Fecha]]&lt;=MIN(EvolucionIncidencia[Fecha])+14,"",EvolucionIncidencia[[#This Row],[NuevasAltas]]-EvolucionIncidencia[[#This Row],[Previsión Altas]])</f>
        <v>-27.440599225037985</v>
      </c>
      <c r="Y3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849</v>
      </c>
      <c r="Z3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1303</v>
      </c>
      <c r="AA317" s="2">
        <f>IF(LEN(EvolucionIncidencia[[#This Row],[Nuevos 7 dias]])=0,"",EvolucionIncidencia[[#This Row],[Nuevos 7 dias]]/_xlfn.MAXIFS(EvolucionIncidencia[Nuevos 7 dias],EvolucionIncidencia[Area_Sanitaria],EvolucionIncidencia[[#This Row],[Area_Sanitaria]]))</f>
        <v>0.54110898661567874</v>
      </c>
      <c r="AB317" s="2">
        <f>IF(LEN(EvolucionIncidencia[[#This Row],[Nuevos 14 dias]])=0,"",EvolucionIncidencia[[#This Row],[Nuevos 14 dias]]/_xlfn.MAXIFS(EvolucionIncidencia[Nuevos 14 dias],EvolucionIncidencia[Area_Sanitaria],EvolucionIncidencia[[#This Row],[Area_Sanitaria]]))</f>
        <v>0.46026139173436947</v>
      </c>
    </row>
    <row r="318" spans="1:28" x14ac:dyDescent="0.3">
      <c r="A318" s="1">
        <v>44209</v>
      </c>
      <c r="B318" s="2" t="s">
        <v>6</v>
      </c>
      <c r="C318" s="15">
        <v>7727</v>
      </c>
      <c r="D318" s="15">
        <v>867</v>
      </c>
      <c r="E318" s="15">
        <v>6775</v>
      </c>
      <c r="F318">
        <v>51</v>
      </c>
      <c r="G318">
        <v>9</v>
      </c>
      <c r="H318" s="15">
        <v>122322</v>
      </c>
      <c r="I318" s="15">
        <v>89</v>
      </c>
      <c r="J318" s="15">
        <v>47705</v>
      </c>
      <c r="K318" s="15">
        <v>85</v>
      </c>
      <c r="L318">
        <v>35</v>
      </c>
      <c r="M318">
        <v>4</v>
      </c>
      <c r="N318">
        <v>-1</v>
      </c>
      <c r="O318" s="15">
        <v>776</v>
      </c>
      <c r="P318" s="15">
        <v>135</v>
      </c>
      <c r="Q318" s="15">
        <v>911</v>
      </c>
      <c r="R318">
        <v>1.0420673076923077</v>
      </c>
      <c r="S318" s="15">
        <v>49</v>
      </c>
      <c r="T318" t="s">
        <v>404</v>
      </c>
      <c r="U318" s="15" t="str">
        <f>TEXT(EvolucionIncidencia[[#This Row],[Fecha]],"DDDD")</f>
        <v>miércoles</v>
      </c>
      <c r="V3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1.6333333333333333</v>
      </c>
      <c r="W3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31.45582155671018</v>
      </c>
      <c r="X318" s="2">
        <f>IF(EvolucionIncidencia[[#This Row],[Fecha]]&lt;=MIN(EvolucionIncidencia[Fecha])+14,"",EvolucionIncidencia[[#This Row],[NuevasAltas]]-EvolucionIncidencia[[#This Row],[Previsión Altas]])</f>
        <v>17.54417844328982</v>
      </c>
      <c r="Y3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477</v>
      </c>
      <c r="Z3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786</v>
      </c>
      <c r="AA318" s="2">
        <f>IF(LEN(EvolucionIncidencia[[#This Row],[Nuevos 7 dias]])=0,"",EvolucionIncidencia[[#This Row],[Nuevos 7 dias]]/_xlfn.MAXIFS(EvolucionIncidencia[Nuevos 7 dias],EvolucionIncidencia[Area_Sanitaria],EvolucionIncidencia[[#This Row],[Area_Sanitaria]]))</f>
        <v>0.36273764258555136</v>
      </c>
      <c r="AB318" s="2">
        <f>IF(LEN(EvolucionIncidencia[[#This Row],[Nuevos 14 dias]])=0,"",EvolucionIncidencia[[#This Row],[Nuevos 14 dias]]/_xlfn.MAXIFS(EvolucionIncidencia[Nuevos 14 dias],EvolucionIncidencia[Area_Sanitaria],EvolucionIncidencia[[#This Row],[Area_Sanitaria]]))</f>
        <v>0.32332373508844098</v>
      </c>
    </row>
    <row r="319" spans="1:28" hidden="1" x14ac:dyDescent="0.3">
      <c r="A319" s="1">
        <v>44209</v>
      </c>
      <c r="B319" s="2" t="s">
        <v>7</v>
      </c>
      <c r="C319" s="15">
        <v>12103</v>
      </c>
      <c r="D319" s="15">
        <v>1983</v>
      </c>
      <c r="E319" s="15">
        <v>9909</v>
      </c>
      <c r="F319">
        <v>92</v>
      </c>
      <c r="G319">
        <v>8</v>
      </c>
      <c r="H319" s="15">
        <v>211665</v>
      </c>
      <c r="I319" s="15">
        <v>215</v>
      </c>
      <c r="J319" s="15">
        <v>95629</v>
      </c>
      <c r="K319" s="15">
        <v>231</v>
      </c>
      <c r="L319">
        <v>97</v>
      </c>
      <c r="M319">
        <v>-1</v>
      </c>
      <c r="N319">
        <v>2</v>
      </c>
      <c r="O319" s="15">
        <v>2112</v>
      </c>
      <c r="P319" s="15">
        <v>362</v>
      </c>
      <c r="Q319" s="15">
        <v>2474</v>
      </c>
      <c r="R319">
        <v>1.0514316012725344</v>
      </c>
      <c r="S319" s="15">
        <v>134</v>
      </c>
      <c r="T319" t="s">
        <v>404</v>
      </c>
      <c r="U319" s="15" t="str">
        <f>TEXT(EvolucionIncidencia[[#This Row],[Fecha]],"DDDD")</f>
        <v>miércoles</v>
      </c>
      <c r="V3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1.1652173913043478</v>
      </c>
      <c r="W3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113.56059269839071</v>
      </c>
      <c r="X319" s="2">
        <f>IF(EvolucionIncidencia[[#This Row],[Fecha]]&lt;=MIN(EvolucionIncidencia[Fecha])+14,"",EvolucionIncidencia[[#This Row],[NuevasAltas]]-EvolucionIncidencia[[#This Row],[Previsión Altas]])</f>
        <v>20.439407301609293</v>
      </c>
      <c r="Y3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1205</v>
      </c>
      <c r="Z3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1871</v>
      </c>
      <c r="AA319" s="2">
        <f>IF(LEN(EvolucionIncidencia[[#This Row],[Nuevos 7 dias]])=0,"",EvolucionIncidencia[[#This Row],[Nuevos 7 dias]]/_xlfn.MAXIFS(EvolucionIncidencia[Nuevos 7 dias],EvolucionIncidencia[Area_Sanitaria],EvolucionIncidencia[[#This Row],[Area_Sanitaria]]))</f>
        <v>0.70965842167255599</v>
      </c>
      <c r="AB319" s="2">
        <f>IF(LEN(EvolucionIncidencia[[#This Row],[Nuevos 14 dias]])=0,"",EvolucionIncidencia[[#This Row],[Nuevos 14 dias]]/_xlfn.MAXIFS(EvolucionIncidencia[Nuevos 14 dias],EvolucionIncidencia[Area_Sanitaria],EvolucionIncidencia[[#This Row],[Area_Sanitaria]]))</f>
        <v>0.58799497171590198</v>
      </c>
    </row>
    <row r="320" spans="1:28" hidden="1" x14ac:dyDescent="0.3">
      <c r="A320" s="1">
        <v>44209</v>
      </c>
      <c r="B320" s="2" t="s">
        <v>2</v>
      </c>
      <c r="C320" s="15">
        <v>14280</v>
      </c>
      <c r="D320" s="15">
        <v>1893</v>
      </c>
      <c r="E320" s="15">
        <v>12106</v>
      </c>
      <c r="F320">
        <v>47</v>
      </c>
      <c r="G320">
        <v>22</v>
      </c>
      <c r="H320" s="15">
        <v>259614</v>
      </c>
      <c r="I320" s="15">
        <v>281</v>
      </c>
      <c r="J320" s="15">
        <v>59944</v>
      </c>
      <c r="K320" s="15">
        <v>244</v>
      </c>
      <c r="L320">
        <v>173</v>
      </c>
      <c r="M320">
        <v>3</v>
      </c>
      <c r="N320">
        <v>0</v>
      </c>
      <c r="O320" s="15">
        <v>2275</v>
      </c>
      <c r="P320" s="15">
        <v>276</v>
      </c>
      <c r="Q320" s="15">
        <v>2551</v>
      </c>
      <c r="R320">
        <v>1.1005813953488373</v>
      </c>
      <c r="S320" s="15">
        <v>70</v>
      </c>
      <c r="T320" t="s">
        <v>404</v>
      </c>
      <c r="U320" s="15" t="str">
        <f>TEXT(EvolucionIncidencia[[#This Row],[Fecha]],"DDDD")</f>
        <v>miércoles</v>
      </c>
      <c r="V3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0.76923076923076927</v>
      </c>
      <c r="W3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96.366263845937198</v>
      </c>
      <c r="X320" s="2">
        <f>IF(EvolucionIncidencia[[#This Row],[Fecha]]&lt;=MIN(EvolucionIncidencia[Fecha])+14,"",EvolucionIncidencia[[#This Row],[NuevasAltas]]-EvolucionIncidencia[[#This Row],[Previsión Altas]])</f>
        <v>-26.366263845937198</v>
      </c>
      <c r="Y3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1167</v>
      </c>
      <c r="Z3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1798</v>
      </c>
      <c r="AA320" s="2">
        <f>IF(LEN(EvolucionIncidencia[[#This Row],[Nuevos 7 dias]])=0,"",EvolucionIncidencia[[#This Row],[Nuevos 7 dias]]/_xlfn.MAXIFS(EvolucionIncidencia[Nuevos 7 dias],EvolucionIncidencia[Area_Sanitaria],EvolucionIncidencia[[#This Row],[Area_Sanitaria]]))</f>
        <v>0.6018566271273853</v>
      </c>
      <c r="AB320" s="2">
        <f>IF(LEN(EvolucionIncidencia[[#This Row],[Nuevos 14 dias]])=0,"",EvolucionIncidencia[[#This Row],[Nuevos 14 dias]]/_xlfn.MAXIFS(EvolucionIncidencia[Nuevos 14 dias],EvolucionIncidencia[Area_Sanitaria],EvolucionIncidencia[[#This Row],[Area_Sanitaria]]))</f>
        <v>0.49490778970547755</v>
      </c>
    </row>
    <row r="321" spans="1:28" hidden="1" x14ac:dyDescent="0.3">
      <c r="A321" s="1">
        <v>44209</v>
      </c>
      <c r="B321" s="2" t="s">
        <v>3</v>
      </c>
      <c r="C321" s="15">
        <v>72498</v>
      </c>
      <c r="D321" s="15">
        <v>10215</v>
      </c>
      <c r="E321" s="15">
        <v>60811</v>
      </c>
      <c r="F321">
        <v>463</v>
      </c>
      <c r="G321">
        <v>82</v>
      </c>
      <c r="H321" s="15">
        <v>1211826</v>
      </c>
      <c r="I321" s="15">
        <v>1480</v>
      </c>
      <c r="J321" s="15">
        <v>461447</v>
      </c>
      <c r="K321" s="15">
        <v>1189</v>
      </c>
      <c r="L321">
        <v>736</v>
      </c>
      <c r="M321">
        <v>25</v>
      </c>
      <c r="N321">
        <v>9</v>
      </c>
      <c r="O321" s="15">
        <v>10752</v>
      </c>
      <c r="P321" s="15">
        <v>1687</v>
      </c>
      <c r="Q321" s="15">
        <v>12439</v>
      </c>
      <c r="R321">
        <v>1.0776453212364174</v>
      </c>
      <c r="S321" s="15">
        <v>448</v>
      </c>
      <c r="T321" t="s">
        <v>404</v>
      </c>
      <c r="U321" s="15" t="str">
        <f>TEXT(EvolucionIncidencia[[#This Row],[Fecha]],"DDDD")</f>
        <v>miércoles</v>
      </c>
      <c r="V3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0.875</v>
      </c>
      <c r="W3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514.31995782230672</v>
      </c>
      <c r="X321" s="2">
        <f>IF(EvolucionIncidencia[[#This Row],[Fecha]]&lt;=MIN(EvolucionIncidencia[Fecha])+14,"",EvolucionIncidencia[[#This Row],[NuevasAltas]]-EvolucionIncidencia[[#This Row],[Previsión Altas]])</f>
        <v>-66.319957822306719</v>
      </c>
      <c r="Y3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6070</v>
      </c>
      <c r="Z3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9520</v>
      </c>
      <c r="AA321" s="2">
        <f>IF(LEN(EvolucionIncidencia[[#This Row],[Nuevos 7 dias]])=0,"",EvolucionIncidencia[[#This Row],[Nuevos 7 dias]]/_xlfn.MAXIFS(EvolucionIncidencia[Nuevos 7 dias],EvolucionIncidencia[Area_Sanitaria],EvolucionIncidencia[[#This Row],[Area_Sanitaria]]))</f>
        <v>0.53508462623413255</v>
      </c>
      <c r="AB321" s="2">
        <f>IF(LEN(EvolucionIncidencia[[#This Row],[Nuevos 14 dias]])=0,"",EvolucionIncidencia[[#This Row],[Nuevos 14 dias]]/_xlfn.MAXIFS(EvolucionIncidencia[Nuevos 14 dias],EvolucionIncidencia[Area_Sanitaria],EvolucionIncidencia[[#This Row],[Area_Sanitaria]]))</f>
        <v>0.45641959919455366</v>
      </c>
    </row>
    <row r="322" spans="1:28" hidden="1" x14ac:dyDescent="0.3">
      <c r="A322" s="1">
        <v>44210</v>
      </c>
      <c r="B322" s="2" t="s">
        <v>4</v>
      </c>
      <c r="C322" s="15">
        <v>16209</v>
      </c>
      <c r="D322" s="15">
        <v>2635</v>
      </c>
      <c r="E322" s="15">
        <v>13248</v>
      </c>
      <c r="F322">
        <v>138</v>
      </c>
      <c r="G322">
        <v>26</v>
      </c>
      <c r="H322" s="15">
        <v>251728</v>
      </c>
      <c r="I322" s="15">
        <v>333</v>
      </c>
      <c r="J322" s="15">
        <v>80515</v>
      </c>
      <c r="K322" s="15">
        <v>295</v>
      </c>
      <c r="L322">
        <v>166</v>
      </c>
      <c r="M322">
        <v>15</v>
      </c>
      <c r="N322">
        <v>-1</v>
      </c>
      <c r="O322" s="15">
        <v>2360</v>
      </c>
      <c r="P322" s="15">
        <v>416</v>
      </c>
      <c r="Q322" s="15">
        <v>2776</v>
      </c>
      <c r="R322">
        <v>1.0672336978533818</v>
      </c>
      <c r="S322" s="15">
        <v>129</v>
      </c>
      <c r="T322" t="s">
        <v>405</v>
      </c>
      <c r="U322" s="15" t="str">
        <f>TEXT(EvolucionIncidencia[[#This Row],[Fecha]],"DDDD")</f>
        <v>jueves</v>
      </c>
      <c r="V3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1.205607476635514</v>
      </c>
      <c r="W3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106.44976928612049</v>
      </c>
      <c r="X322" s="2">
        <f>IF(EvolucionIncidencia[[#This Row],[Fecha]]&lt;=MIN(EvolucionIncidencia[Fecha])+14,"",EvolucionIncidencia[[#This Row],[NuevasAltas]]-EvolucionIncidencia[[#This Row],[Previsión Altas]])</f>
        <v>22.550230713879515</v>
      </c>
      <c r="Y3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1569</v>
      </c>
      <c r="Z3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2433</v>
      </c>
      <c r="AA322" s="2">
        <f>IF(LEN(EvolucionIncidencia[[#This Row],[Nuevos 7 dias]])=0,"",EvolucionIncidencia[[#This Row],[Nuevos 7 dias]]/_xlfn.MAXIFS(EvolucionIncidencia[Nuevos 7 dias],EvolucionIncidencia[Area_Sanitaria],EvolucionIncidencia[[#This Row],[Area_Sanitaria]]))</f>
        <v>0.52668680765357501</v>
      </c>
      <c r="AB322" s="2">
        <f>IF(LEN(EvolucionIncidencia[[#This Row],[Nuevos 14 dias]])=0,"",EvolucionIncidencia[[#This Row],[Nuevos 14 dias]]/_xlfn.MAXIFS(EvolucionIncidencia[Nuevos 14 dias],EvolucionIncidencia[Area_Sanitaria],EvolucionIncidencia[[#This Row],[Area_Sanitaria]]))</f>
        <v>0.44748942431487954</v>
      </c>
    </row>
    <row r="323" spans="1:28" hidden="1" x14ac:dyDescent="0.3">
      <c r="A323" s="1">
        <v>44210</v>
      </c>
      <c r="B323" s="2" t="s">
        <v>5</v>
      </c>
      <c r="C323" s="15">
        <v>4751</v>
      </c>
      <c r="D323" s="15">
        <v>796</v>
      </c>
      <c r="E323" s="15">
        <v>3855</v>
      </c>
      <c r="F323">
        <v>77</v>
      </c>
      <c r="G323">
        <v>9</v>
      </c>
      <c r="H323" s="15">
        <v>83828</v>
      </c>
      <c r="I323" s="15">
        <v>98</v>
      </c>
      <c r="J323" s="15">
        <v>30818</v>
      </c>
      <c r="K323" s="15">
        <v>113</v>
      </c>
      <c r="L323">
        <v>86</v>
      </c>
      <c r="M323">
        <v>4</v>
      </c>
      <c r="N323">
        <v>3</v>
      </c>
      <c r="O323" s="15">
        <v>582</v>
      </c>
      <c r="P323" s="15">
        <v>72</v>
      </c>
      <c r="Q323" s="15">
        <v>654</v>
      </c>
      <c r="R323">
        <v>1.1211267605633803</v>
      </c>
      <c r="S323" s="15">
        <v>25</v>
      </c>
      <c r="T323" t="s">
        <v>405</v>
      </c>
      <c r="U323" s="15" t="str">
        <f>TEXT(EvolucionIncidencia[[#This Row],[Fecha]],"DDDD")</f>
        <v>jueves</v>
      </c>
      <c r="V3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1.0416666666666667</v>
      </c>
      <c r="W3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27.112852495712545</v>
      </c>
      <c r="X323" s="2">
        <f>IF(EvolucionIncidencia[[#This Row],[Fecha]]&lt;=MIN(EvolucionIncidencia[Fecha])+14,"",EvolucionIncidencia[[#This Row],[NuevasAltas]]-EvolucionIncidencia[[#This Row],[Previsión Altas]])</f>
        <v>-2.112852495712545</v>
      </c>
      <c r="Y3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490</v>
      </c>
      <c r="Z3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734</v>
      </c>
      <c r="AA323" s="2">
        <f>IF(LEN(EvolucionIncidencia[[#This Row],[Nuevos 7 dias]])=0,"",EvolucionIncidencia[[#This Row],[Nuevos 7 dias]]/_xlfn.MAXIFS(EvolucionIncidencia[Nuevos 7 dias],EvolucionIncidencia[Area_Sanitaria],EvolucionIncidencia[[#This Row],[Area_Sanitaria]]))</f>
        <v>0.58682634730538918</v>
      </c>
      <c r="AB323" s="2">
        <f>IF(LEN(EvolucionIncidencia[[#This Row],[Nuevos 14 dias]])=0,"",EvolucionIncidencia[[#This Row],[Nuevos 14 dias]]/_xlfn.MAXIFS(EvolucionIncidencia[Nuevos 14 dias],EvolucionIncidencia[Area_Sanitaria],EvolucionIncidencia[[#This Row],[Area_Sanitaria]]))</f>
        <v>0.44783404514948139</v>
      </c>
    </row>
    <row r="324" spans="1:28" hidden="1" x14ac:dyDescent="0.3">
      <c r="A324" s="1">
        <v>44210</v>
      </c>
      <c r="B324" s="2" t="s">
        <v>8</v>
      </c>
      <c r="C324" s="15">
        <v>8065</v>
      </c>
      <c r="D324" s="15">
        <v>992</v>
      </c>
      <c r="E324" s="15">
        <v>6918</v>
      </c>
      <c r="F324">
        <v>32</v>
      </c>
      <c r="G324">
        <v>3</v>
      </c>
      <c r="H324" s="15">
        <v>138110</v>
      </c>
      <c r="I324" s="15">
        <v>150</v>
      </c>
      <c r="J324" s="15">
        <v>77068</v>
      </c>
      <c r="K324" s="15">
        <v>85</v>
      </c>
      <c r="L324">
        <v>47</v>
      </c>
      <c r="M324">
        <v>1</v>
      </c>
      <c r="N324">
        <v>0</v>
      </c>
      <c r="O324" s="15">
        <v>963</v>
      </c>
      <c r="P324" s="15">
        <v>178</v>
      </c>
      <c r="Q324" s="15">
        <v>1141</v>
      </c>
      <c r="R324">
        <v>1.0497354497354496</v>
      </c>
      <c r="S324" s="15">
        <v>37</v>
      </c>
      <c r="T324" t="s">
        <v>405</v>
      </c>
      <c r="U324" s="15" t="str">
        <f>TEXT(EvolucionIncidencia[[#This Row],[Fecha]],"DDDD")</f>
        <v>jueves</v>
      </c>
      <c r="V3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0.78723404255319152</v>
      </c>
      <c r="W3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51.333981926766782</v>
      </c>
      <c r="X324" s="2">
        <f>IF(EvolucionIncidencia[[#This Row],[Fecha]]&lt;=MIN(EvolucionIncidencia[Fecha])+14,"",EvolucionIncidencia[[#This Row],[NuevasAltas]]-EvolucionIncidencia[[#This Row],[Previsión Altas]])</f>
        <v>-14.333981926766782</v>
      </c>
      <c r="Y3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563</v>
      </c>
      <c r="Z3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910</v>
      </c>
      <c r="AA324" s="2">
        <f>IF(LEN(EvolucionIncidencia[[#This Row],[Nuevos 7 dias]])=0,"",EvolucionIncidencia[[#This Row],[Nuevos 7 dias]]/_xlfn.MAXIFS(EvolucionIncidencia[Nuevos 7 dias],EvolucionIncidencia[Area_Sanitaria],EvolucionIncidencia[[#This Row],[Area_Sanitaria]]))</f>
        <v>0.50904159132007232</v>
      </c>
      <c r="AB324" s="2">
        <f>IF(LEN(EvolucionIncidencia[[#This Row],[Nuevos 14 dias]])=0,"",EvolucionIncidencia[[#This Row],[Nuevos 14 dias]]/_xlfn.MAXIFS(EvolucionIncidencia[Nuevos 14 dias],EvolucionIncidencia[Area_Sanitaria],EvolucionIncidencia[[#This Row],[Area_Sanitaria]]))</f>
        <v>0.45959595959595961</v>
      </c>
    </row>
    <row r="325" spans="1:28" hidden="1" x14ac:dyDescent="0.3">
      <c r="A325" s="1">
        <v>44210</v>
      </c>
      <c r="B325" s="2" t="s">
        <v>9</v>
      </c>
      <c r="C325" s="15">
        <v>10050</v>
      </c>
      <c r="D325" s="15">
        <v>1459</v>
      </c>
      <c r="E325" s="15">
        <v>8273</v>
      </c>
      <c r="F325">
        <v>54</v>
      </c>
      <c r="G325">
        <v>9</v>
      </c>
      <c r="H325" s="15">
        <v>150168</v>
      </c>
      <c r="I325" s="15">
        <v>318</v>
      </c>
      <c r="J325" s="15">
        <v>70807</v>
      </c>
      <c r="K325" s="15">
        <v>194</v>
      </c>
      <c r="L325">
        <v>111</v>
      </c>
      <c r="M325">
        <v>8</v>
      </c>
      <c r="N325">
        <v>2</v>
      </c>
      <c r="O325" s="15">
        <v>1704</v>
      </c>
      <c r="P325" s="15">
        <v>373</v>
      </c>
      <c r="Q325" s="15">
        <v>2077</v>
      </c>
      <c r="R325">
        <v>1.0823442136498516</v>
      </c>
      <c r="S325" s="15">
        <v>82</v>
      </c>
      <c r="T325" t="s">
        <v>405</v>
      </c>
      <c r="U325" s="15" t="str">
        <f>TEXT(EvolucionIncidencia[[#This Row],[Fecha]],"DDDD")</f>
        <v>jueves</v>
      </c>
      <c r="V3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1.1884057971014492</v>
      </c>
      <c r="W3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72.86917065360943</v>
      </c>
      <c r="X325" s="2">
        <f>IF(EvolucionIncidencia[[#This Row],[Fecha]]&lt;=MIN(EvolucionIncidencia[Fecha])+14,"",EvolucionIncidencia[[#This Row],[NuevasAltas]]-EvolucionIncidencia[[#This Row],[Previsión Altas]])</f>
        <v>9.1308293463905699</v>
      </c>
      <c r="Y3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941</v>
      </c>
      <c r="Z3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1428</v>
      </c>
      <c r="AA325" s="2">
        <f>IF(LEN(EvolucionIncidencia[[#This Row],[Nuevos 7 dias]])=0,"",EvolucionIncidencia[[#This Row],[Nuevos 7 dias]]/_xlfn.MAXIFS(EvolucionIncidencia[Nuevos 7 dias],EvolucionIncidencia[Area_Sanitaria],EvolucionIncidencia[[#This Row],[Area_Sanitaria]]))</f>
        <v>0.59974506054811982</v>
      </c>
      <c r="AB325" s="2">
        <f>IF(LEN(EvolucionIncidencia[[#This Row],[Nuevos 14 dias]])=0,"",EvolucionIncidencia[[#This Row],[Nuevos 14 dias]]/_xlfn.MAXIFS(EvolucionIncidencia[Nuevos 14 dias],EvolucionIncidencia[Area_Sanitaria],EvolucionIncidencia[[#This Row],[Area_Sanitaria]]))</f>
        <v>0.50441540091840342</v>
      </c>
    </row>
    <row r="326" spans="1:28" x14ac:dyDescent="0.3">
      <c r="A326" s="1">
        <v>44210</v>
      </c>
      <c r="B326" s="2" t="s">
        <v>6</v>
      </c>
      <c r="C326" s="15">
        <v>7808</v>
      </c>
      <c r="D326" s="15">
        <v>907</v>
      </c>
      <c r="E326" s="15">
        <v>6816</v>
      </c>
      <c r="F326">
        <v>54</v>
      </c>
      <c r="G326">
        <v>11</v>
      </c>
      <c r="H326" s="15">
        <v>123032</v>
      </c>
      <c r="I326" s="15">
        <v>89</v>
      </c>
      <c r="J326" s="15">
        <v>47914</v>
      </c>
      <c r="K326" s="15">
        <v>81</v>
      </c>
      <c r="L326">
        <v>40</v>
      </c>
      <c r="M326">
        <v>3</v>
      </c>
      <c r="N326">
        <v>2</v>
      </c>
      <c r="O326" s="15">
        <v>710</v>
      </c>
      <c r="P326" s="15">
        <v>209</v>
      </c>
      <c r="Q326" s="15">
        <v>919</v>
      </c>
      <c r="R326">
        <v>1.0461361014994233</v>
      </c>
      <c r="S326" s="15">
        <v>41</v>
      </c>
      <c r="T326" t="s">
        <v>405</v>
      </c>
      <c r="U326" s="15" t="str">
        <f>TEXT(EvolucionIncidencia[[#This Row],[Fecha]],"DDDD")</f>
        <v>jueves</v>
      </c>
      <c r="V3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0.80392156862745101</v>
      </c>
      <c r="W3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57.394451681536111</v>
      </c>
      <c r="X326" s="2">
        <f>IF(EvolucionIncidencia[[#This Row],[Fecha]]&lt;=MIN(EvolucionIncidencia[Fecha])+14,"",EvolucionIncidencia[[#This Row],[NuevasAltas]]-EvolucionIncidencia[[#This Row],[Previsión Altas]])</f>
        <v>-16.394451681536111</v>
      </c>
      <c r="Y3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503</v>
      </c>
      <c r="Z3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816</v>
      </c>
      <c r="AA326" s="2">
        <f>IF(LEN(EvolucionIncidencia[[#This Row],[Nuevos 7 dias]])=0,"",EvolucionIncidencia[[#This Row],[Nuevos 7 dias]]/_xlfn.MAXIFS(EvolucionIncidencia[Nuevos 7 dias],EvolucionIncidencia[Area_Sanitaria],EvolucionIncidencia[[#This Row],[Area_Sanitaria]]))</f>
        <v>0.38250950570342207</v>
      </c>
      <c r="AB326" s="2">
        <f>IF(LEN(EvolucionIncidencia[[#This Row],[Nuevos 14 dias]])=0,"",EvolucionIncidencia[[#This Row],[Nuevos 14 dias]]/_xlfn.MAXIFS(EvolucionIncidencia[Nuevos 14 dias],EvolucionIncidencia[Area_Sanitaria],EvolucionIncidencia[[#This Row],[Area_Sanitaria]]))</f>
        <v>0.33566433566433568</v>
      </c>
    </row>
    <row r="327" spans="1:28" hidden="1" x14ac:dyDescent="0.3">
      <c r="A327" s="1">
        <v>44210</v>
      </c>
      <c r="B327" s="2" t="s">
        <v>7</v>
      </c>
      <c r="C327" s="15">
        <v>12313</v>
      </c>
      <c r="D327" s="15">
        <v>2081</v>
      </c>
      <c r="E327" s="15">
        <v>10020</v>
      </c>
      <c r="F327">
        <v>94</v>
      </c>
      <c r="G327">
        <v>10</v>
      </c>
      <c r="H327" s="15">
        <v>213458</v>
      </c>
      <c r="I327" s="15">
        <v>216</v>
      </c>
      <c r="J327" s="15">
        <v>96010</v>
      </c>
      <c r="K327" s="15">
        <v>210</v>
      </c>
      <c r="L327">
        <v>98</v>
      </c>
      <c r="M327">
        <v>2</v>
      </c>
      <c r="N327">
        <v>2</v>
      </c>
      <c r="O327" s="15">
        <v>1793</v>
      </c>
      <c r="P327" s="15">
        <v>381</v>
      </c>
      <c r="Q327" s="15">
        <v>2174</v>
      </c>
      <c r="R327">
        <v>1.0494200706001009</v>
      </c>
      <c r="S327" s="15">
        <v>111</v>
      </c>
      <c r="T327" t="s">
        <v>405</v>
      </c>
      <c r="U327" s="15" t="str">
        <f>TEXT(EvolucionIncidencia[[#This Row],[Fecha]],"DDDD")</f>
        <v>jueves</v>
      </c>
      <c r="V3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1.0776699029126213</v>
      </c>
      <c r="W3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102.45813785329605</v>
      </c>
      <c r="X327" s="2">
        <f>IF(EvolucionIncidencia[[#This Row],[Fecha]]&lt;=MIN(EvolucionIncidencia[Fecha])+14,"",EvolucionIncidencia[[#This Row],[NuevasAltas]]-EvolucionIncidencia[[#This Row],[Previsión Altas]])</f>
        <v>8.5418621467039486</v>
      </c>
      <c r="Y3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1236</v>
      </c>
      <c r="Z3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1978</v>
      </c>
      <c r="AA327" s="2">
        <f>IF(LEN(EvolucionIncidencia[[#This Row],[Nuevos 7 dias]])=0,"",EvolucionIncidencia[[#This Row],[Nuevos 7 dias]]/_xlfn.MAXIFS(EvolucionIncidencia[Nuevos 7 dias],EvolucionIncidencia[Area_Sanitaria],EvolucionIncidencia[[#This Row],[Area_Sanitaria]]))</f>
        <v>0.72791519434628971</v>
      </c>
      <c r="AB327" s="2">
        <f>IF(LEN(EvolucionIncidencia[[#This Row],[Nuevos 14 dias]])=0,"",EvolucionIncidencia[[#This Row],[Nuevos 14 dias]]/_xlfn.MAXIFS(EvolucionIncidencia[Nuevos 14 dias],EvolucionIncidencia[Area_Sanitaria],EvolucionIncidencia[[#This Row],[Area_Sanitaria]]))</f>
        <v>0.6216216216216216</v>
      </c>
    </row>
    <row r="328" spans="1:28" hidden="1" x14ac:dyDescent="0.3">
      <c r="A328" s="1">
        <v>44210</v>
      </c>
      <c r="B328" s="2" t="s">
        <v>2</v>
      </c>
      <c r="C328" s="15">
        <v>14471</v>
      </c>
      <c r="D328" s="15">
        <v>1994</v>
      </c>
      <c r="E328" s="15">
        <v>12196</v>
      </c>
      <c r="F328">
        <v>56</v>
      </c>
      <c r="G328">
        <v>22</v>
      </c>
      <c r="H328" s="15">
        <v>261696</v>
      </c>
      <c r="I328" s="15">
        <v>281</v>
      </c>
      <c r="J328" s="15">
        <v>60315</v>
      </c>
      <c r="K328" s="15">
        <v>191</v>
      </c>
      <c r="L328">
        <v>101</v>
      </c>
      <c r="M328">
        <v>9</v>
      </c>
      <c r="N328">
        <v>0</v>
      </c>
      <c r="O328" s="15">
        <v>2082</v>
      </c>
      <c r="P328" s="15">
        <v>371</v>
      </c>
      <c r="Q328" s="15">
        <v>2453</v>
      </c>
      <c r="R328">
        <v>1.0533544638140517</v>
      </c>
      <c r="S328" s="15">
        <v>90</v>
      </c>
      <c r="T328" t="s">
        <v>405</v>
      </c>
      <c r="U328" s="15" t="str">
        <f>TEXT(EvolucionIncidencia[[#This Row],[Fecha]],"DDDD")</f>
        <v>jueves</v>
      </c>
      <c r="V3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0.68702290076335881</v>
      </c>
      <c r="W3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133.70932950407041</v>
      </c>
      <c r="X328" s="2">
        <f>IF(EvolucionIncidencia[[#This Row],[Fecha]]&lt;=MIN(EvolucionIncidencia[Fecha])+14,"",EvolucionIncidencia[[#This Row],[NuevasAltas]]-EvolucionIncidencia[[#This Row],[Previsión Altas]])</f>
        <v>-43.709329504070411</v>
      </c>
      <c r="Y3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1280</v>
      </c>
      <c r="Z3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1858</v>
      </c>
      <c r="AA328" s="2">
        <f>IF(LEN(EvolucionIncidencia[[#This Row],[Nuevos 7 dias]])=0,"",EvolucionIncidencia[[#This Row],[Nuevos 7 dias]]/_xlfn.MAXIFS(EvolucionIncidencia[Nuevos 7 dias],EvolucionIncidencia[Area_Sanitaria],EvolucionIncidencia[[#This Row],[Area_Sanitaria]]))</f>
        <v>0.66013408973697785</v>
      </c>
      <c r="AB328" s="2">
        <f>IF(LEN(EvolucionIncidencia[[#This Row],[Nuevos 14 dias]])=0,"",EvolucionIncidencia[[#This Row],[Nuevos 14 dias]]/_xlfn.MAXIFS(EvolucionIncidencia[Nuevos 14 dias],EvolucionIncidencia[Area_Sanitaria],EvolucionIncidencia[[#This Row],[Area_Sanitaria]]))</f>
        <v>0.51142306633636114</v>
      </c>
    </row>
    <row r="329" spans="1:28" hidden="1" x14ac:dyDescent="0.3">
      <c r="A329" s="1">
        <v>44210</v>
      </c>
      <c r="B329" s="2" t="s">
        <v>3</v>
      </c>
      <c r="C329" s="15">
        <v>73667</v>
      </c>
      <c r="D329" s="15">
        <v>10864</v>
      </c>
      <c r="E329" s="15">
        <v>61326</v>
      </c>
      <c r="F329">
        <v>505</v>
      </c>
      <c r="G329">
        <v>90</v>
      </c>
      <c r="H329" s="15">
        <v>1222020</v>
      </c>
      <c r="I329" s="15">
        <v>1485</v>
      </c>
      <c r="J329" s="15">
        <v>463447</v>
      </c>
      <c r="K329" s="15">
        <v>1169</v>
      </c>
      <c r="L329">
        <v>649</v>
      </c>
      <c r="M329">
        <v>42</v>
      </c>
      <c r="N329">
        <v>8</v>
      </c>
      <c r="O329" s="15">
        <v>10194</v>
      </c>
      <c r="P329" s="15">
        <v>2000</v>
      </c>
      <c r="Q329" s="15">
        <v>12194</v>
      </c>
      <c r="R329">
        <v>1.0635340186000979</v>
      </c>
      <c r="S329" s="15">
        <v>515</v>
      </c>
      <c r="T329" t="s">
        <v>405</v>
      </c>
      <c r="U329" s="15" t="str">
        <f>TEXT(EvolucionIncidencia[[#This Row],[Fecha]],"DDDD")</f>
        <v>jueves</v>
      </c>
      <c r="V3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0.96804511278195493</v>
      </c>
      <c r="W3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525.64583915999856</v>
      </c>
      <c r="X329" s="2">
        <f>IF(EvolucionIncidencia[[#This Row],[Fecha]]&lt;=MIN(EvolucionIncidencia[Fecha])+14,"",EvolucionIncidencia[[#This Row],[NuevasAltas]]-EvolucionIncidencia[[#This Row],[Previsión Altas]])</f>
        <v>-10.645839159998559</v>
      </c>
      <c r="Y3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6582</v>
      </c>
      <c r="Z3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10157</v>
      </c>
      <c r="AA329" s="2">
        <f>IF(LEN(EvolucionIncidencia[[#This Row],[Nuevos 7 dias]])=0,"",EvolucionIncidencia[[#This Row],[Nuevos 7 dias]]/_xlfn.MAXIFS(EvolucionIncidencia[Nuevos 7 dias],EvolucionIncidencia[Area_Sanitaria],EvolucionIncidencia[[#This Row],[Area_Sanitaria]]))</f>
        <v>0.58021861777150918</v>
      </c>
      <c r="AB329" s="2">
        <f>IF(LEN(EvolucionIncidencia[[#This Row],[Nuevos 14 dias]])=0,"",EvolucionIncidencia[[#This Row],[Nuevos 14 dias]]/_xlfn.MAXIFS(EvolucionIncidencia[Nuevos 14 dias],EvolucionIncidencia[Area_Sanitaria],EvolucionIncidencia[[#This Row],[Area_Sanitaria]]))</f>
        <v>0.48695944002301278</v>
      </c>
    </row>
    <row r="330" spans="1:28" hidden="1" x14ac:dyDescent="0.3">
      <c r="A330" s="1">
        <v>44211</v>
      </c>
      <c r="B330" s="2" t="s">
        <v>4</v>
      </c>
      <c r="C330" s="15">
        <v>16539</v>
      </c>
      <c r="D330" s="15">
        <v>2843</v>
      </c>
      <c r="E330" s="15">
        <v>13366</v>
      </c>
      <c r="F330">
        <v>130</v>
      </c>
      <c r="G330">
        <v>26</v>
      </c>
      <c r="H330" s="15">
        <v>253873</v>
      </c>
      <c r="I330" s="15">
        <v>337</v>
      </c>
      <c r="J330" s="15">
        <v>80867</v>
      </c>
      <c r="K330" s="15">
        <v>330</v>
      </c>
      <c r="L330">
        <v>208</v>
      </c>
      <c r="M330">
        <v>-8</v>
      </c>
      <c r="N330">
        <v>0</v>
      </c>
      <c r="O330" s="15">
        <v>2145</v>
      </c>
      <c r="P330" s="15">
        <v>352</v>
      </c>
      <c r="Q330" s="15">
        <v>2497</v>
      </c>
      <c r="R330">
        <v>1.0789373814041745</v>
      </c>
      <c r="S330" s="15">
        <v>118</v>
      </c>
      <c r="T330" t="s">
        <v>406</v>
      </c>
      <c r="U330" s="15" t="str">
        <f>TEXT(EvolucionIncidencia[[#This Row],[Fecha]],"DDDD")</f>
        <v>viernes</v>
      </c>
      <c r="V3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119.12618081486718</v>
      </c>
      <c r="X330" s="2">
        <f>IF(EvolucionIncidencia[[#This Row],[Fecha]]&lt;=MIN(EvolucionIncidencia[Fecha])+14,"",EvolucionIncidencia[[#This Row],[NuevasAltas]]-EvolucionIncidencia[[#This Row],[Previsión Altas]])</f>
        <v>-1.1261808148671832</v>
      </c>
      <c r="Y3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1700</v>
      </c>
      <c r="Z3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2645</v>
      </c>
      <c r="AA330" s="2">
        <f>IF(LEN(EvolucionIncidencia[[#This Row],[Nuevos 7 dias]])=0,"",EvolucionIncidencia[[#This Row],[Nuevos 7 dias]]/_xlfn.MAXIFS(EvolucionIncidencia[Nuevos 7 dias],EvolucionIncidencia[Area_Sanitaria],EvolucionIncidencia[[#This Row],[Area_Sanitaria]]))</f>
        <v>0.57066129573682445</v>
      </c>
      <c r="AB330" s="2">
        <f>IF(LEN(EvolucionIncidencia[[#This Row],[Nuevos 14 dias]])=0,"",EvolucionIncidencia[[#This Row],[Nuevos 14 dias]]/_xlfn.MAXIFS(EvolucionIncidencia[Nuevos 14 dias],EvolucionIncidencia[Area_Sanitaria],EvolucionIncidencia[[#This Row],[Area_Sanitaria]]))</f>
        <v>0.48648151554165903</v>
      </c>
    </row>
    <row r="331" spans="1:28" hidden="1" x14ac:dyDescent="0.3">
      <c r="A331" s="1">
        <v>44211</v>
      </c>
      <c r="B331" s="2" t="s">
        <v>5</v>
      </c>
      <c r="C331" s="15">
        <v>4897</v>
      </c>
      <c r="D331" s="15">
        <v>909</v>
      </c>
      <c r="E331" s="15">
        <v>3887</v>
      </c>
      <c r="F331">
        <v>80</v>
      </c>
      <c r="G331">
        <v>9</v>
      </c>
      <c r="H331" s="15">
        <v>84460</v>
      </c>
      <c r="I331" s="15">
        <v>99</v>
      </c>
      <c r="J331" s="15">
        <v>30951</v>
      </c>
      <c r="K331" s="15">
        <v>146</v>
      </c>
      <c r="L331">
        <v>113</v>
      </c>
      <c r="M331">
        <v>3</v>
      </c>
      <c r="N331">
        <v>0</v>
      </c>
      <c r="O331" s="15">
        <v>632</v>
      </c>
      <c r="P331" s="15">
        <v>133</v>
      </c>
      <c r="Q331" s="15">
        <v>765</v>
      </c>
      <c r="R331">
        <v>1.1419597989949748</v>
      </c>
      <c r="S331" s="15">
        <v>32</v>
      </c>
      <c r="T331" t="s">
        <v>406</v>
      </c>
      <c r="U331" s="15" t="str">
        <f>TEXT(EvolucionIncidencia[[#This Row],[Fecha]],"DDDD")</f>
        <v>viernes</v>
      </c>
      <c r="V3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1.5238095238095237</v>
      </c>
      <c r="W3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23.786245933748472</v>
      </c>
      <c r="X331" s="2">
        <f>IF(EvolucionIncidencia[[#This Row],[Fecha]]&lt;=MIN(EvolucionIncidencia[Fecha])+14,"",EvolucionIncidencia[[#This Row],[NuevasAltas]]-EvolucionIncidencia[[#This Row],[Previsión Altas]])</f>
        <v>8.2137540662515285</v>
      </c>
      <c r="Y3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603</v>
      </c>
      <c r="Z3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859</v>
      </c>
      <c r="AA331" s="2">
        <f>IF(LEN(EvolucionIncidencia[[#This Row],[Nuevos 7 dias]])=0,"",EvolucionIncidencia[[#This Row],[Nuevos 7 dias]]/_xlfn.MAXIFS(EvolucionIncidencia[Nuevos 7 dias],EvolucionIncidencia[Area_Sanitaria],EvolucionIncidencia[[#This Row],[Area_Sanitaria]]))</f>
        <v>0.72215568862275448</v>
      </c>
      <c r="AB331" s="2">
        <f>IF(LEN(EvolucionIncidencia[[#This Row],[Nuevos 14 dias]])=0,"",EvolucionIncidencia[[#This Row],[Nuevos 14 dias]]/_xlfn.MAXIFS(EvolucionIncidencia[Nuevos 14 dias],EvolucionIncidencia[Area_Sanitaria],EvolucionIncidencia[[#This Row],[Area_Sanitaria]]))</f>
        <v>0.5241000610128127</v>
      </c>
    </row>
    <row r="332" spans="1:28" hidden="1" x14ac:dyDescent="0.3">
      <c r="A332" s="1">
        <v>44211</v>
      </c>
      <c r="B332" s="2" t="s">
        <v>8</v>
      </c>
      <c r="C332" s="15">
        <v>8156</v>
      </c>
      <c r="D332" s="15">
        <v>1031</v>
      </c>
      <c r="E332" s="15">
        <v>6968</v>
      </c>
      <c r="F332">
        <v>35</v>
      </c>
      <c r="G332">
        <v>4</v>
      </c>
      <c r="H332" s="15">
        <v>139111</v>
      </c>
      <c r="I332" s="15">
        <v>151</v>
      </c>
      <c r="J332" s="15">
        <v>77429</v>
      </c>
      <c r="K332" s="15">
        <v>91</v>
      </c>
      <c r="L332">
        <v>39</v>
      </c>
      <c r="M332">
        <v>3</v>
      </c>
      <c r="N332">
        <v>1</v>
      </c>
      <c r="O332" s="15">
        <v>1001</v>
      </c>
      <c r="P332" s="15">
        <v>361</v>
      </c>
      <c r="Q332" s="15">
        <v>1362</v>
      </c>
      <c r="R332">
        <v>1.0393145161290323</v>
      </c>
      <c r="S332" s="15">
        <v>50</v>
      </c>
      <c r="T332" t="s">
        <v>406</v>
      </c>
      <c r="U332" s="15" t="str">
        <f>TEXT(EvolucionIncidencia[[#This Row],[Fecha]],"DDDD")</f>
        <v>viernes</v>
      </c>
      <c r="V3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1.4285714285714286</v>
      </c>
      <c r="W3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34.810903071487537</v>
      </c>
      <c r="X332" s="2">
        <f>IF(EvolucionIncidencia[[#This Row],[Fecha]]&lt;=MIN(EvolucionIncidencia[Fecha])+14,"",EvolucionIncidencia[[#This Row],[NuevasAltas]]-EvolucionIncidencia[[#This Row],[Previsión Altas]])</f>
        <v>15.189096928512463</v>
      </c>
      <c r="Y3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558</v>
      </c>
      <c r="Z3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966</v>
      </c>
      <c r="AA332" s="2">
        <f>IF(LEN(EvolucionIncidencia[[#This Row],[Nuevos 7 dias]])=0,"",EvolucionIncidencia[[#This Row],[Nuevos 7 dias]]/_xlfn.MAXIFS(EvolucionIncidencia[Nuevos 7 dias],EvolucionIncidencia[Area_Sanitaria],EvolucionIncidencia[[#This Row],[Area_Sanitaria]]))</f>
        <v>0.50452079566003616</v>
      </c>
      <c r="AB332" s="2">
        <f>IF(LEN(EvolucionIncidencia[[#This Row],[Nuevos 14 dias]])=0,"",EvolucionIncidencia[[#This Row],[Nuevos 14 dias]]/_xlfn.MAXIFS(EvolucionIncidencia[Nuevos 14 dias],EvolucionIncidencia[Area_Sanitaria],EvolucionIncidencia[[#This Row],[Area_Sanitaria]]))</f>
        <v>0.48787878787878786</v>
      </c>
    </row>
    <row r="333" spans="1:28" hidden="1" x14ac:dyDescent="0.3">
      <c r="A333" s="1">
        <v>44211</v>
      </c>
      <c r="B333" s="2" t="s">
        <v>9</v>
      </c>
      <c r="C333" s="15">
        <v>10237</v>
      </c>
      <c r="D333" s="15">
        <v>1605</v>
      </c>
      <c r="E333" s="15">
        <v>8313</v>
      </c>
      <c r="F333">
        <v>60</v>
      </c>
      <c r="G333">
        <v>9</v>
      </c>
      <c r="H333" s="15">
        <v>151870</v>
      </c>
      <c r="I333" s="15">
        <v>319</v>
      </c>
      <c r="J333" s="15">
        <v>71394</v>
      </c>
      <c r="K333" s="15">
        <v>187</v>
      </c>
      <c r="L333">
        <v>146</v>
      </c>
      <c r="M333">
        <v>6</v>
      </c>
      <c r="N333">
        <v>0</v>
      </c>
      <c r="O333" s="15">
        <v>1702</v>
      </c>
      <c r="P333" s="15">
        <v>587</v>
      </c>
      <c r="Q333" s="15">
        <v>2289</v>
      </c>
      <c r="R333">
        <v>1.1000685400959562</v>
      </c>
      <c r="S333" s="15">
        <v>40</v>
      </c>
      <c r="T333" t="s">
        <v>406</v>
      </c>
      <c r="U333" s="15" t="str">
        <f>TEXT(EvolucionIncidencia[[#This Row],[Fecha]],"DDDD")</f>
        <v>viernes</v>
      </c>
      <c r="V3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1.2903225806451613</v>
      </c>
      <c r="W3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33.589680981751933</v>
      </c>
      <c r="X333" s="2">
        <f>IF(EvolucionIncidencia[[#This Row],[Fecha]]&lt;=MIN(EvolucionIncidencia[Fecha])+14,"",EvolucionIncidencia[[#This Row],[NuevasAltas]]-EvolucionIncidencia[[#This Row],[Previsión Altas]])</f>
        <v>6.4103190182480674</v>
      </c>
      <c r="Y3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1028</v>
      </c>
      <c r="Z3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1584</v>
      </c>
      <c r="AA333" s="2">
        <f>IF(LEN(EvolucionIncidencia[[#This Row],[Nuevos 7 dias]])=0,"",EvolucionIncidencia[[#This Row],[Nuevos 7 dias]]/_xlfn.MAXIFS(EvolucionIncidencia[Nuevos 7 dias],EvolucionIncidencia[Area_Sanitaria],EvolucionIncidencia[[#This Row],[Area_Sanitaria]]))</f>
        <v>0.65519439133205859</v>
      </c>
      <c r="AB333" s="2">
        <f>IF(LEN(EvolucionIncidencia[[#This Row],[Nuevos 14 dias]])=0,"",EvolucionIncidencia[[#This Row],[Nuevos 14 dias]]/_xlfn.MAXIFS(EvolucionIncidencia[Nuevos 14 dias],EvolucionIncidencia[Area_Sanitaria],EvolucionIncidencia[[#This Row],[Area_Sanitaria]]))</f>
        <v>0.55951960438007775</v>
      </c>
    </row>
    <row r="334" spans="1:28" x14ac:dyDescent="0.3">
      <c r="A334" s="1">
        <v>44211</v>
      </c>
      <c r="B334" s="2" t="s">
        <v>6</v>
      </c>
      <c r="C334" s="15">
        <v>7908</v>
      </c>
      <c r="D334" s="15">
        <v>954</v>
      </c>
      <c r="E334" s="15">
        <v>6869</v>
      </c>
      <c r="F334">
        <v>54</v>
      </c>
      <c r="G334">
        <v>12</v>
      </c>
      <c r="H334" s="15">
        <v>123664</v>
      </c>
      <c r="I334" s="15">
        <v>89</v>
      </c>
      <c r="J334" s="15">
        <v>48086</v>
      </c>
      <c r="K334" s="15">
        <v>100</v>
      </c>
      <c r="L334">
        <v>47</v>
      </c>
      <c r="M334">
        <v>0</v>
      </c>
      <c r="N334">
        <v>1</v>
      </c>
      <c r="O334" s="15">
        <v>632</v>
      </c>
      <c r="P334" s="15">
        <v>172</v>
      </c>
      <c r="Q334" s="15">
        <v>804</v>
      </c>
      <c r="R334">
        <v>1.0518191841234841</v>
      </c>
      <c r="S334" s="15">
        <v>53</v>
      </c>
      <c r="T334" t="s">
        <v>406</v>
      </c>
      <c r="U334" s="15" t="str">
        <f>TEXT(EvolucionIncidencia[[#This Row],[Fecha]],"DDDD")</f>
        <v>viernes</v>
      </c>
      <c r="V3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1.1521739130434783</v>
      </c>
      <c r="W3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50.940747268313622</v>
      </c>
      <c r="X334" s="2">
        <f>IF(EvolucionIncidencia[[#This Row],[Fecha]]&lt;=MIN(EvolucionIncidencia[Fecha])+14,"",EvolucionIncidencia[[#This Row],[NuevasAltas]]-EvolucionIncidencia[[#This Row],[Previsión Altas]])</f>
        <v>2.059252731686378</v>
      </c>
      <c r="Y3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540</v>
      </c>
      <c r="Z3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870</v>
      </c>
      <c r="AA334" s="2">
        <f>IF(LEN(EvolucionIncidencia[[#This Row],[Nuevos 7 dias]])=0,"",EvolucionIncidencia[[#This Row],[Nuevos 7 dias]]/_xlfn.MAXIFS(EvolucionIncidencia[Nuevos 7 dias],EvolucionIncidencia[Area_Sanitaria],EvolucionIncidencia[[#This Row],[Area_Sanitaria]]))</f>
        <v>0.41064638783269963</v>
      </c>
      <c r="AB334" s="2">
        <f>IF(LEN(EvolucionIncidencia[[#This Row],[Nuevos 14 dias]])=0,"",EvolucionIncidencia[[#This Row],[Nuevos 14 dias]]/_xlfn.MAXIFS(EvolucionIncidencia[Nuevos 14 dias],EvolucionIncidencia[Area_Sanitaria],EvolucionIncidencia[[#This Row],[Area_Sanitaria]]))</f>
        <v>0.35787741670094614</v>
      </c>
    </row>
    <row r="335" spans="1:28" hidden="1" x14ac:dyDescent="0.3">
      <c r="A335" s="1">
        <v>44211</v>
      </c>
      <c r="B335" s="2" t="s">
        <v>7</v>
      </c>
      <c r="C335" s="15">
        <v>12524</v>
      </c>
      <c r="D335" s="15">
        <v>2157</v>
      </c>
      <c r="E335" s="15">
        <v>10152</v>
      </c>
      <c r="F335">
        <v>97</v>
      </c>
      <c r="G335">
        <v>12</v>
      </c>
      <c r="H335" s="15">
        <v>215235</v>
      </c>
      <c r="I335" s="15">
        <v>220</v>
      </c>
      <c r="J335" s="15">
        <v>96475</v>
      </c>
      <c r="K335" s="15">
        <v>211</v>
      </c>
      <c r="L335">
        <v>76</v>
      </c>
      <c r="M335">
        <v>3</v>
      </c>
      <c r="N335">
        <v>2</v>
      </c>
      <c r="O335" s="15">
        <v>1777</v>
      </c>
      <c r="P335" s="15">
        <v>465</v>
      </c>
      <c r="Q335" s="15">
        <v>2242</v>
      </c>
      <c r="R335">
        <v>1.0365209034118212</v>
      </c>
      <c r="S335" s="15">
        <v>132</v>
      </c>
      <c r="T335" t="s">
        <v>406</v>
      </c>
      <c r="U335" s="15" t="str">
        <f>TEXT(EvolucionIncidencia[[#This Row],[Fecha]],"DDDD")</f>
        <v>viernes</v>
      </c>
      <c r="V3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1.0819672131147542</v>
      </c>
      <c r="W3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120.35919624957781</v>
      </c>
      <c r="X335" s="2">
        <f>IF(EvolucionIncidencia[[#This Row],[Fecha]]&lt;=MIN(EvolucionIncidencia[Fecha])+14,"",EvolucionIncidencia[[#This Row],[NuevasAltas]]-EvolucionIncidencia[[#This Row],[Previsión Altas]])</f>
        <v>11.640803750422194</v>
      </c>
      <c r="Y3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1244</v>
      </c>
      <c r="Z3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2067</v>
      </c>
      <c r="AA335" s="2">
        <f>IF(LEN(EvolucionIncidencia[[#This Row],[Nuevos 7 dias]])=0,"",EvolucionIncidencia[[#This Row],[Nuevos 7 dias]]/_xlfn.MAXIFS(EvolucionIncidencia[Nuevos 7 dias],EvolucionIncidencia[Area_Sanitaria],EvolucionIncidencia[[#This Row],[Area_Sanitaria]]))</f>
        <v>0.73262661955241459</v>
      </c>
      <c r="AB335" s="2">
        <f>IF(LEN(EvolucionIncidencia[[#This Row],[Nuevos 14 dias]])=0,"",EvolucionIncidencia[[#This Row],[Nuevos 14 dias]]/_xlfn.MAXIFS(EvolucionIncidencia[Nuevos 14 dias],EvolucionIncidencia[Area_Sanitaria],EvolucionIncidencia[[#This Row],[Area_Sanitaria]]))</f>
        <v>0.64959145191703327</v>
      </c>
    </row>
    <row r="336" spans="1:28" hidden="1" x14ac:dyDescent="0.3">
      <c r="A336" s="1">
        <v>44211</v>
      </c>
      <c r="B336" s="2" t="s">
        <v>2</v>
      </c>
      <c r="C336" s="15">
        <v>14749</v>
      </c>
      <c r="D336" s="15">
        <v>2167</v>
      </c>
      <c r="E336" s="15">
        <v>12298</v>
      </c>
      <c r="F336">
        <v>50</v>
      </c>
      <c r="G336">
        <v>19</v>
      </c>
      <c r="H336" s="15">
        <v>263939</v>
      </c>
      <c r="I336" s="15">
        <v>284</v>
      </c>
      <c r="J336" s="15">
        <v>60626</v>
      </c>
      <c r="K336" s="15">
        <v>278</v>
      </c>
      <c r="L336">
        <v>173</v>
      </c>
      <c r="M336">
        <v>-6</v>
      </c>
      <c r="N336">
        <v>-3</v>
      </c>
      <c r="O336" s="15">
        <v>2243</v>
      </c>
      <c r="P336" s="15">
        <v>311</v>
      </c>
      <c r="Q336" s="15">
        <v>2554</v>
      </c>
      <c r="R336">
        <v>1.0867602808425276</v>
      </c>
      <c r="S336" s="15">
        <v>102</v>
      </c>
      <c r="T336" t="s">
        <v>406</v>
      </c>
      <c r="U336" s="15" t="str">
        <f>TEXT(EvolucionIncidencia[[#This Row],[Fecha]],"DDDD")</f>
        <v>viernes</v>
      </c>
      <c r="V3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1.4366197183098592</v>
      </c>
      <c r="W3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71.361625351944937</v>
      </c>
      <c r="X336" s="2">
        <f>IF(EvolucionIncidencia[[#This Row],[Fecha]]&lt;=MIN(EvolucionIncidencia[Fecha])+14,"",EvolucionIncidencia[[#This Row],[NuevasAltas]]-EvolucionIncidencia[[#This Row],[Previsión Altas]])</f>
        <v>30.638374648055063</v>
      </c>
      <c r="Y3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1338</v>
      </c>
      <c r="Z3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2065</v>
      </c>
      <c r="AA336" s="2">
        <f>IF(LEN(EvolucionIncidencia[[#This Row],[Nuevos 7 dias]])=0,"",EvolucionIncidencia[[#This Row],[Nuevos 7 dias]]/_xlfn.MAXIFS(EvolucionIncidencia[Nuevos 7 dias],EvolucionIncidencia[Area_Sanitaria],EvolucionIncidencia[[#This Row],[Area_Sanitaria]]))</f>
        <v>0.69004641567818459</v>
      </c>
      <c r="AB336" s="2">
        <f>IF(LEN(EvolucionIncidencia[[#This Row],[Nuevos 14 dias]])=0,"",EvolucionIncidencia[[#This Row],[Nuevos 14 dias]]/_xlfn.MAXIFS(EvolucionIncidencia[Nuevos 14 dias],EvolucionIncidencia[Area_Sanitaria],EvolucionIncidencia[[#This Row],[Area_Sanitaria]]))</f>
        <v>0.5684007707129094</v>
      </c>
    </row>
    <row r="337" spans="1:28" hidden="1" x14ac:dyDescent="0.3">
      <c r="A337" s="1">
        <v>44211</v>
      </c>
      <c r="B337" s="2" t="s">
        <v>3</v>
      </c>
      <c r="C337" s="15">
        <v>75010</v>
      </c>
      <c r="D337" s="15">
        <v>11666</v>
      </c>
      <c r="E337" s="15">
        <v>61853</v>
      </c>
      <c r="F337">
        <v>506</v>
      </c>
      <c r="G337">
        <v>91</v>
      </c>
      <c r="H337" s="15">
        <v>1232152</v>
      </c>
      <c r="I337" s="15">
        <v>1499</v>
      </c>
      <c r="J337" s="15">
        <v>465828</v>
      </c>
      <c r="K337" s="15">
        <v>1343</v>
      </c>
      <c r="L337">
        <v>802</v>
      </c>
      <c r="M337">
        <v>1</v>
      </c>
      <c r="N337">
        <v>1</v>
      </c>
      <c r="O337" s="15">
        <v>10132</v>
      </c>
      <c r="P337" s="15">
        <v>2381</v>
      </c>
      <c r="Q337" s="15">
        <v>12513</v>
      </c>
      <c r="R337">
        <v>1.073821796759941</v>
      </c>
      <c r="S337" s="15">
        <v>527</v>
      </c>
      <c r="T337" t="s">
        <v>406</v>
      </c>
      <c r="U337" s="15" t="str">
        <f>TEXT(EvolucionIncidencia[[#This Row],[Fecha]],"DDDD")</f>
        <v>viernes</v>
      </c>
      <c r="V3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1.1869369369369369</v>
      </c>
      <c r="W3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436.12885508715613</v>
      </c>
      <c r="X337" s="2">
        <f>IF(EvolucionIncidencia[[#This Row],[Fecha]]&lt;=MIN(EvolucionIncidencia[Fecha])+14,"",EvolucionIncidencia[[#This Row],[NuevasAltas]]-EvolucionIncidencia[[#This Row],[Previsión Altas]])</f>
        <v>90.871144912843874</v>
      </c>
      <c r="Y3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7011</v>
      </c>
      <c r="Z3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11056</v>
      </c>
      <c r="AA337" s="2">
        <f>IF(LEN(EvolucionIncidencia[[#This Row],[Nuevos 7 dias]])=0,"",EvolucionIncidencia[[#This Row],[Nuevos 7 dias]]/_xlfn.MAXIFS(EvolucionIncidencia[Nuevos 7 dias],EvolucionIncidencia[Area_Sanitaria],EvolucionIncidencia[[#This Row],[Area_Sanitaria]]))</f>
        <v>0.6180359661495064</v>
      </c>
      <c r="AB337" s="2">
        <f>IF(LEN(EvolucionIncidencia[[#This Row],[Nuevos 14 dias]])=0,"",EvolucionIncidencia[[#This Row],[Nuevos 14 dias]]/_xlfn.MAXIFS(EvolucionIncidencia[Nuevos 14 dias],EvolucionIncidencia[Area_Sanitaria],EvolucionIncidencia[[#This Row],[Area_Sanitaria]]))</f>
        <v>0.53006040847636393</v>
      </c>
    </row>
    <row r="338" spans="1:28" hidden="1" x14ac:dyDescent="0.3">
      <c r="A338" s="1">
        <v>44212</v>
      </c>
      <c r="B338" s="2" t="s">
        <v>4</v>
      </c>
      <c r="C338" s="15">
        <v>16899</v>
      </c>
      <c r="D338" s="15">
        <v>3129</v>
      </c>
      <c r="E338" s="15">
        <v>13440</v>
      </c>
      <c r="F338">
        <v>145</v>
      </c>
      <c r="G338">
        <v>28</v>
      </c>
      <c r="H338" s="15">
        <v>255964</v>
      </c>
      <c r="I338" s="15">
        <v>337</v>
      </c>
      <c r="J338" s="15">
        <v>81079</v>
      </c>
      <c r="K338" s="15">
        <v>360</v>
      </c>
      <c r="L338">
        <v>286</v>
      </c>
      <c r="M338">
        <v>15</v>
      </c>
      <c r="N338">
        <v>2</v>
      </c>
      <c r="O338" s="15">
        <v>2091</v>
      </c>
      <c r="P338" s="15">
        <v>212</v>
      </c>
      <c r="Q338" s="15">
        <v>2303</v>
      </c>
      <c r="R338">
        <v>1.1005979599015125</v>
      </c>
      <c r="S338" s="15">
        <v>74</v>
      </c>
      <c r="T338" t="s">
        <v>407</v>
      </c>
      <c r="U338" s="15" t="str">
        <f>TEXT(EvolucionIncidencia[[#This Row],[Fecha]],"DDDD")</f>
        <v>sábado</v>
      </c>
      <c r="V3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1.6086956521739131</v>
      </c>
      <c r="W3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47.292451921697705</v>
      </c>
      <c r="X338" s="2">
        <f>IF(EvolucionIncidencia[[#This Row],[Fecha]]&lt;=MIN(EvolucionIncidencia[Fecha])+14,"",EvolucionIncidencia[[#This Row],[NuevasAltas]]-EvolucionIncidencia[[#This Row],[Previsión Altas]])</f>
        <v>26.707548078302295</v>
      </c>
      <c r="Y3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1876</v>
      </c>
      <c r="Z3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2959</v>
      </c>
      <c r="AA338" s="2">
        <f>IF(LEN(EvolucionIncidencia[[#This Row],[Nuevos 7 dias]])=0,"",EvolucionIncidencia[[#This Row],[Nuevos 7 dias]]/_xlfn.MAXIFS(EvolucionIncidencia[Nuevos 7 dias],EvolucionIncidencia[Area_Sanitaria],EvolucionIncidencia[[#This Row],[Area_Sanitaria]]))</f>
        <v>0.62974152400134276</v>
      </c>
      <c r="AB338" s="2">
        <f>IF(LEN(EvolucionIncidencia[[#This Row],[Nuevos 14 dias]])=0,"",EvolucionIncidencia[[#This Row],[Nuevos 14 dias]]/_xlfn.MAXIFS(EvolucionIncidencia[Nuevos 14 dias],EvolucionIncidencia[Area_Sanitaria],EvolucionIncidencia[[#This Row],[Area_Sanitaria]]))</f>
        <v>0.54423395254736062</v>
      </c>
    </row>
    <row r="339" spans="1:28" hidden="1" x14ac:dyDescent="0.3">
      <c r="A339" s="1">
        <v>44212</v>
      </c>
      <c r="B339" s="2" t="s">
        <v>5</v>
      </c>
      <c r="C339" s="15">
        <v>4981</v>
      </c>
      <c r="D339" s="15">
        <v>981</v>
      </c>
      <c r="E339" s="15">
        <v>3899</v>
      </c>
      <c r="F339">
        <v>83</v>
      </c>
      <c r="G339">
        <v>13</v>
      </c>
      <c r="H339" s="15">
        <v>84829</v>
      </c>
      <c r="I339" s="15">
        <v>99</v>
      </c>
      <c r="J339" s="15">
        <v>31005</v>
      </c>
      <c r="K339" s="15">
        <v>84</v>
      </c>
      <c r="L339">
        <v>72</v>
      </c>
      <c r="M339">
        <v>3</v>
      </c>
      <c r="N339">
        <v>4</v>
      </c>
      <c r="O339" s="15">
        <v>369</v>
      </c>
      <c r="P339" s="15">
        <v>54</v>
      </c>
      <c r="Q339" s="15">
        <v>423</v>
      </c>
      <c r="R339">
        <v>1.0792079207920793</v>
      </c>
      <c r="S339" s="15">
        <v>12</v>
      </c>
      <c r="T339" t="s">
        <v>407</v>
      </c>
      <c r="U339" s="15" t="str">
        <f>TEXT(EvolucionIncidencia[[#This Row],[Fecha]],"DDDD")</f>
        <v>sábado</v>
      </c>
      <c r="V3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1.0909090909090908</v>
      </c>
      <c r="W3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12.163883924480491</v>
      </c>
      <c r="X339" s="2">
        <f>IF(EvolucionIncidencia[[#This Row],[Fecha]]&lt;=MIN(EvolucionIncidencia[Fecha])+14,"",EvolucionIncidencia[[#This Row],[NuevasAltas]]-EvolucionIncidencia[[#This Row],[Previsión Altas]])</f>
        <v>-0.16388392448049061</v>
      </c>
      <c r="Y3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623</v>
      </c>
      <c r="Z3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932</v>
      </c>
      <c r="AA339" s="2">
        <f>IF(LEN(EvolucionIncidencia[[#This Row],[Nuevos 7 dias]])=0,"",EvolucionIncidencia[[#This Row],[Nuevos 7 dias]]/_xlfn.MAXIFS(EvolucionIncidencia[Nuevos 7 dias],EvolucionIncidencia[Area_Sanitaria],EvolucionIncidencia[[#This Row],[Area_Sanitaria]]))</f>
        <v>0.74610778443113768</v>
      </c>
      <c r="AB339" s="2">
        <f>IF(LEN(EvolucionIncidencia[[#This Row],[Nuevos 14 dias]])=0,"",EvolucionIncidencia[[#This Row],[Nuevos 14 dias]]/_xlfn.MAXIFS(EvolucionIncidencia[Nuevos 14 dias],EvolucionIncidencia[Area_Sanitaria],EvolucionIncidencia[[#This Row],[Area_Sanitaria]]))</f>
        <v>0.56863941427699816</v>
      </c>
    </row>
    <row r="340" spans="1:28" hidden="1" x14ac:dyDescent="0.3">
      <c r="A340" s="1">
        <v>44212</v>
      </c>
      <c r="B340" s="2" t="s">
        <v>8</v>
      </c>
      <c r="C340" s="15">
        <v>8264</v>
      </c>
      <c r="D340" s="15">
        <v>1098</v>
      </c>
      <c r="E340" s="15">
        <v>7009</v>
      </c>
      <c r="F340">
        <v>37</v>
      </c>
      <c r="G340">
        <v>6</v>
      </c>
      <c r="H340" s="15">
        <v>140146</v>
      </c>
      <c r="I340" s="15">
        <v>151</v>
      </c>
      <c r="J340" s="15">
        <v>77612</v>
      </c>
      <c r="K340" s="15">
        <v>108</v>
      </c>
      <c r="L340">
        <v>67</v>
      </c>
      <c r="M340">
        <v>2</v>
      </c>
      <c r="N340">
        <v>2</v>
      </c>
      <c r="O340" s="15">
        <v>1035</v>
      </c>
      <c r="P340" s="15">
        <v>183</v>
      </c>
      <c r="Q340" s="15">
        <v>1218</v>
      </c>
      <c r="R340">
        <v>1.0649854510184287</v>
      </c>
      <c r="S340" s="15">
        <v>41</v>
      </c>
      <c r="T340" t="s">
        <v>407</v>
      </c>
      <c r="U340" s="15" t="str">
        <f>TEXT(EvolucionIncidencia[[#This Row],[Fecha]],"DDDD")</f>
        <v>sábado</v>
      </c>
      <c r="V3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1.2424242424242424</v>
      </c>
      <c r="W3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34.4402076227679</v>
      </c>
      <c r="X340" s="2">
        <f>IF(EvolucionIncidencia[[#This Row],[Fecha]]&lt;=MIN(EvolucionIncidencia[Fecha])+14,"",EvolucionIncidencia[[#This Row],[NuevasAltas]]-EvolucionIncidencia[[#This Row],[Previsión Altas]])</f>
        <v>6.5597923772320996</v>
      </c>
      <c r="Y3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591</v>
      </c>
      <c r="Z3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1041</v>
      </c>
      <c r="AA340" s="2">
        <f>IF(LEN(EvolucionIncidencia[[#This Row],[Nuevos 7 dias]])=0,"",EvolucionIncidencia[[#This Row],[Nuevos 7 dias]]/_xlfn.MAXIFS(EvolucionIncidencia[Nuevos 7 dias],EvolucionIncidencia[Area_Sanitaria],EvolucionIncidencia[[#This Row],[Area_Sanitaria]]))</f>
        <v>0.53435804701627487</v>
      </c>
      <c r="AB340" s="2">
        <f>IF(LEN(EvolucionIncidencia[[#This Row],[Nuevos 14 dias]])=0,"",EvolucionIncidencia[[#This Row],[Nuevos 14 dias]]/_xlfn.MAXIFS(EvolucionIncidencia[Nuevos 14 dias],EvolucionIncidencia[Area_Sanitaria],EvolucionIncidencia[[#This Row],[Area_Sanitaria]]))</f>
        <v>0.52575757575757576</v>
      </c>
    </row>
    <row r="341" spans="1:28" hidden="1" x14ac:dyDescent="0.3">
      <c r="A341" s="1">
        <v>44212</v>
      </c>
      <c r="B341" s="2" t="s">
        <v>9</v>
      </c>
      <c r="C341" s="15">
        <v>10404</v>
      </c>
      <c r="D341" s="15">
        <v>1739</v>
      </c>
      <c r="E341" s="15">
        <v>8345</v>
      </c>
      <c r="F341">
        <v>75</v>
      </c>
      <c r="G341">
        <v>7</v>
      </c>
      <c r="H341" s="15">
        <v>153161</v>
      </c>
      <c r="I341" s="15">
        <v>320</v>
      </c>
      <c r="J341" s="15">
        <v>71701</v>
      </c>
      <c r="K341" s="15">
        <v>167</v>
      </c>
      <c r="L341">
        <v>134</v>
      </c>
      <c r="M341">
        <v>15</v>
      </c>
      <c r="N341">
        <v>-2</v>
      </c>
      <c r="O341" s="15">
        <v>1291</v>
      </c>
      <c r="P341" s="15">
        <v>307</v>
      </c>
      <c r="Q341" s="15">
        <v>1598</v>
      </c>
      <c r="R341">
        <v>1.0834890965732087</v>
      </c>
      <c r="S341" s="15">
        <v>32</v>
      </c>
      <c r="T341" t="s">
        <v>407</v>
      </c>
      <c r="U341" s="15" t="str">
        <f>TEXT(EvolucionIncidencia[[#This Row],[Fecha]],"DDDD")</f>
        <v>sábado</v>
      </c>
      <c r="V3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1.0666666666666667</v>
      </c>
      <c r="W3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31.917082577010991</v>
      </c>
      <c r="X341" s="2">
        <f>IF(EvolucionIncidencia[[#This Row],[Fecha]]&lt;=MIN(EvolucionIncidencia[Fecha])+14,"",EvolucionIncidencia[[#This Row],[NuevasAltas]]-EvolucionIncidencia[[#This Row],[Previsión Altas]])</f>
        <v>8.2917422989009282E-2</v>
      </c>
      <c r="Y3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1085</v>
      </c>
      <c r="Z3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1721</v>
      </c>
      <c r="AA341" s="2">
        <f>IF(LEN(EvolucionIncidencia[[#This Row],[Nuevos 7 dias]])=0,"",EvolucionIncidencia[[#This Row],[Nuevos 7 dias]]/_xlfn.MAXIFS(EvolucionIncidencia[Nuevos 7 dias],EvolucionIncidencia[Area_Sanitaria],EvolucionIncidencia[[#This Row],[Area_Sanitaria]]))</f>
        <v>0.69152326322498403</v>
      </c>
      <c r="AB341" s="2">
        <f>IF(LEN(EvolucionIncidencia[[#This Row],[Nuevos 14 dias]])=0,"",EvolucionIncidencia[[#This Row],[Nuevos 14 dias]]/_xlfn.MAXIFS(EvolucionIncidencia[Nuevos 14 dias],EvolucionIncidencia[Area_Sanitaria],EvolucionIncidencia[[#This Row],[Area_Sanitaria]]))</f>
        <v>0.60791239844577882</v>
      </c>
    </row>
    <row r="342" spans="1:28" x14ac:dyDescent="0.3">
      <c r="A342" s="1">
        <v>44212</v>
      </c>
      <c r="B342" s="2" t="s">
        <v>6</v>
      </c>
      <c r="C342" s="15">
        <v>8000</v>
      </c>
      <c r="D342" s="15">
        <v>983</v>
      </c>
      <c r="E342" s="15">
        <v>6931</v>
      </c>
      <c r="F342">
        <v>56</v>
      </c>
      <c r="G342">
        <v>12</v>
      </c>
      <c r="H342" s="15">
        <v>124323</v>
      </c>
      <c r="I342" s="15">
        <v>90</v>
      </c>
      <c r="J342" s="15">
        <v>48180</v>
      </c>
      <c r="K342" s="15">
        <v>92</v>
      </c>
      <c r="L342">
        <v>29</v>
      </c>
      <c r="M342">
        <v>2</v>
      </c>
      <c r="N342">
        <v>0</v>
      </c>
      <c r="O342" s="15">
        <v>659</v>
      </c>
      <c r="P342" s="15">
        <v>94</v>
      </c>
      <c r="Q342" s="15">
        <v>753</v>
      </c>
      <c r="R342">
        <v>1.0303983228511531</v>
      </c>
      <c r="S342" s="15">
        <v>62</v>
      </c>
      <c r="T342" t="s">
        <v>407</v>
      </c>
      <c r="U342" s="15" t="str">
        <f>TEXT(EvolucionIncidencia[[#This Row],[Fecha]],"DDDD")</f>
        <v>sábado</v>
      </c>
      <c r="V3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2.3846153846153846</v>
      </c>
      <c r="W3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29.133240692028195</v>
      </c>
      <c r="X342" s="2">
        <f>IF(EvolucionIncidencia[[#This Row],[Fecha]]&lt;=MIN(EvolucionIncidencia[Fecha])+14,"",EvolucionIncidencia[[#This Row],[NuevasAltas]]-EvolucionIncidencia[[#This Row],[Previsión Altas]])</f>
        <v>32.866759307971805</v>
      </c>
      <c r="Y3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582</v>
      </c>
      <c r="Z3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936</v>
      </c>
      <c r="AA342" s="2">
        <f>IF(LEN(EvolucionIncidencia[[#This Row],[Nuevos 7 dias]])=0,"",EvolucionIncidencia[[#This Row],[Nuevos 7 dias]]/_xlfn.MAXIFS(EvolucionIncidencia[Nuevos 7 dias],EvolucionIncidencia[Area_Sanitaria],EvolucionIncidencia[[#This Row],[Area_Sanitaria]]))</f>
        <v>0.44258555133079847</v>
      </c>
      <c r="AB342" s="2">
        <f>IF(LEN(EvolucionIncidencia[[#This Row],[Nuevos 14 dias]])=0,"",EvolucionIncidencia[[#This Row],[Nuevos 14 dias]]/_xlfn.MAXIFS(EvolucionIncidencia[Nuevos 14 dias],EvolucionIncidencia[Area_Sanitaria],EvolucionIncidencia[[#This Row],[Area_Sanitaria]]))</f>
        <v>0.38502673796791442</v>
      </c>
    </row>
    <row r="343" spans="1:28" hidden="1" x14ac:dyDescent="0.3">
      <c r="A343" s="1">
        <v>44212</v>
      </c>
      <c r="B343" s="2" t="s">
        <v>7</v>
      </c>
      <c r="C343" s="15">
        <v>12701</v>
      </c>
      <c r="D343" s="15">
        <v>2245</v>
      </c>
      <c r="E343" s="15">
        <v>10239</v>
      </c>
      <c r="F343">
        <v>95</v>
      </c>
      <c r="G343">
        <v>14</v>
      </c>
      <c r="H343" s="15">
        <v>216816</v>
      </c>
      <c r="I343" s="15">
        <v>222</v>
      </c>
      <c r="J343" s="15">
        <v>96706</v>
      </c>
      <c r="K343" s="15">
        <v>177</v>
      </c>
      <c r="L343">
        <v>88</v>
      </c>
      <c r="M343">
        <v>-2</v>
      </c>
      <c r="N343">
        <v>2</v>
      </c>
      <c r="O343" s="15">
        <v>1581</v>
      </c>
      <c r="P343" s="15">
        <v>231</v>
      </c>
      <c r="Q343" s="15">
        <v>1812</v>
      </c>
      <c r="R343">
        <v>1.0407974038015764</v>
      </c>
      <c r="S343" s="15">
        <v>87</v>
      </c>
      <c r="T343" t="s">
        <v>407</v>
      </c>
      <c r="U343" s="15" t="str">
        <f>TEXT(EvolucionIncidencia[[#This Row],[Fecha]],"DDDD")</f>
        <v>sábado</v>
      </c>
      <c r="V3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1.3181818181818181</v>
      </c>
      <c r="W3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64.985331873278909</v>
      </c>
      <c r="X343" s="2">
        <f>IF(EvolucionIncidencia[[#This Row],[Fecha]]&lt;=MIN(EvolucionIncidencia[Fecha])+14,"",EvolucionIncidencia[[#This Row],[NuevasAltas]]-EvolucionIncidencia[[#This Row],[Previsión Altas]])</f>
        <v>22.014668126721091</v>
      </c>
      <c r="Y3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1323</v>
      </c>
      <c r="Z3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2178</v>
      </c>
      <c r="AA343" s="2">
        <f>IF(LEN(EvolucionIncidencia[[#This Row],[Nuevos 7 dias]])=0,"",EvolucionIncidencia[[#This Row],[Nuevos 7 dias]]/_xlfn.MAXIFS(EvolucionIncidencia[Nuevos 7 dias],EvolucionIncidencia[Area_Sanitaria],EvolucionIncidencia[[#This Row],[Area_Sanitaria]]))</f>
        <v>0.77915194346289751</v>
      </c>
      <c r="AB343" s="2">
        <f>IF(LEN(EvolucionIncidencia[[#This Row],[Nuevos 14 dias]])=0,"",EvolucionIncidencia[[#This Row],[Nuevos 14 dias]]/_xlfn.MAXIFS(EvolucionIncidencia[Nuevos 14 dias],EvolucionIncidencia[Area_Sanitaria],EvolucionIncidencia[[#This Row],[Area_Sanitaria]]))</f>
        <v>0.68447517284726589</v>
      </c>
    </row>
    <row r="344" spans="1:28" hidden="1" x14ac:dyDescent="0.3">
      <c r="A344" s="1">
        <v>44212</v>
      </c>
      <c r="B344" s="2" t="s">
        <v>2</v>
      </c>
      <c r="C344" s="15">
        <v>15005</v>
      </c>
      <c r="D344" s="15">
        <v>2333</v>
      </c>
      <c r="E344" s="15">
        <v>12388</v>
      </c>
      <c r="F344">
        <v>66</v>
      </c>
      <c r="G344">
        <v>18</v>
      </c>
      <c r="H344" s="15">
        <v>266422</v>
      </c>
      <c r="I344" s="15">
        <v>284</v>
      </c>
      <c r="J344" s="15">
        <v>60761</v>
      </c>
      <c r="K344" s="15">
        <v>256</v>
      </c>
      <c r="L344">
        <v>166</v>
      </c>
      <c r="M344">
        <v>16</v>
      </c>
      <c r="N344">
        <v>-1</v>
      </c>
      <c r="O344" s="15">
        <v>2483</v>
      </c>
      <c r="P344" s="15">
        <v>135</v>
      </c>
      <c r="Q344" s="15">
        <v>2618</v>
      </c>
      <c r="R344">
        <v>1.0766035994462391</v>
      </c>
      <c r="S344" s="15">
        <v>90</v>
      </c>
      <c r="T344" t="s">
        <v>407</v>
      </c>
      <c r="U344" s="15" t="str">
        <f>TEXT(EvolucionIncidencia[[#This Row],[Fecha]],"DDDD")</f>
        <v>sábado</v>
      </c>
      <c r="V3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1.0588235294117647</v>
      </c>
      <c r="W3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88.522735642912934</v>
      </c>
      <c r="X344" s="2">
        <f>IF(EvolucionIncidencia[[#This Row],[Fecha]]&lt;=MIN(EvolucionIncidencia[Fecha])+14,"",EvolucionIncidencia[[#This Row],[NuevasAltas]]-EvolucionIncidencia[[#This Row],[Previsión Altas]])</f>
        <v>1.4772643570870656</v>
      </c>
      <c r="Y3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1458</v>
      </c>
      <c r="Z3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2236</v>
      </c>
      <c r="AA344" s="2">
        <f>IF(LEN(EvolucionIncidencia[[#This Row],[Nuevos 7 dias]])=0,"",EvolucionIncidencia[[#This Row],[Nuevos 7 dias]]/_xlfn.MAXIFS(EvolucionIncidencia[Nuevos 7 dias],EvolucionIncidencia[Area_Sanitaria],EvolucionIncidencia[[#This Row],[Area_Sanitaria]]))</f>
        <v>0.75193398659102628</v>
      </c>
      <c r="AB344" s="2">
        <f>IF(LEN(EvolucionIncidencia[[#This Row],[Nuevos 14 dias]])=0,"",EvolucionIncidencia[[#This Row],[Nuevos 14 dias]]/_xlfn.MAXIFS(EvolucionIncidencia[Nuevos 14 dias],EvolucionIncidencia[Area_Sanitaria],EvolucionIncidencia[[#This Row],[Area_Sanitaria]]))</f>
        <v>0.61546930911092756</v>
      </c>
    </row>
    <row r="345" spans="1:28" hidden="1" x14ac:dyDescent="0.3">
      <c r="A345" s="1">
        <v>44212</v>
      </c>
      <c r="B345" s="2" t="s">
        <v>3</v>
      </c>
      <c r="C345" s="15">
        <v>76254</v>
      </c>
      <c r="D345" s="15">
        <v>12508</v>
      </c>
      <c r="E345" s="15">
        <v>62251</v>
      </c>
      <c r="F345">
        <v>557</v>
      </c>
      <c r="G345">
        <v>98</v>
      </c>
      <c r="H345" s="15">
        <v>1241661</v>
      </c>
      <c r="I345" s="15">
        <v>1503</v>
      </c>
      <c r="J345" s="15">
        <v>467044</v>
      </c>
      <c r="K345" s="15">
        <v>1244</v>
      </c>
      <c r="L345">
        <v>842</v>
      </c>
      <c r="M345">
        <v>51</v>
      </c>
      <c r="N345">
        <v>7</v>
      </c>
      <c r="O345" s="15">
        <v>9509</v>
      </c>
      <c r="P345" s="15">
        <v>1216</v>
      </c>
      <c r="Q345" s="15">
        <v>10725</v>
      </c>
      <c r="R345">
        <v>1.0721755528887364</v>
      </c>
      <c r="S345" s="15">
        <v>398</v>
      </c>
      <c r="T345" t="s">
        <v>407</v>
      </c>
      <c r="U345" s="15" t="str">
        <f>TEXT(EvolucionIncidencia[[#This Row],[Fecha]],"DDDD")</f>
        <v>sábado</v>
      </c>
      <c r="V3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1.34006734006734</v>
      </c>
      <c r="W3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295.86418216154254</v>
      </c>
      <c r="X345" s="2">
        <f>IF(EvolucionIncidencia[[#This Row],[Fecha]]&lt;=MIN(EvolucionIncidencia[Fecha])+14,"",EvolucionIncidencia[[#This Row],[NuevasAltas]]-EvolucionIncidencia[[#This Row],[Previsión Altas]])</f>
        <v>102.13581783845746</v>
      </c>
      <c r="Y3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7538</v>
      </c>
      <c r="Z3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12003</v>
      </c>
      <c r="AA345" s="2">
        <f>IF(LEN(EvolucionIncidencia[[#This Row],[Nuevos 7 dias]])=0,"",EvolucionIncidencia[[#This Row],[Nuevos 7 dias]]/_xlfn.MAXIFS(EvolucionIncidencia[Nuevos 7 dias],EvolucionIncidencia[Area_Sanitaria],EvolucionIncidencia[[#This Row],[Area_Sanitaria]]))</f>
        <v>0.66449224259520456</v>
      </c>
      <c r="AB345" s="2">
        <f>IF(LEN(EvolucionIncidencia[[#This Row],[Nuevos 14 dias]])=0,"",EvolucionIncidencia[[#This Row],[Nuevos 14 dias]]/_xlfn.MAXIFS(EvolucionIncidencia[Nuevos 14 dias],EvolucionIncidencia[Area_Sanitaria],EvolucionIncidencia[[#This Row],[Area_Sanitaria]]))</f>
        <v>0.57546265221977178</v>
      </c>
    </row>
    <row r="346" spans="1:28" hidden="1" x14ac:dyDescent="0.3">
      <c r="A346" s="1">
        <v>44213</v>
      </c>
      <c r="B346" s="2" t="s">
        <v>4</v>
      </c>
      <c r="C346" s="15">
        <v>17181</v>
      </c>
      <c r="D346" s="15">
        <v>3346</v>
      </c>
      <c r="E346" s="15">
        <v>13502</v>
      </c>
      <c r="F346">
        <v>163</v>
      </c>
      <c r="G346">
        <v>31</v>
      </c>
      <c r="H346" s="15">
        <v>257591</v>
      </c>
      <c r="I346" s="15">
        <v>340</v>
      </c>
      <c r="J346" s="15">
        <v>81240</v>
      </c>
      <c r="K346" s="15">
        <v>282</v>
      </c>
      <c r="L346">
        <v>217</v>
      </c>
      <c r="M346">
        <v>18</v>
      </c>
      <c r="N346">
        <v>3</v>
      </c>
      <c r="O346" s="15">
        <v>1627</v>
      </c>
      <c r="P346" s="15">
        <v>161</v>
      </c>
      <c r="Q346" s="15">
        <v>1788</v>
      </c>
      <c r="R346">
        <v>1.0693512304250559</v>
      </c>
      <c r="S346" s="15">
        <v>62</v>
      </c>
      <c r="T346" t="s">
        <v>408</v>
      </c>
      <c r="U346" s="15" t="str">
        <f>TEXT(EvolucionIncidencia[[#This Row],[Fecha]],"DDDD")</f>
        <v>domingo</v>
      </c>
      <c r="V3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0.52542372881355937</v>
      </c>
      <c r="W3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127.0748527973762</v>
      </c>
      <c r="X346" s="2">
        <f>IF(EvolucionIncidencia[[#This Row],[Fecha]]&lt;=MIN(EvolucionIncidencia[Fecha])+14,"",EvolucionIncidencia[[#This Row],[NuevasAltas]]-EvolucionIncidencia[[#This Row],[Previsión Altas]])</f>
        <v>-65.074852797376195</v>
      </c>
      <c r="Y3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2000</v>
      </c>
      <c r="Z3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3123</v>
      </c>
      <c r="AA346" s="2">
        <f>IF(LEN(EvolucionIncidencia[[#This Row],[Nuevos 7 dias]])=0,"",EvolucionIncidencia[[#This Row],[Nuevos 7 dias]]/_xlfn.MAXIFS(EvolucionIncidencia[Nuevos 7 dias],EvolucionIncidencia[Area_Sanitaria],EvolucionIncidencia[[#This Row],[Area_Sanitaria]]))</f>
        <v>0.67136623027861697</v>
      </c>
      <c r="AB346" s="2">
        <f>IF(LEN(EvolucionIncidencia[[#This Row],[Nuevos 14 dias]])=0,"",EvolucionIncidencia[[#This Row],[Nuevos 14 dias]]/_xlfn.MAXIFS(EvolucionIncidencia[Nuevos 14 dias],EvolucionIncidencia[Area_Sanitaria],EvolucionIncidencia[[#This Row],[Area_Sanitaria]]))</f>
        <v>0.57439764576052965</v>
      </c>
    </row>
    <row r="347" spans="1:28" hidden="1" x14ac:dyDescent="0.3">
      <c r="A347" s="1">
        <v>44213</v>
      </c>
      <c r="B347" s="2" t="s">
        <v>5</v>
      </c>
      <c r="C347" s="15">
        <v>5080</v>
      </c>
      <c r="D347" s="15">
        <v>1049</v>
      </c>
      <c r="E347" s="15">
        <v>3928</v>
      </c>
      <c r="F347">
        <v>89</v>
      </c>
      <c r="G347">
        <v>11</v>
      </c>
      <c r="H347" s="15">
        <v>85439</v>
      </c>
      <c r="I347" s="15">
        <v>101</v>
      </c>
      <c r="J347" s="15">
        <v>31106</v>
      </c>
      <c r="K347" s="15">
        <v>99</v>
      </c>
      <c r="L347">
        <v>68</v>
      </c>
      <c r="M347">
        <v>6</v>
      </c>
      <c r="N347">
        <v>-2</v>
      </c>
      <c r="O347" s="15">
        <v>610</v>
      </c>
      <c r="P347" s="15">
        <v>101</v>
      </c>
      <c r="Q347" s="15">
        <v>711</v>
      </c>
      <c r="R347">
        <v>1.0693170234454639</v>
      </c>
      <c r="S347" s="15">
        <v>29</v>
      </c>
      <c r="T347" t="s">
        <v>408</v>
      </c>
      <c r="U347" s="15" t="str">
        <f>TEXT(EvolucionIncidencia[[#This Row],[Fecha]],"DDDD")</f>
        <v>domingo</v>
      </c>
      <c r="V3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0.53703703703703709</v>
      </c>
      <c r="W3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55.155170434462676</v>
      </c>
      <c r="X347" s="2">
        <f>IF(EvolucionIncidencia[[#This Row],[Fecha]]&lt;=MIN(EvolucionIncidencia[Fecha])+14,"",EvolucionIncidencia[[#This Row],[NuevasAltas]]-EvolucionIncidencia[[#This Row],[Previsión Altas]])</f>
        <v>-26.155170434462676</v>
      </c>
      <c r="Y3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635</v>
      </c>
      <c r="Z3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977</v>
      </c>
      <c r="AA347" s="2">
        <f>IF(LEN(EvolucionIncidencia[[#This Row],[Nuevos 7 dias]])=0,"",EvolucionIncidencia[[#This Row],[Nuevos 7 dias]]/_xlfn.MAXIFS(EvolucionIncidencia[Nuevos 7 dias],EvolucionIncidencia[Area_Sanitaria],EvolucionIncidencia[[#This Row],[Area_Sanitaria]]))</f>
        <v>0.76047904191616766</v>
      </c>
      <c r="AB347" s="2">
        <f>IF(LEN(EvolucionIncidencia[[#This Row],[Nuevos 14 dias]])=0,"",EvolucionIncidencia[[#This Row],[Nuevos 14 dias]]/_xlfn.MAXIFS(EvolucionIncidencia[Nuevos 14 dias],EvolucionIncidencia[Area_Sanitaria],EvolucionIncidencia[[#This Row],[Area_Sanitaria]]))</f>
        <v>0.59609517998779749</v>
      </c>
    </row>
    <row r="348" spans="1:28" hidden="1" x14ac:dyDescent="0.3">
      <c r="A348" s="1">
        <v>44213</v>
      </c>
      <c r="B348" s="2" t="s">
        <v>8</v>
      </c>
      <c r="C348" s="15">
        <v>8357</v>
      </c>
      <c r="D348" s="15">
        <v>1146</v>
      </c>
      <c r="E348" s="15">
        <v>7054</v>
      </c>
      <c r="F348">
        <v>43</v>
      </c>
      <c r="G348">
        <v>7</v>
      </c>
      <c r="H348" s="15">
        <v>141309</v>
      </c>
      <c r="I348" s="15">
        <v>151</v>
      </c>
      <c r="J348" s="15">
        <v>77750</v>
      </c>
      <c r="K348" s="15">
        <v>93</v>
      </c>
      <c r="L348">
        <v>48</v>
      </c>
      <c r="M348">
        <v>6</v>
      </c>
      <c r="N348">
        <v>1</v>
      </c>
      <c r="O348" s="15">
        <v>1163</v>
      </c>
      <c r="P348" s="15">
        <v>138</v>
      </c>
      <c r="Q348" s="15">
        <v>1301</v>
      </c>
      <c r="R348">
        <v>1.0437158469945356</v>
      </c>
      <c r="S348" s="15">
        <v>45</v>
      </c>
      <c r="T348" t="s">
        <v>408</v>
      </c>
      <c r="U348" s="15" t="str">
        <f>TEXT(EvolucionIncidencia[[#This Row],[Fecha]],"DDDD")</f>
        <v>domingo</v>
      </c>
      <c r="V3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3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64.248653358010614</v>
      </c>
      <c r="X348" s="2">
        <f>IF(EvolucionIncidencia[[#This Row],[Fecha]]&lt;=MIN(EvolucionIncidencia[Fecha])+14,"",EvolucionIncidencia[[#This Row],[NuevasAltas]]-EvolucionIncidencia[[#This Row],[Previsión Altas]])</f>
        <v>-19.248653358010614</v>
      </c>
      <c r="Y3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627</v>
      </c>
      <c r="Z3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1074</v>
      </c>
      <c r="AA348" s="2">
        <f>IF(LEN(EvolucionIncidencia[[#This Row],[Nuevos 7 dias]])=0,"",EvolucionIncidencia[[#This Row],[Nuevos 7 dias]]/_xlfn.MAXIFS(EvolucionIncidencia[Nuevos 7 dias],EvolucionIncidencia[Area_Sanitaria],EvolucionIncidencia[[#This Row],[Area_Sanitaria]]))</f>
        <v>0.56690777576853524</v>
      </c>
      <c r="AB348" s="2">
        <f>IF(LEN(EvolucionIncidencia[[#This Row],[Nuevos 14 dias]])=0,"",EvolucionIncidencia[[#This Row],[Nuevos 14 dias]]/_xlfn.MAXIFS(EvolucionIncidencia[Nuevos 14 dias],EvolucionIncidencia[Area_Sanitaria],EvolucionIncidencia[[#This Row],[Area_Sanitaria]]))</f>
        <v>0.54242424242424248</v>
      </c>
    </row>
    <row r="349" spans="1:28" hidden="1" x14ac:dyDescent="0.3">
      <c r="A349" s="1">
        <v>44213</v>
      </c>
      <c r="B349" s="2" t="s">
        <v>9</v>
      </c>
      <c r="C349" s="15">
        <v>10535</v>
      </c>
      <c r="D349" s="15">
        <v>1830</v>
      </c>
      <c r="E349" s="15">
        <v>8385</v>
      </c>
      <c r="F349">
        <v>92</v>
      </c>
      <c r="G349">
        <v>6</v>
      </c>
      <c r="H349" s="15">
        <v>154790</v>
      </c>
      <c r="I349" s="15">
        <v>320</v>
      </c>
      <c r="J349" s="15">
        <v>72237</v>
      </c>
      <c r="K349" s="15">
        <v>131</v>
      </c>
      <c r="L349">
        <v>91</v>
      </c>
      <c r="M349">
        <v>17</v>
      </c>
      <c r="N349">
        <v>-1</v>
      </c>
      <c r="O349" s="15">
        <v>1629</v>
      </c>
      <c r="P349" s="15">
        <v>536</v>
      </c>
      <c r="Q349" s="15">
        <v>2165</v>
      </c>
      <c r="R349">
        <v>1.0523289246693501</v>
      </c>
      <c r="S349" s="15">
        <v>40</v>
      </c>
      <c r="T349" t="s">
        <v>408</v>
      </c>
      <c r="U349" s="15" t="str">
        <f>TEXT(EvolucionIncidencia[[#This Row],[Fecha]],"DDDD")</f>
        <v>domingo</v>
      </c>
      <c r="V3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0.45977011494252873</v>
      </c>
      <c r="W3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90.902396616189023</v>
      </c>
      <c r="X349" s="2">
        <f>IF(EvolucionIncidencia[[#This Row],[Fecha]]&lt;=MIN(EvolucionIncidencia[Fecha])+14,"",EvolucionIncidencia[[#This Row],[NuevasAltas]]-EvolucionIncidencia[[#This Row],[Previsión Altas]])</f>
        <v>-50.902396616189023</v>
      </c>
      <c r="Y3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1102</v>
      </c>
      <c r="Z3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1765</v>
      </c>
      <c r="AA349" s="2">
        <f>IF(LEN(EvolucionIncidencia[[#This Row],[Nuevos 7 dias]])=0,"",EvolucionIncidencia[[#This Row],[Nuevos 7 dias]]/_xlfn.MAXIFS(EvolucionIncidencia[Nuevos 7 dias],EvolucionIncidencia[Area_Sanitaria],EvolucionIncidencia[[#This Row],[Area_Sanitaria]]))</f>
        <v>0.70235818992989163</v>
      </c>
      <c r="AB349" s="2">
        <f>IF(LEN(EvolucionIncidencia[[#This Row],[Nuevos 14 dias]])=0,"",EvolucionIncidencia[[#This Row],[Nuevos 14 dias]]/_xlfn.MAXIFS(EvolucionIncidencia[Nuevos 14 dias],EvolucionIncidencia[Area_Sanitaria],EvolucionIncidencia[[#This Row],[Area_Sanitaria]]))</f>
        <v>0.62345460967855881</v>
      </c>
    </row>
    <row r="350" spans="1:28" x14ac:dyDescent="0.3">
      <c r="A350" s="1">
        <v>44213</v>
      </c>
      <c r="B350" s="2" t="s">
        <v>6</v>
      </c>
      <c r="C350" s="15">
        <v>8126</v>
      </c>
      <c r="D350" s="15">
        <v>1088</v>
      </c>
      <c r="E350" s="15">
        <v>6951</v>
      </c>
      <c r="F350">
        <v>64</v>
      </c>
      <c r="G350">
        <v>13</v>
      </c>
      <c r="H350" s="15">
        <v>125179</v>
      </c>
      <c r="I350" s="15">
        <v>91</v>
      </c>
      <c r="J350" s="15">
        <v>48294</v>
      </c>
      <c r="K350" s="15">
        <v>126</v>
      </c>
      <c r="L350">
        <v>105</v>
      </c>
      <c r="M350">
        <v>8</v>
      </c>
      <c r="N350">
        <v>1</v>
      </c>
      <c r="O350" s="15">
        <v>856</v>
      </c>
      <c r="P350" s="15">
        <v>114</v>
      </c>
      <c r="Q350" s="15">
        <v>970</v>
      </c>
      <c r="R350">
        <v>1.1068158697863684</v>
      </c>
      <c r="S350" s="15">
        <v>20</v>
      </c>
      <c r="T350" t="s">
        <v>408</v>
      </c>
      <c r="U350" s="15" t="str">
        <f>TEXT(EvolucionIncidencia[[#This Row],[Fecha]],"DDDD")</f>
        <v>domingo</v>
      </c>
      <c r="V3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0.33898305084745761</v>
      </c>
      <c r="W3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69.910728262300438</v>
      </c>
      <c r="X350" s="2">
        <f>IF(EvolucionIncidencia[[#This Row],[Fecha]]&lt;=MIN(EvolucionIncidencia[Fecha])+14,"",EvolucionIncidencia[[#This Row],[NuevasAltas]]-EvolucionIncidencia[[#This Row],[Previsión Altas]])</f>
        <v>-49.910728262300438</v>
      </c>
      <c r="Y3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641</v>
      </c>
      <c r="Z3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1003</v>
      </c>
      <c r="AA350" s="2">
        <f>IF(LEN(EvolucionIncidencia[[#This Row],[Nuevos 7 dias]])=0,"",EvolucionIncidencia[[#This Row],[Nuevos 7 dias]]/_xlfn.MAXIFS(EvolucionIncidencia[Nuevos 7 dias],EvolucionIncidencia[Area_Sanitaria],EvolucionIncidencia[[#This Row],[Area_Sanitaria]]))</f>
        <v>0.48745247148288973</v>
      </c>
      <c r="AB350" s="2">
        <f>IF(LEN(EvolucionIncidencia[[#This Row],[Nuevos 14 dias]])=0,"",EvolucionIncidencia[[#This Row],[Nuevos 14 dias]]/_xlfn.MAXIFS(EvolucionIncidencia[Nuevos 14 dias],EvolucionIncidencia[Area_Sanitaria],EvolucionIncidencia[[#This Row],[Area_Sanitaria]]))</f>
        <v>0.41258741258741261</v>
      </c>
    </row>
    <row r="351" spans="1:28" hidden="1" x14ac:dyDescent="0.3">
      <c r="A351" s="1">
        <v>44213</v>
      </c>
      <c r="B351" s="2" t="s">
        <v>7</v>
      </c>
      <c r="C351" s="15">
        <v>12841</v>
      </c>
      <c r="D351" s="15">
        <v>2341</v>
      </c>
      <c r="E351" s="15">
        <v>10281</v>
      </c>
      <c r="F351">
        <v>99</v>
      </c>
      <c r="G351">
        <v>16</v>
      </c>
      <c r="H351" s="15">
        <v>218343</v>
      </c>
      <c r="I351" s="15">
        <v>224</v>
      </c>
      <c r="J351" s="15">
        <v>96877</v>
      </c>
      <c r="K351" s="15">
        <v>140</v>
      </c>
      <c r="L351">
        <v>96</v>
      </c>
      <c r="M351">
        <v>4</v>
      </c>
      <c r="N351">
        <v>2</v>
      </c>
      <c r="O351" s="15">
        <v>1527</v>
      </c>
      <c r="P351" s="15">
        <v>171</v>
      </c>
      <c r="Q351" s="15">
        <v>1698</v>
      </c>
      <c r="R351">
        <v>1.042761692650334</v>
      </c>
      <c r="S351" s="15">
        <v>42</v>
      </c>
      <c r="T351" t="s">
        <v>408</v>
      </c>
      <c r="U351" s="15" t="str">
        <f>TEXT(EvolucionIncidencia[[#This Row],[Fecha]],"DDDD")</f>
        <v>domingo</v>
      </c>
      <c r="V3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0.79245283018867929</v>
      </c>
      <c r="W3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53.15605013425003</v>
      </c>
      <c r="X351" s="2">
        <f>IF(EvolucionIncidencia[[#This Row],[Fecha]]&lt;=MIN(EvolucionIncidencia[Fecha])+14,"",EvolucionIncidencia[[#This Row],[NuevasAltas]]-EvolucionIncidencia[[#This Row],[Previsión Altas]])</f>
        <v>-11.15605013425003</v>
      </c>
      <c r="Y3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1364</v>
      </c>
      <c r="Z3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2265</v>
      </c>
      <c r="AA351" s="2">
        <f>IF(LEN(EvolucionIncidencia[[#This Row],[Nuevos 7 dias]])=0,"",EvolucionIncidencia[[#This Row],[Nuevos 7 dias]]/_xlfn.MAXIFS(EvolucionIncidencia[Nuevos 7 dias],EvolucionIncidencia[Area_Sanitaria],EvolucionIncidencia[[#This Row],[Area_Sanitaria]]))</f>
        <v>0.80329799764428744</v>
      </c>
      <c r="AB351" s="2">
        <f>IF(LEN(EvolucionIncidencia[[#This Row],[Nuevos 14 dias]])=0,"",EvolucionIncidencia[[#This Row],[Nuevos 14 dias]]/_xlfn.MAXIFS(EvolucionIncidencia[Nuevos 14 dias],EvolucionIncidencia[Area_Sanitaria],EvolucionIncidencia[[#This Row],[Area_Sanitaria]]))</f>
        <v>0.71181646763042117</v>
      </c>
    </row>
    <row r="352" spans="1:28" hidden="1" x14ac:dyDescent="0.3">
      <c r="A352" s="1">
        <v>44213</v>
      </c>
      <c r="B352" s="2" t="s">
        <v>2</v>
      </c>
      <c r="C352" s="15">
        <v>15159</v>
      </c>
      <c r="D352" s="15">
        <v>2452</v>
      </c>
      <c r="E352" s="15">
        <v>12422</v>
      </c>
      <c r="F352">
        <v>85</v>
      </c>
      <c r="G352">
        <v>20</v>
      </c>
      <c r="H352" s="15">
        <v>267889</v>
      </c>
      <c r="I352" s="15">
        <v>285</v>
      </c>
      <c r="J352" s="15">
        <v>60887</v>
      </c>
      <c r="K352" s="15">
        <v>154</v>
      </c>
      <c r="L352">
        <v>119</v>
      </c>
      <c r="M352">
        <v>19</v>
      </c>
      <c r="N352">
        <v>2</v>
      </c>
      <c r="O352" s="15">
        <v>1467</v>
      </c>
      <c r="P352" s="15">
        <v>126</v>
      </c>
      <c r="Q352" s="15">
        <v>1593</v>
      </c>
      <c r="R352">
        <v>1.0510072867552507</v>
      </c>
      <c r="S352" s="15">
        <v>34</v>
      </c>
      <c r="T352" t="s">
        <v>408</v>
      </c>
      <c r="U352" s="15" t="str">
        <f>TEXT(EvolucionIncidencia[[#This Row],[Fecha]],"DDDD")</f>
        <v>domingo</v>
      </c>
      <c r="V3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1.0303030303030303</v>
      </c>
      <c r="W3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34.165140357076062</v>
      </c>
      <c r="X352" s="2">
        <f>IF(EvolucionIncidencia[[#This Row],[Fecha]]&lt;=MIN(EvolucionIncidencia[Fecha])+14,"",EvolucionIncidencia[[#This Row],[NuevasAltas]]-EvolucionIncidencia[[#This Row],[Previsión Altas]])</f>
        <v>-0.16514035707606212</v>
      </c>
      <c r="Y3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1492</v>
      </c>
      <c r="Z3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2357</v>
      </c>
      <c r="AA352" s="2">
        <f>IF(LEN(EvolucionIncidencia[[#This Row],[Nuevos 7 dias]])=0,"",EvolucionIncidencia[[#This Row],[Nuevos 7 dias]]/_xlfn.MAXIFS(EvolucionIncidencia[Nuevos 7 dias],EvolucionIncidencia[Area_Sanitaria],EvolucionIncidencia[[#This Row],[Area_Sanitaria]]))</f>
        <v>0.76946879834966475</v>
      </c>
      <c r="AB352" s="2">
        <f>IF(LEN(EvolucionIncidencia[[#This Row],[Nuevos 14 dias]])=0,"",EvolucionIncidencia[[#This Row],[Nuevos 14 dias]]/_xlfn.MAXIFS(EvolucionIncidencia[Nuevos 14 dias],EvolucionIncidencia[Area_Sanitaria],EvolucionIncidencia[[#This Row],[Area_Sanitaria]]))</f>
        <v>0.64877511698320944</v>
      </c>
    </row>
    <row r="353" spans="1:28" hidden="1" x14ac:dyDescent="0.3">
      <c r="A353" s="1">
        <v>44213</v>
      </c>
      <c r="B353" s="2" t="s">
        <v>3</v>
      </c>
      <c r="C353" s="15">
        <v>77279</v>
      </c>
      <c r="D353" s="15">
        <v>13252</v>
      </c>
      <c r="E353" s="15">
        <v>62523</v>
      </c>
      <c r="F353">
        <v>635</v>
      </c>
      <c r="G353">
        <v>104</v>
      </c>
      <c r="H353" s="15">
        <v>1250540</v>
      </c>
      <c r="I353" s="15">
        <v>1512</v>
      </c>
      <c r="J353" s="15">
        <v>468391</v>
      </c>
      <c r="K353" s="15">
        <v>1025</v>
      </c>
      <c r="L353">
        <v>744</v>
      </c>
      <c r="M353">
        <v>78</v>
      </c>
      <c r="N353">
        <v>6</v>
      </c>
      <c r="O353" s="15">
        <v>8879</v>
      </c>
      <c r="P353" s="15">
        <v>1347</v>
      </c>
      <c r="Q353" s="15">
        <v>10226</v>
      </c>
      <c r="R353">
        <v>1.0594819315637991</v>
      </c>
      <c r="S353" s="15">
        <v>272</v>
      </c>
      <c r="T353" t="s">
        <v>408</v>
      </c>
      <c r="U353" s="15" t="str">
        <f>TEXT(EvolucionIncidencia[[#This Row],[Fecha]],"DDDD")</f>
        <v>domingo</v>
      </c>
      <c r="V3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0.58620689655172409</v>
      </c>
      <c r="W3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468.18560203369373</v>
      </c>
      <c r="X353" s="2">
        <f>IF(EvolucionIncidencia[[#This Row],[Fecha]]&lt;=MIN(EvolucionIncidencia[Fecha])+14,"",EvolucionIncidencia[[#This Row],[NuevasAltas]]-EvolucionIncidencia[[#This Row],[Previsión Altas]])</f>
        <v>-196.18560203369373</v>
      </c>
      <c r="Y3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7861</v>
      </c>
      <c r="Z3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12564</v>
      </c>
      <c r="AA353" s="2">
        <f>IF(LEN(EvolucionIncidencia[[#This Row],[Nuevos 7 dias]])=0,"",EvolucionIncidencia[[#This Row],[Nuevos 7 dias]]/_xlfn.MAXIFS(EvolucionIncidencia[Nuevos 7 dias],EvolucionIncidencia[Area_Sanitaria],EvolucionIncidencia[[#This Row],[Area_Sanitaria]]))</f>
        <v>0.69296544428772922</v>
      </c>
      <c r="AB353" s="2">
        <f>IF(LEN(EvolucionIncidencia[[#This Row],[Nuevos 14 dias]])=0,"",EvolucionIncidencia[[#This Row],[Nuevos 14 dias]]/_xlfn.MAXIFS(EvolucionIncidencia[Nuevos 14 dias],EvolucionIncidencia[Area_Sanitaria],EvolucionIncidencia[[#This Row],[Area_Sanitaria]]))</f>
        <v>0.60235880717230794</v>
      </c>
    </row>
    <row r="354" spans="1:28" hidden="1" x14ac:dyDescent="0.3">
      <c r="A354" s="1">
        <v>44214</v>
      </c>
      <c r="B354" s="2" t="s">
        <v>4</v>
      </c>
      <c r="C354" s="15">
        <v>17458</v>
      </c>
      <c r="D354" s="15">
        <v>3533</v>
      </c>
      <c r="E354" s="15">
        <v>13584</v>
      </c>
      <c r="F354">
        <v>167</v>
      </c>
      <c r="G354">
        <v>36</v>
      </c>
      <c r="H354" s="15">
        <v>258846</v>
      </c>
      <c r="I354" s="15">
        <v>347</v>
      </c>
      <c r="J354" s="15">
        <v>81702</v>
      </c>
      <c r="K354" s="15">
        <v>277</v>
      </c>
      <c r="L354">
        <v>187</v>
      </c>
      <c r="M354">
        <v>4</v>
      </c>
      <c r="N354">
        <v>5</v>
      </c>
      <c r="O354" s="15">
        <v>1255</v>
      </c>
      <c r="P354" s="15">
        <v>462</v>
      </c>
      <c r="Q354" s="15">
        <v>1717</v>
      </c>
      <c r="R354">
        <v>1.0558876270173341</v>
      </c>
      <c r="S354" s="15">
        <v>82</v>
      </c>
      <c r="T354" t="s">
        <v>409</v>
      </c>
      <c r="U354" s="15" t="str">
        <f>TEXT(EvolucionIncidencia[[#This Row],[Fecha]],"DDDD")</f>
        <v>lunes</v>
      </c>
      <c r="V3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0.95348837209302328</v>
      </c>
      <c r="W3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89.11910670549328</v>
      </c>
      <c r="X354" s="2">
        <f>IF(EvolucionIncidencia[[#This Row],[Fecha]]&lt;=MIN(EvolucionIncidencia[Fecha])+14,"",EvolucionIncidencia[[#This Row],[NuevasAltas]]-EvolucionIncidencia[[#This Row],[Previsión Altas]])</f>
        <v>-7.1191067054932802</v>
      </c>
      <c r="Y3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2098</v>
      </c>
      <c r="Z3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3314</v>
      </c>
      <c r="AA354" s="2">
        <f>IF(LEN(EvolucionIncidencia[[#This Row],[Nuevos 7 dias]])=0,"",EvolucionIncidencia[[#This Row],[Nuevos 7 dias]]/_xlfn.MAXIFS(EvolucionIncidencia[Nuevos 7 dias],EvolucionIncidencia[Area_Sanitaria],EvolucionIncidencia[[#This Row],[Area_Sanitaria]]))</f>
        <v>0.70426317556226925</v>
      </c>
      <c r="AB354" s="2">
        <f>IF(LEN(EvolucionIncidencia[[#This Row],[Nuevos 14 dias]])=0,"",EvolucionIncidencia[[#This Row],[Nuevos 14 dias]]/_xlfn.MAXIFS(EvolucionIncidencia[Nuevos 14 dias],EvolucionIncidencia[Area_Sanitaria],EvolucionIncidencia[[#This Row],[Area_Sanitaria]]))</f>
        <v>0.60952731285635464</v>
      </c>
    </row>
    <row r="355" spans="1:28" hidden="1" x14ac:dyDescent="0.3">
      <c r="A355" s="1">
        <v>44214</v>
      </c>
      <c r="B355" s="2" t="s">
        <v>5</v>
      </c>
      <c r="C355" s="15">
        <v>5184</v>
      </c>
      <c r="D355" s="15">
        <v>1124</v>
      </c>
      <c r="E355" s="15">
        <v>3953</v>
      </c>
      <c r="F355">
        <v>96</v>
      </c>
      <c r="G355">
        <v>11</v>
      </c>
      <c r="H355" s="15">
        <v>86034</v>
      </c>
      <c r="I355" s="15">
        <v>105</v>
      </c>
      <c r="J355" s="15">
        <v>31270</v>
      </c>
      <c r="K355" s="15">
        <v>104</v>
      </c>
      <c r="L355">
        <v>75</v>
      </c>
      <c r="M355">
        <v>7</v>
      </c>
      <c r="N355">
        <v>0</v>
      </c>
      <c r="O355" s="15">
        <v>595</v>
      </c>
      <c r="P355" s="15">
        <v>164</v>
      </c>
      <c r="Q355" s="15">
        <v>759</v>
      </c>
      <c r="R355">
        <v>1.0714966634890373</v>
      </c>
      <c r="S355" s="15">
        <v>25</v>
      </c>
      <c r="T355" t="s">
        <v>409</v>
      </c>
      <c r="U355" s="15" t="str">
        <f>TEXT(EvolucionIncidencia[[#This Row],[Fecha]],"DDDD")</f>
        <v>lunes</v>
      </c>
      <c r="V3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1.1363636363636365</v>
      </c>
      <c r="W3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22.589265610458742</v>
      </c>
      <c r="X355" s="2">
        <f>IF(EvolucionIncidencia[[#This Row],[Fecha]]&lt;=MIN(EvolucionIncidencia[Fecha])+14,"",EvolucionIncidencia[[#This Row],[NuevasAltas]]-EvolucionIncidencia[[#This Row],[Previsión Altas]])</f>
        <v>2.4107343895412576</v>
      </c>
      <c r="Y3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688</v>
      </c>
      <c r="Z3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1059</v>
      </c>
      <c r="AA355" s="2">
        <f>IF(LEN(EvolucionIncidencia[[#This Row],[Nuevos 7 dias]])=0,"",EvolucionIncidencia[[#This Row],[Nuevos 7 dias]]/_xlfn.MAXIFS(EvolucionIncidencia[Nuevos 7 dias],EvolucionIncidencia[Area_Sanitaria],EvolucionIncidencia[[#This Row],[Area_Sanitaria]]))</f>
        <v>0.82395209580838324</v>
      </c>
      <c r="AB355" s="2">
        <f>IF(LEN(EvolucionIncidencia[[#This Row],[Nuevos 14 dias]])=0,"",EvolucionIncidencia[[#This Row],[Nuevos 14 dias]]/_xlfn.MAXIFS(EvolucionIncidencia[Nuevos 14 dias],EvolucionIncidencia[Area_Sanitaria],EvolucionIncidencia[[#This Row],[Area_Sanitaria]]))</f>
        <v>0.64612568639414281</v>
      </c>
    </row>
    <row r="356" spans="1:28" hidden="1" x14ac:dyDescent="0.3">
      <c r="A356" s="1">
        <v>44214</v>
      </c>
      <c r="B356" s="2" t="s">
        <v>8</v>
      </c>
      <c r="C356" s="15">
        <v>8459</v>
      </c>
      <c r="D356" s="15">
        <v>1210</v>
      </c>
      <c r="E356" s="15">
        <v>7090</v>
      </c>
      <c r="F356">
        <v>39</v>
      </c>
      <c r="G356">
        <v>7</v>
      </c>
      <c r="H356" s="15">
        <v>141992</v>
      </c>
      <c r="I356" s="15">
        <v>152</v>
      </c>
      <c r="J356" s="15">
        <v>78077</v>
      </c>
      <c r="K356" s="15">
        <v>102</v>
      </c>
      <c r="L356">
        <v>64</v>
      </c>
      <c r="M356">
        <v>-4</v>
      </c>
      <c r="N356">
        <v>0</v>
      </c>
      <c r="O356" s="15">
        <v>683</v>
      </c>
      <c r="P356" s="15">
        <v>327</v>
      </c>
      <c r="Q356" s="15">
        <v>1010</v>
      </c>
      <c r="R356">
        <v>1.0558464223385688</v>
      </c>
      <c r="S356" s="15">
        <v>36</v>
      </c>
      <c r="T356" t="s">
        <v>409</v>
      </c>
      <c r="U356" s="15" t="str">
        <f>TEXT(EvolucionIncidencia[[#This Row],[Fecha]],"DDDD")</f>
        <v>lunes</v>
      </c>
      <c r="V3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3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43.790481615146618</v>
      </c>
      <c r="X356" s="2">
        <f>IF(EvolucionIncidencia[[#This Row],[Fecha]]&lt;=MIN(EvolucionIncidencia[Fecha])+14,"",EvolucionIncidencia[[#This Row],[NuevasAltas]]-EvolucionIncidencia[[#This Row],[Previsión Altas]])</f>
        <v>-7.7904816151466179</v>
      </c>
      <c r="Y3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682</v>
      </c>
      <c r="Z3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1131</v>
      </c>
      <c r="AA356" s="2">
        <f>IF(LEN(EvolucionIncidencia[[#This Row],[Nuevos 7 dias]])=0,"",EvolucionIncidencia[[#This Row],[Nuevos 7 dias]]/_xlfn.MAXIFS(EvolucionIncidencia[Nuevos 7 dias],EvolucionIncidencia[Area_Sanitaria],EvolucionIncidencia[[#This Row],[Area_Sanitaria]]))</f>
        <v>0.6166365280289331</v>
      </c>
      <c r="AB356" s="2">
        <f>IF(LEN(EvolucionIncidencia[[#This Row],[Nuevos 14 dias]])=0,"",EvolucionIncidencia[[#This Row],[Nuevos 14 dias]]/_xlfn.MAXIFS(EvolucionIncidencia[Nuevos 14 dias],EvolucionIncidencia[Area_Sanitaria],EvolucionIncidencia[[#This Row],[Area_Sanitaria]]))</f>
        <v>0.57121212121212117</v>
      </c>
    </row>
    <row r="357" spans="1:28" hidden="1" x14ac:dyDescent="0.3">
      <c r="A357" s="1">
        <v>44214</v>
      </c>
      <c r="B357" s="2" t="s">
        <v>9</v>
      </c>
      <c r="C357" s="15">
        <v>10742</v>
      </c>
      <c r="D357" s="15">
        <v>1960</v>
      </c>
      <c r="E357" s="15">
        <v>8461</v>
      </c>
      <c r="F357">
        <v>105</v>
      </c>
      <c r="G357">
        <v>8</v>
      </c>
      <c r="H357" s="15">
        <v>156760</v>
      </c>
      <c r="I357" s="15">
        <v>321</v>
      </c>
      <c r="J357" s="15">
        <v>72739</v>
      </c>
      <c r="K357" s="15">
        <v>207</v>
      </c>
      <c r="L357">
        <v>130</v>
      </c>
      <c r="M357">
        <v>13</v>
      </c>
      <c r="N357">
        <v>2</v>
      </c>
      <c r="O357" s="15">
        <v>1970</v>
      </c>
      <c r="P357" s="15">
        <v>502</v>
      </c>
      <c r="Q357" s="15">
        <v>2472</v>
      </c>
      <c r="R357">
        <v>1.0710382513661203</v>
      </c>
      <c r="S357" s="15">
        <v>76</v>
      </c>
      <c r="T357" t="s">
        <v>409</v>
      </c>
      <c r="U357" s="15" t="str">
        <f>TEXT(EvolucionIncidencia[[#This Row],[Fecha]],"DDDD")</f>
        <v>lunes</v>
      </c>
      <c r="V3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1.2258064516129032</v>
      </c>
      <c r="W3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64.602857358663442</v>
      </c>
      <c r="X357" s="2">
        <f>IF(EvolucionIncidencia[[#This Row],[Fecha]]&lt;=MIN(EvolucionIncidencia[Fecha])+14,"",EvolucionIncidencia[[#This Row],[NuevasAltas]]-EvolucionIncidencia[[#This Row],[Previsión Altas]])</f>
        <v>11.397142641336558</v>
      </c>
      <c r="Y3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1185</v>
      </c>
      <c r="Z3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1910</v>
      </c>
      <c r="AA357" s="2">
        <f>IF(LEN(EvolucionIncidencia[[#This Row],[Nuevos 7 dias]])=0,"",EvolucionIncidencia[[#This Row],[Nuevos 7 dias]]/_xlfn.MAXIFS(EvolucionIncidencia[Nuevos 7 dias],EvolucionIncidencia[Area_Sanitaria],EvolucionIncidencia[[#This Row],[Area_Sanitaria]]))</f>
        <v>0.75525812619502863</v>
      </c>
      <c r="AB357" s="2">
        <f>IF(LEN(EvolucionIncidencia[[#This Row],[Nuevos 14 dias]])=0,"",EvolucionIncidencia[[#This Row],[Nuevos 14 dias]]/_xlfn.MAXIFS(EvolucionIncidencia[Nuevos 14 dias],EvolucionIncidencia[Area_Sanitaria],EvolucionIncidencia[[#This Row],[Area_Sanitaria]]))</f>
        <v>0.67467326033203812</v>
      </c>
    </row>
    <row r="358" spans="1:28" x14ac:dyDescent="0.3">
      <c r="A358" s="1">
        <v>44214</v>
      </c>
      <c r="B358" s="2" t="s">
        <v>6</v>
      </c>
      <c r="C358" s="15">
        <v>8226</v>
      </c>
      <c r="D358" s="15">
        <v>1145</v>
      </c>
      <c r="E358" s="15">
        <v>6993</v>
      </c>
      <c r="F358">
        <v>67</v>
      </c>
      <c r="G358">
        <v>11</v>
      </c>
      <c r="H358" s="15">
        <v>126045</v>
      </c>
      <c r="I358" s="15">
        <v>92</v>
      </c>
      <c r="J358" s="15">
        <v>48446</v>
      </c>
      <c r="K358" s="15">
        <v>100</v>
      </c>
      <c r="L358">
        <v>57</v>
      </c>
      <c r="M358">
        <v>3</v>
      </c>
      <c r="N358">
        <v>-2</v>
      </c>
      <c r="O358" s="15">
        <v>866</v>
      </c>
      <c r="P358" s="15">
        <v>152</v>
      </c>
      <c r="Q358" s="15">
        <v>1018</v>
      </c>
      <c r="R358">
        <v>1.052389705882353</v>
      </c>
      <c r="S358" s="15">
        <v>42</v>
      </c>
      <c r="T358" t="s">
        <v>409</v>
      </c>
      <c r="U358" s="15" t="str">
        <f>TEXT(EvolucionIncidencia[[#This Row],[Fecha]],"DDDD")</f>
        <v>lunes</v>
      </c>
      <c r="V3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0.95454545454545459</v>
      </c>
      <c r="W3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48.608783006565652</v>
      </c>
      <c r="X358" s="2">
        <f>IF(EvolucionIncidencia[[#This Row],[Fecha]]&lt;=MIN(EvolucionIncidencia[Fecha])+14,"",EvolucionIncidencia[[#This Row],[NuevasAltas]]-EvolucionIncidencia[[#This Row],[Previsión Altas]])</f>
        <v>-6.6087830065656519</v>
      </c>
      <c r="Y3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646</v>
      </c>
      <c r="Z3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1059</v>
      </c>
      <c r="AA358" s="2">
        <f>IF(LEN(EvolucionIncidencia[[#This Row],[Nuevos 7 dias]])=0,"",EvolucionIncidencia[[#This Row],[Nuevos 7 dias]]/_xlfn.MAXIFS(EvolucionIncidencia[Nuevos 7 dias],EvolucionIncidencia[Area_Sanitaria],EvolucionIncidencia[[#This Row],[Area_Sanitaria]]))</f>
        <v>0.49125475285171105</v>
      </c>
      <c r="AB358" s="2">
        <f>IF(LEN(EvolucionIncidencia[[#This Row],[Nuevos 14 dias]])=0,"",EvolucionIncidencia[[#This Row],[Nuevos 14 dias]]/_xlfn.MAXIFS(EvolucionIncidencia[Nuevos 14 dias],EvolucionIncidencia[Area_Sanitaria],EvolucionIncidencia[[#This Row],[Area_Sanitaria]]))</f>
        <v>0.43562320032908269</v>
      </c>
    </row>
    <row r="359" spans="1:28" hidden="1" x14ac:dyDescent="0.3">
      <c r="A359" s="1">
        <v>44214</v>
      </c>
      <c r="B359" s="2" t="s">
        <v>7</v>
      </c>
      <c r="C359" s="15">
        <v>13047</v>
      </c>
      <c r="D359" s="15">
        <v>2507</v>
      </c>
      <c r="E359" s="15">
        <v>10317</v>
      </c>
      <c r="F359">
        <v>100</v>
      </c>
      <c r="G359">
        <v>20</v>
      </c>
      <c r="H359" s="15">
        <v>220220</v>
      </c>
      <c r="I359" s="15">
        <v>230</v>
      </c>
      <c r="J359" s="15">
        <v>97275</v>
      </c>
      <c r="K359" s="15">
        <v>206</v>
      </c>
      <c r="L359">
        <v>166</v>
      </c>
      <c r="M359">
        <v>1</v>
      </c>
      <c r="N359">
        <v>4</v>
      </c>
      <c r="O359" s="15">
        <v>1877</v>
      </c>
      <c r="P359" s="15">
        <v>398</v>
      </c>
      <c r="Q359" s="15">
        <v>2275</v>
      </c>
      <c r="R359">
        <v>1.070909867577958</v>
      </c>
      <c r="S359" s="15">
        <v>36</v>
      </c>
      <c r="T359" t="s">
        <v>409</v>
      </c>
      <c r="U359" s="15" t="str">
        <f>TEXT(EvolucionIncidencia[[#This Row],[Fecha]],"DDDD")</f>
        <v>lunes</v>
      </c>
      <c r="V3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3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59.889851230148288</v>
      </c>
      <c r="X359" s="2">
        <f>IF(EvolucionIncidencia[[#This Row],[Fecha]]&lt;=MIN(EvolucionIncidencia[Fecha])+14,"",EvolucionIncidencia[[#This Row],[NuevasAltas]]-EvolucionIncidencia[[#This Row],[Previsión Altas]])</f>
        <v>-23.889851230148288</v>
      </c>
      <c r="Y3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1370</v>
      </c>
      <c r="Z3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2411</v>
      </c>
      <c r="AA359" s="2">
        <f>IF(LEN(EvolucionIncidencia[[#This Row],[Nuevos 7 dias]])=0,"",EvolucionIncidencia[[#This Row],[Nuevos 7 dias]]/_xlfn.MAXIFS(EvolucionIncidencia[Nuevos 7 dias],EvolucionIncidencia[Area_Sanitaria],EvolucionIncidencia[[#This Row],[Area_Sanitaria]]))</f>
        <v>0.806831566548881</v>
      </c>
      <c r="AB359" s="2">
        <f>IF(LEN(EvolucionIncidencia[[#This Row],[Nuevos 14 dias]])=0,"",EvolucionIncidencia[[#This Row],[Nuevos 14 dias]]/_xlfn.MAXIFS(EvolucionIncidencia[Nuevos 14 dias],EvolucionIncidencia[Area_Sanitaria],EvolucionIncidencia[[#This Row],[Area_Sanitaria]]))</f>
        <v>0.75769956002514138</v>
      </c>
    </row>
    <row r="360" spans="1:28" hidden="1" x14ac:dyDescent="0.3">
      <c r="A360" s="1">
        <v>44214</v>
      </c>
      <c r="B360" s="2" t="s">
        <v>2</v>
      </c>
      <c r="C360" s="15">
        <v>15346</v>
      </c>
      <c r="D360" s="15">
        <v>2596</v>
      </c>
      <c r="E360" s="15">
        <v>12461</v>
      </c>
      <c r="F360">
        <v>90</v>
      </c>
      <c r="G360">
        <v>21</v>
      </c>
      <c r="H360" s="15">
        <v>270462</v>
      </c>
      <c r="I360" s="15">
        <v>289</v>
      </c>
      <c r="J360" s="15">
        <v>61179</v>
      </c>
      <c r="K360" s="15">
        <v>187</v>
      </c>
      <c r="L360">
        <v>144</v>
      </c>
      <c r="M360">
        <v>5</v>
      </c>
      <c r="N360">
        <v>1</v>
      </c>
      <c r="O360" s="15">
        <v>2573</v>
      </c>
      <c r="P360" s="15">
        <v>292</v>
      </c>
      <c r="Q360" s="15">
        <v>2865</v>
      </c>
      <c r="R360">
        <v>1.0587275693311582</v>
      </c>
      <c r="S360" s="15">
        <v>39</v>
      </c>
      <c r="T360" t="s">
        <v>409</v>
      </c>
      <c r="U360" s="15" t="str">
        <f>TEXT(EvolucionIncidencia[[#This Row],[Fecha]],"DDDD")</f>
        <v>lunes</v>
      </c>
      <c r="V3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1.21875</v>
      </c>
      <c r="W3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33.132844554800656</v>
      </c>
      <c r="X360" s="2">
        <f>IF(EvolucionIncidencia[[#This Row],[Fecha]]&lt;=MIN(EvolucionIncidencia[Fecha])+14,"",EvolucionIncidencia[[#This Row],[NuevasAltas]]-EvolucionIncidencia[[#This Row],[Previsión Altas]])</f>
        <v>5.8671554451993444</v>
      </c>
      <c r="Y3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1531</v>
      </c>
      <c r="Z3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2512</v>
      </c>
      <c r="AA360" s="2">
        <f>IF(LEN(EvolucionIncidencia[[#This Row],[Nuevos 7 dias]])=0,"",EvolucionIncidencia[[#This Row],[Nuevos 7 dias]]/_xlfn.MAXIFS(EvolucionIncidencia[Nuevos 7 dias],EvolucionIncidencia[Area_Sanitaria],EvolucionIncidencia[[#This Row],[Area_Sanitaria]]))</f>
        <v>0.78958225889633837</v>
      </c>
      <c r="AB360" s="2">
        <f>IF(LEN(EvolucionIncidencia[[#This Row],[Nuevos 14 dias]])=0,"",EvolucionIncidencia[[#This Row],[Nuevos 14 dias]]/_xlfn.MAXIFS(EvolucionIncidencia[Nuevos 14 dias],EvolucionIncidencia[Area_Sanitaria],EvolucionIncidencia[[#This Row],[Area_Sanitaria]]))</f>
        <v>0.69143958161299202</v>
      </c>
    </row>
    <row r="361" spans="1:28" hidden="1" x14ac:dyDescent="0.3">
      <c r="A361" s="1">
        <v>44214</v>
      </c>
      <c r="B361" s="2" t="s">
        <v>3</v>
      </c>
      <c r="C361" s="15">
        <v>78462</v>
      </c>
      <c r="D361" s="15">
        <v>14075</v>
      </c>
      <c r="E361" s="15">
        <v>62859</v>
      </c>
      <c r="F361">
        <v>664</v>
      </c>
      <c r="G361">
        <v>114</v>
      </c>
      <c r="H361" s="15">
        <v>1260359</v>
      </c>
      <c r="I361" s="15">
        <v>1536</v>
      </c>
      <c r="J361" s="15">
        <v>470688</v>
      </c>
      <c r="K361" s="15">
        <v>1183</v>
      </c>
      <c r="L361">
        <v>823</v>
      </c>
      <c r="M361">
        <v>29</v>
      </c>
      <c r="N361">
        <v>10</v>
      </c>
      <c r="O361" s="15">
        <v>9819</v>
      </c>
      <c r="P361" s="15">
        <v>2297</v>
      </c>
      <c r="Q361" s="15">
        <v>12116</v>
      </c>
      <c r="R361">
        <v>1.0621038333836401</v>
      </c>
      <c r="S361" s="15">
        <v>336</v>
      </c>
      <c r="T361" t="s">
        <v>409</v>
      </c>
      <c r="U361" s="15" t="str">
        <f>TEXT(EvolucionIncidencia[[#This Row],[Fecha]],"DDDD")</f>
        <v>lunes</v>
      </c>
      <c r="V3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0.95726495726495731</v>
      </c>
      <c r="W3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343.79187937093144</v>
      </c>
      <c r="X361" s="2">
        <f>IF(EvolucionIncidencia[[#This Row],[Fecha]]&lt;=MIN(EvolucionIncidencia[Fecha])+14,"",EvolucionIncidencia[[#This Row],[NuevasAltas]]-EvolucionIncidencia[[#This Row],[Previsión Altas]])</f>
        <v>-7.79187937093144</v>
      </c>
      <c r="Y3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8200</v>
      </c>
      <c r="Z3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13396</v>
      </c>
      <c r="AA361" s="2">
        <f>IF(LEN(EvolucionIncidencia[[#This Row],[Nuevos 7 dias]])=0,"",EvolucionIncidencia[[#This Row],[Nuevos 7 dias]]/_xlfn.MAXIFS(EvolucionIncidencia[Nuevos 7 dias],EvolucionIncidencia[Area_Sanitaria],EvolucionIncidencia[[#This Row],[Area_Sanitaria]]))</f>
        <v>0.72284908321579688</v>
      </c>
      <c r="AB361" s="2">
        <f>IF(LEN(EvolucionIncidencia[[#This Row],[Nuevos 14 dias]])=0,"",EvolucionIncidencia[[#This Row],[Nuevos 14 dias]]/_xlfn.MAXIFS(EvolucionIncidencia[Nuevos 14 dias],EvolucionIncidencia[Area_Sanitaria],EvolucionIncidencia[[#This Row],[Area_Sanitaria]]))</f>
        <v>0.64224757886662187</v>
      </c>
    </row>
    <row r="362" spans="1:28" hidden="1" x14ac:dyDescent="0.3">
      <c r="A362" s="1">
        <v>44215</v>
      </c>
      <c r="B362" s="2" t="s">
        <v>4</v>
      </c>
      <c r="C362" s="15">
        <v>17893</v>
      </c>
      <c r="D362" s="15">
        <v>3839</v>
      </c>
      <c r="E362" s="15">
        <v>13711</v>
      </c>
      <c r="F362">
        <v>179</v>
      </c>
      <c r="G362">
        <v>39</v>
      </c>
      <c r="H362" s="15">
        <v>261208</v>
      </c>
      <c r="I362" s="15">
        <v>349</v>
      </c>
      <c r="J362" s="15">
        <v>82356</v>
      </c>
      <c r="K362" s="15">
        <v>435</v>
      </c>
      <c r="L362">
        <v>306</v>
      </c>
      <c r="M362">
        <v>12</v>
      </c>
      <c r="N362">
        <v>3</v>
      </c>
      <c r="O362" s="15">
        <v>2362</v>
      </c>
      <c r="P362" s="15">
        <v>654</v>
      </c>
      <c r="Q362" s="15">
        <v>3016</v>
      </c>
      <c r="R362">
        <v>1.0866119445230682</v>
      </c>
      <c r="S362" s="15">
        <v>127</v>
      </c>
      <c r="T362" t="s">
        <v>410</v>
      </c>
      <c r="U362" s="15" t="str">
        <f>TEXT(EvolucionIncidencia[[#This Row],[Fecha]],"DDDD")</f>
        <v>martes</v>
      </c>
      <c r="V3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0.67914438502673802</v>
      </c>
      <c r="W3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177.48085696824256</v>
      </c>
      <c r="X362" s="2">
        <f>IF(EvolucionIncidencia[[#This Row],[Fecha]]&lt;=MIN(EvolucionIncidencia[Fecha])+14,"",EvolucionIncidencia[[#This Row],[NuevasAltas]]-EvolucionIncidencia[[#This Row],[Previsión Altas]])</f>
        <v>-50.480856968242563</v>
      </c>
      <c r="Y3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2277</v>
      </c>
      <c r="Z3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3562</v>
      </c>
      <c r="AA362" s="2">
        <f>IF(LEN(EvolucionIncidencia[[#This Row],[Nuevos 7 dias]])=0,"",EvolucionIncidencia[[#This Row],[Nuevos 7 dias]]/_xlfn.MAXIFS(EvolucionIncidencia[Nuevos 7 dias],EvolucionIncidencia[Area_Sanitaria],EvolucionIncidencia[[#This Row],[Area_Sanitaria]]))</f>
        <v>0.7643504531722054</v>
      </c>
      <c r="AB362" s="2">
        <f>IF(LEN(EvolucionIncidencia[[#This Row],[Nuevos 14 dias]])=0,"",EvolucionIncidencia[[#This Row],[Nuevos 14 dias]]/_xlfn.MAXIFS(EvolucionIncidencia[Nuevos 14 dias],EvolucionIncidencia[Area_Sanitaria],EvolucionIncidencia[[#This Row],[Area_Sanitaria]]))</f>
        <v>0.65514070259334189</v>
      </c>
    </row>
    <row r="363" spans="1:28" hidden="1" x14ac:dyDescent="0.3">
      <c r="A363" s="1">
        <v>44215</v>
      </c>
      <c r="B363" s="2" t="s">
        <v>5</v>
      </c>
      <c r="C363" s="15">
        <v>5282</v>
      </c>
      <c r="D363" s="15">
        <v>1192</v>
      </c>
      <c r="E363" s="15">
        <v>3982</v>
      </c>
      <c r="F363">
        <v>97</v>
      </c>
      <c r="G363">
        <v>13</v>
      </c>
      <c r="H363" s="15">
        <v>86893</v>
      </c>
      <c r="I363" s="15">
        <v>106</v>
      </c>
      <c r="J363" s="15">
        <v>31412</v>
      </c>
      <c r="K363" s="15">
        <v>98</v>
      </c>
      <c r="L363">
        <v>68</v>
      </c>
      <c r="M363">
        <v>1</v>
      </c>
      <c r="N363">
        <v>2</v>
      </c>
      <c r="O363" s="15">
        <v>859</v>
      </c>
      <c r="P363" s="15">
        <v>142</v>
      </c>
      <c r="Q363" s="15">
        <v>1001</v>
      </c>
      <c r="R363">
        <v>1.0604982206405693</v>
      </c>
      <c r="S363" s="15">
        <v>29</v>
      </c>
      <c r="T363" t="s">
        <v>410</v>
      </c>
      <c r="U363" s="15" t="str">
        <f>TEXT(EvolucionIncidencia[[#This Row],[Fecha]],"DDDD")</f>
        <v>martes</v>
      </c>
      <c r="V3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0.52727272727272723</v>
      </c>
      <c r="W3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55.371973549956373</v>
      </c>
      <c r="X363" s="2">
        <f>IF(EvolucionIncidencia[[#This Row],[Fecha]]&lt;=MIN(EvolucionIncidencia[Fecha])+14,"",EvolucionIncidencia[[#This Row],[NuevasAltas]]-EvolucionIncidencia[[#This Row],[Previsión Altas]])</f>
        <v>-26.371973549956373</v>
      </c>
      <c r="Y3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712</v>
      </c>
      <c r="Z3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1102</v>
      </c>
      <c r="AA363" s="2">
        <f>IF(LEN(EvolucionIncidencia[[#This Row],[Nuevos 7 dias]])=0,"",EvolucionIncidencia[[#This Row],[Nuevos 7 dias]]/_xlfn.MAXIFS(EvolucionIncidencia[Nuevos 7 dias],EvolucionIncidencia[Area_Sanitaria],EvolucionIncidencia[[#This Row],[Area_Sanitaria]]))</f>
        <v>0.85269461077844311</v>
      </c>
      <c r="AB363" s="2">
        <f>IF(LEN(EvolucionIncidencia[[#This Row],[Nuevos 14 dias]])=0,"",EvolucionIncidencia[[#This Row],[Nuevos 14 dias]]/_xlfn.MAXIFS(EvolucionIncidencia[Nuevos 14 dias],EvolucionIncidencia[Area_Sanitaria],EvolucionIncidencia[[#This Row],[Area_Sanitaria]]))</f>
        <v>0.67236119585112875</v>
      </c>
    </row>
    <row r="364" spans="1:28" hidden="1" x14ac:dyDescent="0.3">
      <c r="A364" s="1">
        <v>44215</v>
      </c>
      <c r="B364" s="2" t="s">
        <v>8</v>
      </c>
      <c r="C364" s="15">
        <v>8576</v>
      </c>
      <c r="D364" s="15">
        <v>1273</v>
      </c>
      <c r="E364" s="15">
        <v>7138</v>
      </c>
      <c r="F364">
        <v>37</v>
      </c>
      <c r="G364">
        <v>8</v>
      </c>
      <c r="H364" s="15">
        <v>143195</v>
      </c>
      <c r="I364" s="15">
        <v>157</v>
      </c>
      <c r="J364" s="15">
        <v>78582</v>
      </c>
      <c r="K364" s="15">
        <v>117</v>
      </c>
      <c r="L364">
        <v>63</v>
      </c>
      <c r="M364">
        <v>-2</v>
      </c>
      <c r="N364">
        <v>1</v>
      </c>
      <c r="O364" s="15">
        <v>1203</v>
      </c>
      <c r="P364" s="15">
        <v>505</v>
      </c>
      <c r="Q364" s="15">
        <v>1708</v>
      </c>
      <c r="R364">
        <v>1.0520661157024793</v>
      </c>
      <c r="S364" s="15">
        <v>48</v>
      </c>
      <c r="T364" t="s">
        <v>410</v>
      </c>
      <c r="U364" s="15" t="str">
        <f>TEXT(EvolucionIncidencia[[#This Row],[Fecha]],"DDDD")</f>
        <v>martes</v>
      </c>
      <c r="V3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0.76190476190476186</v>
      </c>
      <c r="W3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59.612556614146442</v>
      </c>
      <c r="X364" s="2">
        <f>IF(EvolucionIncidencia[[#This Row],[Fecha]]&lt;=MIN(EvolucionIncidencia[Fecha])+14,"",EvolucionIncidencia[[#This Row],[NuevasAltas]]-EvolucionIncidencia[[#This Row],[Previsión Altas]])</f>
        <v>-11.612556614146442</v>
      </c>
      <c r="Y3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695</v>
      </c>
      <c r="Z3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1185</v>
      </c>
      <c r="AA364" s="2">
        <f>IF(LEN(EvolucionIncidencia[[#This Row],[Nuevos 7 dias]])=0,"",EvolucionIncidencia[[#This Row],[Nuevos 7 dias]]/_xlfn.MAXIFS(EvolucionIncidencia[Nuevos 7 dias],EvolucionIncidencia[Area_Sanitaria],EvolucionIncidencia[[#This Row],[Area_Sanitaria]]))</f>
        <v>0.62839059674502717</v>
      </c>
      <c r="AB364" s="2">
        <f>IF(LEN(EvolucionIncidencia[[#This Row],[Nuevos 14 dias]])=0,"",EvolucionIncidencia[[#This Row],[Nuevos 14 dias]]/_xlfn.MAXIFS(EvolucionIncidencia[Nuevos 14 dias],EvolucionIncidencia[Area_Sanitaria],EvolucionIncidencia[[#This Row],[Area_Sanitaria]]))</f>
        <v>0.59848484848484851</v>
      </c>
    </row>
    <row r="365" spans="1:28" hidden="1" x14ac:dyDescent="0.3">
      <c r="A365" s="1">
        <v>44215</v>
      </c>
      <c r="B365" s="2" t="s">
        <v>9</v>
      </c>
      <c r="C365" s="15">
        <v>10947</v>
      </c>
      <c r="D365" s="15">
        <v>2107</v>
      </c>
      <c r="E365" s="15">
        <v>8519</v>
      </c>
      <c r="F365">
        <v>103</v>
      </c>
      <c r="G365">
        <v>10</v>
      </c>
      <c r="H365" s="15">
        <v>158507</v>
      </c>
      <c r="I365" s="15">
        <v>321</v>
      </c>
      <c r="J365" s="15">
        <v>73220</v>
      </c>
      <c r="K365" s="15">
        <v>205</v>
      </c>
      <c r="L365">
        <v>147</v>
      </c>
      <c r="M365">
        <v>-2</v>
      </c>
      <c r="N365">
        <v>2</v>
      </c>
      <c r="O365" s="15">
        <v>1747</v>
      </c>
      <c r="P365" s="15">
        <v>481</v>
      </c>
      <c r="Q365" s="15">
        <v>2228</v>
      </c>
      <c r="R365">
        <v>1.075</v>
      </c>
      <c r="S365" s="15">
        <v>58</v>
      </c>
      <c r="T365" t="s">
        <v>410</v>
      </c>
      <c r="U365" s="15" t="str">
        <f>TEXT(EvolucionIncidencia[[#This Row],[Fecha]],"DDDD")</f>
        <v>martes</v>
      </c>
      <c r="V3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0.61052631578947369</v>
      </c>
      <c r="W3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101.45187979213296</v>
      </c>
      <c r="X365" s="2">
        <f>IF(EvolucionIncidencia[[#This Row],[Fecha]]&lt;=MIN(EvolucionIncidencia[Fecha])+14,"",EvolucionIncidencia[[#This Row],[NuevasAltas]]-EvolucionIncidencia[[#This Row],[Previsión Altas]])</f>
        <v>-43.451879792132956</v>
      </c>
      <c r="Y3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1255</v>
      </c>
      <c r="Z3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2020</v>
      </c>
      <c r="AA365" s="2">
        <f>IF(LEN(EvolucionIncidencia[[#This Row],[Nuevos 7 dias]])=0,"",EvolucionIncidencia[[#This Row],[Nuevos 7 dias]]/_xlfn.MAXIFS(EvolucionIncidencia[Nuevos 7 dias],EvolucionIncidencia[Area_Sanitaria],EvolucionIncidencia[[#This Row],[Area_Sanitaria]]))</f>
        <v>0.79987253027405991</v>
      </c>
      <c r="AB365" s="2">
        <f>IF(LEN(EvolucionIncidencia[[#This Row],[Nuevos 14 dias]])=0,"",EvolucionIncidencia[[#This Row],[Nuevos 14 dias]]/_xlfn.MAXIFS(EvolucionIncidencia[Nuevos 14 dias],EvolucionIncidencia[Area_Sanitaria],EvolucionIncidencia[[#This Row],[Area_Sanitaria]]))</f>
        <v>0.71352878841398804</v>
      </c>
    </row>
    <row r="366" spans="1:28" x14ac:dyDescent="0.3">
      <c r="A366" s="1">
        <v>44215</v>
      </c>
      <c r="B366" s="2" t="s">
        <v>6</v>
      </c>
      <c r="C366" s="15">
        <v>8314</v>
      </c>
      <c r="D366" s="15">
        <v>1195</v>
      </c>
      <c r="E366" s="15">
        <v>7031</v>
      </c>
      <c r="F366">
        <v>62</v>
      </c>
      <c r="G366">
        <v>14</v>
      </c>
      <c r="H366" s="15">
        <v>127167</v>
      </c>
      <c r="I366" s="15">
        <v>92</v>
      </c>
      <c r="J366" s="15">
        <v>48715</v>
      </c>
      <c r="K366" s="15">
        <v>88</v>
      </c>
      <c r="L366">
        <v>50</v>
      </c>
      <c r="M366">
        <v>-5</v>
      </c>
      <c r="N366">
        <v>3</v>
      </c>
      <c r="O366" s="15">
        <v>1122</v>
      </c>
      <c r="P366" s="15">
        <v>269</v>
      </c>
      <c r="Q366" s="15">
        <v>1391</v>
      </c>
      <c r="R366">
        <v>1.0436681222707425</v>
      </c>
      <c r="S366" s="15">
        <v>38</v>
      </c>
      <c r="T366" t="s">
        <v>410</v>
      </c>
      <c r="U366" s="15" t="str">
        <f>TEXT(EvolucionIncidencia[[#This Row],[Fecha]],"DDDD")</f>
        <v>martes</v>
      </c>
      <c r="V3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1.1515151515151516</v>
      </c>
      <c r="W3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37.449444397781377</v>
      </c>
      <c r="X366" s="2">
        <f>IF(EvolucionIncidencia[[#This Row],[Fecha]]&lt;=MIN(EvolucionIncidencia[Fecha])+14,"",EvolucionIncidencia[[#This Row],[NuevasAltas]]-EvolucionIncidencia[[#This Row],[Previsión Altas]])</f>
        <v>0.55055560221862265</v>
      </c>
      <c r="Y3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672</v>
      </c>
      <c r="Z3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1114</v>
      </c>
      <c r="AA366" s="2">
        <f>IF(LEN(EvolucionIncidencia[[#This Row],[Nuevos 7 dias]])=0,"",EvolucionIncidencia[[#This Row],[Nuevos 7 dias]]/_xlfn.MAXIFS(EvolucionIncidencia[Nuevos 7 dias],EvolucionIncidencia[Area_Sanitaria],EvolucionIncidencia[[#This Row],[Area_Sanitaria]]))</f>
        <v>0.51102661596958177</v>
      </c>
      <c r="AB366" s="2">
        <f>IF(LEN(EvolucionIncidencia[[#This Row],[Nuevos 14 dias]])=0,"",EvolucionIncidencia[[#This Row],[Nuevos 14 dias]]/_xlfn.MAXIFS(EvolucionIncidencia[Nuevos 14 dias],EvolucionIncidencia[Area_Sanitaria],EvolucionIncidencia[[#This Row],[Area_Sanitaria]]))</f>
        <v>0.45824763471822294</v>
      </c>
    </row>
    <row r="367" spans="1:28" hidden="1" x14ac:dyDescent="0.3">
      <c r="A367" s="1">
        <v>44215</v>
      </c>
      <c r="B367" s="2" t="s">
        <v>7</v>
      </c>
      <c r="C367" s="15">
        <v>13237</v>
      </c>
      <c r="D367" s="15">
        <v>2593</v>
      </c>
      <c r="E367" s="15">
        <v>10418</v>
      </c>
      <c r="F367">
        <v>106</v>
      </c>
      <c r="G367">
        <v>26</v>
      </c>
      <c r="H367" s="15">
        <v>222178</v>
      </c>
      <c r="I367" s="15">
        <v>234</v>
      </c>
      <c r="J367" s="15">
        <v>97852</v>
      </c>
      <c r="K367" s="15">
        <v>190</v>
      </c>
      <c r="L367">
        <v>86</v>
      </c>
      <c r="M367">
        <v>6</v>
      </c>
      <c r="N367">
        <v>6</v>
      </c>
      <c r="O367" s="15">
        <v>1958</v>
      </c>
      <c r="P367" s="15">
        <v>577</v>
      </c>
      <c r="Q367" s="15">
        <v>2535</v>
      </c>
      <c r="R367">
        <v>1.0343039489429597</v>
      </c>
      <c r="S367" s="15">
        <v>101</v>
      </c>
      <c r="T367" t="s">
        <v>410</v>
      </c>
      <c r="U367" s="15" t="str">
        <f>TEXT(EvolucionIncidencia[[#This Row],[Fecha]],"DDDD")</f>
        <v>martes</v>
      </c>
      <c r="V3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0.64743589743589747</v>
      </c>
      <c r="W3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152.0668599516323</v>
      </c>
      <c r="X367" s="2">
        <f>IF(EvolucionIncidencia[[#This Row],[Fecha]]&lt;=MIN(EvolucionIncidencia[Fecha])+14,"",EvolucionIncidencia[[#This Row],[NuevasAltas]]-EvolucionIncidencia[[#This Row],[Previsión Altas]])</f>
        <v>-51.066859951632296</v>
      </c>
      <c r="Y3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1365</v>
      </c>
      <c r="Z3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2445</v>
      </c>
      <c r="AA367" s="2">
        <f>IF(LEN(EvolucionIncidencia[[#This Row],[Nuevos 7 dias]])=0,"",EvolucionIncidencia[[#This Row],[Nuevos 7 dias]]/_xlfn.MAXIFS(EvolucionIncidencia[Nuevos 7 dias],EvolucionIncidencia[Area_Sanitaria],EvolucionIncidencia[[#This Row],[Area_Sanitaria]]))</f>
        <v>0.80388692579505305</v>
      </c>
      <c r="AB367" s="2">
        <f>IF(LEN(EvolucionIncidencia[[#This Row],[Nuevos 14 dias]])=0,"",EvolucionIncidencia[[#This Row],[Nuevos 14 dias]]/_xlfn.MAXIFS(EvolucionIncidencia[Nuevos 14 dias],EvolucionIncidencia[Area_Sanitaria],EvolucionIncidencia[[#This Row],[Area_Sanitaria]]))</f>
        <v>0.76838466373350089</v>
      </c>
    </row>
    <row r="368" spans="1:28" hidden="1" x14ac:dyDescent="0.3">
      <c r="A368" s="1">
        <v>44215</v>
      </c>
      <c r="B368" s="2" t="s">
        <v>2</v>
      </c>
      <c r="C368" s="15">
        <v>15585</v>
      </c>
      <c r="D368" s="15">
        <v>2776</v>
      </c>
      <c r="E368" s="15">
        <v>12518</v>
      </c>
      <c r="F368">
        <v>112</v>
      </c>
      <c r="G368">
        <v>22</v>
      </c>
      <c r="H368" s="15">
        <v>273041</v>
      </c>
      <c r="I368" s="15">
        <v>291</v>
      </c>
      <c r="J368" s="15">
        <v>61439</v>
      </c>
      <c r="K368" s="15">
        <v>239</v>
      </c>
      <c r="L368">
        <v>180</v>
      </c>
      <c r="M368">
        <v>22</v>
      </c>
      <c r="N368">
        <v>1</v>
      </c>
      <c r="O368" s="15">
        <v>2579</v>
      </c>
      <c r="P368" s="15">
        <v>260</v>
      </c>
      <c r="Q368" s="15">
        <v>2839</v>
      </c>
      <c r="R368">
        <v>1.0693374422187982</v>
      </c>
      <c r="S368" s="15">
        <v>57</v>
      </c>
      <c r="T368" t="s">
        <v>410</v>
      </c>
      <c r="U368" s="15" t="str">
        <f>TEXT(EvolucionIncidencia[[#This Row],[Fecha]],"DDDD")</f>
        <v>martes</v>
      </c>
      <c r="V3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3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98.814898576412261</v>
      </c>
      <c r="X368" s="2">
        <f>IF(EvolucionIncidencia[[#This Row],[Fecha]]&lt;=MIN(EvolucionIncidencia[Fecha])+14,"",EvolucionIncidencia[[#This Row],[NuevasAltas]]-EvolucionIncidencia[[#This Row],[Previsión Altas]])</f>
        <v>-41.814898576412261</v>
      </c>
      <c r="Y3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1549</v>
      </c>
      <c r="Z3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2656</v>
      </c>
      <c r="AA368" s="2">
        <f>IF(LEN(EvolucionIncidencia[[#This Row],[Nuevos 7 dias]])=0,"",EvolucionIncidencia[[#This Row],[Nuevos 7 dias]]/_xlfn.MAXIFS(EvolucionIncidencia[Nuevos 7 dias],EvolucionIncidencia[Area_Sanitaria],EvolucionIncidencia[[#This Row],[Area_Sanitaria]]))</f>
        <v>0.79886539453326455</v>
      </c>
      <c r="AB368" s="2">
        <f>IF(LEN(EvolucionIncidencia[[#This Row],[Nuevos 14 dias]])=0,"",EvolucionIncidencia[[#This Row],[Nuevos 14 dias]]/_xlfn.MAXIFS(EvolucionIncidencia[Nuevos 14 dias],EvolucionIncidencia[Area_Sanitaria],EvolucionIncidencia[[#This Row],[Area_Sanitaria]]))</f>
        <v>0.73107624552711259</v>
      </c>
    </row>
    <row r="369" spans="1:28" hidden="1" x14ac:dyDescent="0.3">
      <c r="A369" s="1">
        <v>44215</v>
      </c>
      <c r="B369" s="2" t="s">
        <v>3</v>
      </c>
      <c r="C369" s="15">
        <v>79834</v>
      </c>
      <c r="D369" s="15">
        <v>14975</v>
      </c>
      <c r="E369" s="15">
        <v>63317</v>
      </c>
      <c r="F369">
        <v>696</v>
      </c>
      <c r="G369">
        <v>132</v>
      </c>
      <c r="H369" s="15">
        <v>1272189</v>
      </c>
      <c r="I369" s="15">
        <v>1550</v>
      </c>
      <c r="J369" s="15">
        <v>473576</v>
      </c>
      <c r="K369" s="15">
        <v>1372</v>
      </c>
      <c r="L369">
        <v>900</v>
      </c>
      <c r="M369">
        <v>32</v>
      </c>
      <c r="N369">
        <v>18</v>
      </c>
      <c r="O369" s="15">
        <v>11830</v>
      </c>
      <c r="P369" s="15">
        <v>2888</v>
      </c>
      <c r="Q369" s="15">
        <v>14718</v>
      </c>
      <c r="R369">
        <v>1.0639431616341031</v>
      </c>
      <c r="S369" s="15">
        <v>458</v>
      </c>
      <c r="T369" t="s">
        <v>410</v>
      </c>
      <c r="U369" s="15" t="str">
        <f>TEXT(EvolucionIncidencia[[#This Row],[Fecha]],"DDDD")</f>
        <v>martes</v>
      </c>
      <c r="V3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0.66959064327485385</v>
      </c>
      <c r="W3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665.90335961440724</v>
      </c>
      <c r="X369" s="2">
        <f>IF(EvolucionIncidencia[[#This Row],[Fecha]]&lt;=MIN(EvolucionIncidencia[Fecha])+14,"",EvolucionIncidencia[[#This Row],[NuevasAltas]]-EvolucionIncidencia[[#This Row],[Previsión Altas]])</f>
        <v>-207.90335961440724</v>
      </c>
      <c r="Y3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8525</v>
      </c>
      <c r="Z3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14084</v>
      </c>
      <c r="AA369" s="2">
        <f>IF(LEN(EvolucionIncidencia[[#This Row],[Nuevos 7 dias]])=0,"",EvolucionIncidencia[[#This Row],[Nuevos 7 dias]]/_xlfn.MAXIFS(EvolucionIncidencia[Nuevos 7 dias],EvolucionIncidencia[Area_Sanitaria],EvolucionIncidencia[[#This Row],[Area_Sanitaria]]))</f>
        <v>0.7514985895627645</v>
      </c>
      <c r="AB369" s="2">
        <f>IF(LEN(EvolucionIncidencia[[#This Row],[Nuevos 14 dias]])=0,"",EvolucionIncidencia[[#This Row],[Nuevos 14 dias]]/_xlfn.MAXIFS(EvolucionIncidencia[Nuevos 14 dias],EvolucionIncidencia[Area_Sanitaria],EvolucionIncidencia[[#This Row],[Area_Sanitaria]]))</f>
        <v>0.67523252469076611</v>
      </c>
    </row>
    <row r="370" spans="1:28" hidden="1" x14ac:dyDescent="0.3">
      <c r="A370" s="1">
        <v>44216</v>
      </c>
      <c r="B370" s="2" t="s">
        <v>4</v>
      </c>
      <c r="C370" s="15">
        <v>18335</v>
      </c>
      <c r="D370" s="15">
        <v>4124</v>
      </c>
      <c r="E370" s="15">
        <v>13867</v>
      </c>
      <c r="F370">
        <v>188</v>
      </c>
      <c r="G370">
        <v>38</v>
      </c>
      <c r="H370" s="15">
        <v>263615</v>
      </c>
      <c r="I370" s="15">
        <v>350</v>
      </c>
      <c r="J370" s="15">
        <v>83883</v>
      </c>
      <c r="K370" s="15">
        <v>442</v>
      </c>
      <c r="L370">
        <v>285</v>
      </c>
      <c r="M370">
        <v>9</v>
      </c>
      <c r="N370">
        <v>-1</v>
      </c>
      <c r="O370" s="15">
        <v>2407</v>
      </c>
      <c r="P370" s="15">
        <v>1527</v>
      </c>
      <c r="Q370" s="15">
        <v>3934</v>
      </c>
      <c r="R370">
        <v>1.0742380828340714</v>
      </c>
      <c r="S370" s="15">
        <v>156</v>
      </c>
      <c r="T370" t="s">
        <v>411</v>
      </c>
      <c r="U370" s="15" t="str">
        <f>TEXT(EvolucionIncidencia[[#This Row],[Fecha]],"DDDD")</f>
        <v>miércoles</v>
      </c>
      <c r="V3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0.98734177215189878</v>
      </c>
      <c r="W3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151.80252076537533</v>
      </c>
      <c r="X370" s="2">
        <f>IF(EvolucionIncidencia[[#This Row],[Fecha]]&lt;=MIN(EvolucionIncidencia[Fecha])+14,"",EvolucionIncidencia[[#This Row],[NuevasAltas]]-EvolucionIncidencia[[#This Row],[Previsión Altas]])</f>
        <v>4.1974792346246659</v>
      </c>
      <c r="Y3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2421</v>
      </c>
      <c r="Z3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3846</v>
      </c>
      <c r="AA370" s="2">
        <f>IF(LEN(EvolucionIncidencia[[#This Row],[Nuevos 7 dias]])=0,"",EvolucionIncidencia[[#This Row],[Nuevos 7 dias]]/_xlfn.MAXIFS(EvolucionIncidencia[Nuevos 7 dias],EvolucionIncidencia[Area_Sanitaria],EvolucionIncidencia[[#This Row],[Area_Sanitaria]]))</f>
        <v>0.81268882175226587</v>
      </c>
      <c r="AB370" s="2">
        <f>IF(LEN(EvolucionIncidencia[[#This Row],[Nuevos 14 dias]])=0,"",EvolucionIncidencia[[#This Row],[Nuevos 14 dias]]/_xlfn.MAXIFS(EvolucionIncidencia[Nuevos 14 dias],EvolucionIncidencia[Area_Sanitaria],EvolucionIncidencia[[#This Row],[Area_Sanitaria]]))</f>
        <v>0.70737539084053702</v>
      </c>
    </row>
    <row r="371" spans="1:28" hidden="1" x14ac:dyDescent="0.3">
      <c r="A371" s="1">
        <v>44216</v>
      </c>
      <c r="B371" s="2" t="s">
        <v>5</v>
      </c>
      <c r="C371" s="15">
        <v>5423</v>
      </c>
      <c r="D371" s="15">
        <v>1284</v>
      </c>
      <c r="E371" s="15">
        <v>4031</v>
      </c>
      <c r="F371">
        <v>104</v>
      </c>
      <c r="G371">
        <v>14</v>
      </c>
      <c r="H371" s="15">
        <v>87871</v>
      </c>
      <c r="I371" s="15">
        <v>106</v>
      </c>
      <c r="J371" s="15">
        <v>31531</v>
      </c>
      <c r="K371" s="15">
        <v>141</v>
      </c>
      <c r="L371">
        <v>92</v>
      </c>
      <c r="M371">
        <v>7</v>
      </c>
      <c r="N371">
        <v>1</v>
      </c>
      <c r="O371" s="15">
        <v>978</v>
      </c>
      <c r="P371" s="15">
        <v>119</v>
      </c>
      <c r="Q371" s="15">
        <v>1097</v>
      </c>
      <c r="R371">
        <v>1.0771812080536913</v>
      </c>
      <c r="S371" s="15">
        <v>49</v>
      </c>
      <c r="T371" t="s">
        <v>411</v>
      </c>
      <c r="U371" s="15" t="str">
        <f>TEXT(EvolucionIncidencia[[#This Row],[Fecha]],"DDDD")</f>
        <v>miércoles</v>
      </c>
      <c r="V3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1.5806451612903225</v>
      </c>
      <c r="W3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30.423408773993753</v>
      </c>
      <c r="X371" s="2">
        <f>IF(EvolucionIncidencia[[#This Row],[Fecha]]&lt;=MIN(EvolucionIncidencia[Fecha])+14,"",EvolucionIncidencia[[#This Row],[NuevasAltas]]-EvolucionIncidencia[[#This Row],[Previsión Altas]])</f>
        <v>18.576591226006247</v>
      </c>
      <c r="Y3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785</v>
      </c>
      <c r="Z3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1212</v>
      </c>
      <c r="AA371" s="2">
        <f>IF(LEN(EvolucionIncidencia[[#This Row],[Nuevos 7 dias]])=0,"",EvolucionIncidencia[[#This Row],[Nuevos 7 dias]]/_xlfn.MAXIFS(EvolucionIncidencia[Nuevos 7 dias],EvolucionIncidencia[Area_Sanitaria],EvolucionIncidencia[[#This Row],[Area_Sanitaria]]))</f>
        <v>0.94011976047904189</v>
      </c>
      <c r="AB371" s="2">
        <f>IF(LEN(EvolucionIncidencia[[#This Row],[Nuevos 14 dias]])=0,"",EvolucionIncidencia[[#This Row],[Nuevos 14 dias]]/_xlfn.MAXIFS(EvolucionIncidencia[Nuevos 14 dias],EvolucionIncidencia[Area_Sanitaria],EvolucionIncidencia[[#This Row],[Area_Sanitaria]]))</f>
        <v>0.7394752898108603</v>
      </c>
    </row>
    <row r="372" spans="1:28" hidden="1" x14ac:dyDescent="0.3">
      <c r="A372" s="1">
        <v>44216</v>
      </c>
      <c r="B372" s="2" t="s">
        <v>8</v>
      </c>
      <c r="C372" s="15">
        <v>8708</v>
      </c>
      <c r="D372" s="15">
        <v>1361</v>
      </c>
      <c r="E372" s="15">
        <v>7181</v>
      </c>
      <c r="F372">
        <v>39</v>
      </c>
      <c r="G372">
        <v>9</v>
      </c>
      <c r="H372" s="15">
        <v>144363</v>
      </c>
      <c r="I372" s="15">
        <v>158</v>
      </c>
      <c r="J372" s="15">
        <v>78820</v>
      </c>
      <c r="K372" s="15">
        <v>132</v>
      </c>
      <c r="L372">
        <v>88</v>
      </c>
      <c r="M372">
        <v>2</v>
      </c>
      <c r="N372">
        <v>1</v>
      </c>
      <c r="O372" s="15">
        <v>1168</v>
      </c>
      <c r="P372" s="15">
        <v>238</v>
      </c>
      <c r="Q372" s="15">
        <v>1406</v>
      </c>
      <c r="R372">
        <v>1.0691280439905735</v>
      </c>
      <c r="S372" s="15">
        <v>43</v>
      </c>
      <c r="T372" t="s">
        <v>411</v>
      </c>
      <c r="U372" s="15" t="str">
        <f>TEXT(EvolucionIncidencia[[#This Row],[Fecha]],"DDDD")</f>
        <v>miércoles</v>
      </c>
      <c r="V3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0.62318840579710144</v>
      </c>
      <c r="W3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65.443396647518838</v>
      </c>
      <c r="X372" s="2">
        <f>IF(EvolucionIncidencia[[#This Row],[Fecha]]&lt;=MIN(EvolucionIncidencia[Fecha])+14,"",EvolucionIncidencia[[#This Row],[NuevasAltas]]-EvolucionIncidencia[[#This Row],[Previsión Altas]])</f>
        <v>-22.443396647518838</v>
      </c>
      <c r="Y3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728</v>
      </c>
      <c r="Z3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1248</v>
      </c>
      <c r="AA372" s="2">
        <f>IF(LEN(EvolucionIncidencia[[#This Row],[Nuevos 7 dias]])=0,"",EvolucionIncidencia[[#This Row],[Nuevos 7 dias]]/_xlfn.MAXIFS(EvolucionIncidencia[Nuevos 7 dias],EvolucionIncidencia[Area_Sanitaria],EvolucionIncidencia[[#This Row],[Area_Sanitaria]]))</f>
        <v>0.65822784810126578</v>
      </c>
      <c r="AB372" s="2">
        <f>IF(LEN(EvolucionIncidencia[[#This Row],[Nuevos 14 dias]])=0,"",EvolucionIncidencia[[#This Row],[Nuevos 14 dias]]/_xlfn.MAXIFS(EvolucionIncidencia[Nuevos 14 dias],EvolucionIncidencia[Area_Sanitaria],EvolucionIncidencia[[#This Row],[Area_Sanitaria]]))</f>
        <v>0.63030303030303025</v>
      </c>
    </row>
    <row r="373" spans="1:28" hidden="1" x14ac:dyDescent="0.3">
      <c r="A373" s="1">
        <v>44216</v>
      </c>
      <c r="B373" s="2" t="s">
        <v>9</v>
      </c>
      <c r="C373" s="15">
        <v>11189</v>
      </c>
      <c r="D373" s="15">
        <v>2251</v>
      </c>
      <c r="E373" s="15">
        <v>8613</v>
      </c>
      <c r="F373">
        <v>114</v>
      </c>
      <c r="G373">
        <v>10</v>
      </c>
      <c r="H373" s="15">
        <v>160146</v>
      </c>
      <c r="I373" s="15">
        <v>325</v>
      </c>
      <c r="J373" s="15">
        <v>73641</v>
      </c>
      <c r="K373" s="15">
        <v>242</v>
      </c>
      <c r="L373">
        <v>144</v>
      </c>
      <c r="M373">
        <v>11</v>
      </c>
      <c r="N373">
        <v>0</v>
      </c>
      <c r="O373" s="15">
        <v>1639</v>
      </c>
      <c r="P373" s="15">
        <v>421</v>
      </c>
      <c r="Q373" s="15">
        <v>2060</v>
      </c>
      <c r="R373">
        <v>1.068343616516374</v>
      </c>
      <c r="S373" s="15">
        <v>94</v>
      </c>
      <c r="T373" t="s">
        <v>411</v>
      </c>
      <c r="U373" s="15" t="str">
        <f>TEXT(EvolucionIncidencia[[#This Row],[Fecha]],"DDDD")</f>
        <v>miércoles</v>
      </c>
      <c r="V3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1.175</v>
      </c>
      <c r="W3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78.974793787638561</v>
      </c>
      <c r="X373" s="2">
        <f>IF(EvolucionIncidencia[[#This Row],[Fecha]]&lt;=MIN(EvolucionIncidencia[Fecha])+14,"",EvolucionIncidencia[[#This Row],[NuevasAltas]]-EvolucionIncidencia[[#This Row],[Previsión Altas]])</f>
        <v>15.025206212361439</v>
      </c>
      <c r="Y3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1333</v>
      </c>
      <c r="Z3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2182</v>
      </c>
      <c r="AA373" s="2">
        <f>IF(LEN(EvolucionIncidencia[[#This Row],[Nuevos 7 dias]])=0,"",EvolucionIncidencia[[#This Row],[Nuevos 7 dias]]/_xlfn.MAXIFS(EvolucionIncidencia[Nuevos 7 dias],EvolucionIncidencia[Area_Sanitaria],EvolucionIncidencia[[#This Row],[Area_Sanitaria]]))</f>
        <v>0.84958572339069471</v>
      </c>
      <c r="AB373" s="2">
        <f>IF(LEN(EvolucionIncidencia[[#This Row],[Nuevos 14 dias]])=0,"",EvolucionIncidencia[[#This Row],[Nuevos 14 dias]]/_xlfn.MAXIFS(EvolucionIncidencia[Nuevos 14 dias],EvolucionIncidencia[Area_Sanitaria],EvolucionIncidencia[[#This Row],[Area_Sanitaria]]))</f>
        <v>0.77075238431649595</v>
      </c>
    </row>
    <row r="374" spans="1:28" x14ac:dyDescent="0.3">
      <c r="A374" s="1">
        <v>44216</v>
      </c>
      <c r="B374" s="2" t="s">
        <v>6</v>
      </c>
      <c r="C374" s="15">
        <v>8528</v>
      </c>
      <c r="D374" s="15">
        <v>1374</v>
      </c>
      <c r="E374" s="15">
        <v>7064</v>
      </c>
      <c r="F374">
        <v>74</v>
      </c>
      <c r="G374">
        <v>14</v>
      </c>
      <c r="H374" s="15">
        <v>128359</v>
      </c>
      <c r="I374" s="15">
        <v>94</v>
      </c>
      <c r="J374" s="15">
        <v>49049</v>
      </c>
      <c r="K374" s="15">
        <v>214</v>
      </c>
      <c r="L374">
        <v>179</v>
      </c>
      <c r="M374">
        <v>12</v>
      </c>
      <c r="N374">
        <v>0</v>
      </c>
      <c r="O374" s="15">
        <v>1192</v>
      </c>
      <c r="P374" s="15">
        <v>334</v>
      </c>
      <c r="Q374" s="15">
        <v>1526</v>
      </c>
      <c r="R374">
        <v>1.1497907949790795</v>
      </c>
      <c r="S374" s="15">
        <v>33</v>
      </c>
      <c r="T374" t="s">
        <v>411</v>
      </c>
      <c r="U374" s="15" t="str">
        <f>TEXT(EvolucionIncidencia[[#This Row],[Fecha]],"DDDD")</f>
        <v>miércoles</v>
      </c>
      <c r="V3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v>
      </c>
      <c r="W3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56.786676215974673</v>
      </c>
      <c r="X374" s="2">
        <f>IF(EvolucionIncidencia[[#This Row],[Fecha]]&lt;=MIN(EvolucionIncidencia[Fecha])+14,"",EvolucionIncidencia[[#This Row],[NuevasAltas]]-EvolucionIncidencia[[#This Row],[Previsión Altas]])</f>
        <v>-23.786676215974673</v>
      </c>
      <c r="Y3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801</v>
      </c>
      <c r="Z3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1278</v>
      </c>
      <c r="AA374" s="2">
        <f>IF(LEN(EvolucionIncidencia[[#This Row],[Nuevos 7 dias]])=0,"",EvolucionIncidencia[[#This Row],[Nuevos 7 dias]]/_xlfn.MAXIFS(EvolucionIncidencia[Nuevos 7 dias],EvolucionIncidencia[Area_Sanitaria],EvolucionIncidencia[[#This Row],[Area_Sanitaria]]))</f>
        <v>0.60912547528517114</v>
      </c>
      <c r="AB374" s="2">
        <f>IF(LEN(EvolucionIncidencia[[#This Row],[Nuevos 14 dias]])=0,"",EvolucionIncidencia[[#This Row],[Nuevos 14 dias]]/_xlfn.MAXIFS(EvolucionIncidencia[Nuevos 14 dias],EvolucionIncidencia[Area_Sanitaria],EvolucionIncidencia[[#This Row],[Area_Sanitaria]]))</f>
        <v>0.52570958453311389</v>
      </c>
    </row>
    <row r="375" spans="1:28" hidden="1" x14ac:dyDescent="0.3">
      <c r="A375" s="1">
        <v>44216</v>
      </c>
      <c r="B375" s="2" t="s">
        <v>7</v>
      </c>
      <c r="C375" s="15">
        <v>13470</v>
      </c>
      <c r="D375" s="15">
        <v>2694</v>
      </c>
      <c r="E375" s="15">
        <v>10547</v>
      </c>
      <c r="F375">
        <v>108</v>
      </c>
      <c r="G375">
        <v>28</v>
      </c>
      <c r="H375" s="15">
        <v>224172</v>
      </c>
      <c r="I375" s="15">
        <v>237</v>
      </c>
      <c r="J375" s="15">
        <v>98367</v>
      </c>
      <c r="K375" s="15">
        <v>233</v>
      </c>
      <c r="L375">
        <v>101</v>
      </c>
      <c r="M375">
        <v>2</v>
      </c>
      <c r="N375">
        <v>2</v>
      </c>
      <c r="O375" s="15">
        <v>1994</v>
      </c>
      <c r="P375" s="15">
        <v>515</v>
      </c>
      <c r="Q375" s="15">
        <v>2509</v>
      </c>
      <c r="R375">
        <v>1.03895102198226</v>
      </c>
      <c r="S375" s="15">
        <v>129</v>
      </c>
      <c r="T375" t="s">
        <v>411</v>
      </c>
      <c r="U375" s="15" t="str">
        <f>TEXT(EvolucionIncidencia[[#This Row],[Fecha]],"DDDD")</f>
        <v>miércoles</v>
      </c>
      <c r="V3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1.2169811320754718</v>
      </c>
      <c r="W3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103.59199641402122</v>
      </c>
      <c r="X375" s="2">
        <f>IF(EvolucionIncidencia[[#This Row],[Fecha]]&lt;=MIN(EvolucionIncidencia[Fecha])+14,"",EvolucionIncidencia[[#This Row],[NuevasAltas]]-EvolucionIncidencia[[#This Row],[Previsión Altas]])</f>
        <v>25.408003585978776</v>
      </c>
      <c r="Y3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1367</v>
      </c>
      <c r="Z3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2572</v>
      </c>
      <c r="AA375" s="2">
        <f>IF(LEN(EvolucionIncidencia[[#This Row],[Nuevos 7 dias]])=0,"",EvolucionIncidencia[[#This Row],[Nuevos 7 dias]]/_xlfn.MAXIFS(EvolucionIncidencia[Nuevos 7 dias],EvolucionIncidencia[Area_Sanitaria],EvolucionIncidencia[[#This Row],[Area_Sanitaria]]))</f>
        <v>0.80506478209658416</v>
      </c>
      <c r="AB375" s="2">
        <f>IF(LEN(EvolucionIncidencia[[#This Row],[Nuevos 14 dias]])=0,"",EvolucionIncidencia[[#This Row],[Nuevos 14 dias]]/_xlfn.MAXIFS(EvolucionIncidencia[Nuevos 14 dias],EvolucionIncidencia[Area_Sanitaria],EvolucionIncidencia[[#This Row],[Area_Sanitaria]]))</f>
        <v>0.80829666876178508</v>
      </c>
    </row>
    <row r="376" spans="1:28" hidden="1" x14ac:dyDescent="0.3">
      <c r="A376" s="1">
        <v>44216</v>
      </c>
      <c r="B376" s="2" t="s">
        <v>2</v>
      </c>
      <c r="C376" s="15">
        <v>15908</v>
      </c>
      <c r="D376" s="15">
        <v>2942</v>
      </c>
      <c r="E376" s="15">
        <v>12670</v>
      </c>
      <c r="F376">
        <v>117</v>
      </c>
      <c r="G376">
        <v>22</v>
      </c>
      <c r="H376" s="15">
        <v>276342</v>
      </c>
      <c r="I376" s="15">
        <v>296</v>
      </c>
      <c r="J376" s="15">
        <v>61803</v>
      </c>
      <c r="K376" s="15">
        <v>323</v>
      </c>
      <c r="L376">
        <v>166</v>
      </c>
      <c r="M376">
        <v>5</v>
      </c>
      <c r="N376">
        <v>0</v>
      </c>
      <c r="O376" s="15">
        <v>3301</v>
      </c>
      <c r="P376" s="15">
        <v>364</v>
      </c>
      <c r="Q376" s="15">
        <v>3665</v>
      </c>
      <c r="R376">
        <v>1.0597982708933718</v>
      </c>
      <c r="S376" s="15">
        <v>152</v>
      </c>
      <c r="T376" t="s">
        <v>411</v>
      </c>
      <c r="U376" s="15" t="str">
        <f>TEXT(EvolucionIncidencia[[#This Row],[Fecha]],"DDDD")</f>
        <v>miércoles</v>
      </c>
      <c r="V3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0.82608695652173914</v>
      </c>
      <c r="W3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190.56028476153233</v>
      </c>
      <c r="X376" s="2">
        <f>IF(EvolucionIncidencia[[#This Row],[Fecha]]&lt;=MIN(EvolucionIncidencia[Fecha])+14,"",EvolucionIncidencia[[#This Row],[NuevasAltas]]-EvolucionIncidencia[[#This Row],[Previsión Altas]])</f>
        <v>-38.56028476153233</v>
      </c>
      <c r="Y3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1628</v>
      </c>
      <c r="Z3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2795</v>
      </c>
      <c r="AA376" s="2">
        <f>IF(LEN(EvolucionIncidencia[[#This Row],[Nuevos 7 dias]])=0,"",EvolucionIncidencia[[#This Row],[Nuevos 7 dias]]/_xlfn.MAXIFS(EvolucionIncidencia[Nuevos 7 dias],EvolucionIncidencia[Area_Sanitaria],EvolucionIncidencia[[#This Row],[Area_Sanitaria]]))</f>
        <v>0.83960804538421863</v>
      </c>
      <c r="AB376" s="2">
        <f>IF(LEN(EvolucionIncidencia[[#This Row],[Nuevos 14 dias]])=0,"",EvolucionIncidencia[[#This Row],[Nuevos 14 dias]]/_xlfn.MAXIFS(EvolucionIncidencia[Nuevos 14 dias],EvolucionIncidencia[Area_Sanitaria],EvolucionIncidencia[[#This Row],[Area_Sanitaria]]))</f>
        <v>0.76933663638865946</v>
      </c>
    </row>
    <row r="377" spans="1:28" hidden="1" x14ac:dyDescent="0.3">
      <c r="A377" s="1">
        <v>44216</v>
      </c>
      <c r="B377" s="2" t="s">
        <v>3</v>
      </c>
      <c r="C377" s="15">
        <v>81561</v>
      </c>
      <c r="D377" s="15">
        <v>16030</v>
      </c>
      <c r="E377" s="15">
        <v>63973</v>
      </c>
      <c r="F377">
        <v>744</v>
      </c>
      <c r="G377">
        <v>135</v>
      </c>
      <c r="H377" s="15">
        <v>1284868</v>
      </c>
      <c r="I377" s="15">
        <v>1566</v>
      </c>
      <c r="J377" s="15">
        <v>477094</v>
      </c>
      <c r="K377" s="15">
        <v>1727</v>
      </c>
      <c r="L377">
        <v>1055</v>
      </c>
      <c r="M377">
        <v>48</v>
      </c>
      <c r="N377">
        <v>3</v>
      </c>
      <c r="O377" s="15">
        <v>12679</v>
      </c>
      <c r="P377" s="15">
        <v>3518</v>
      </c>
      <c r="Q377" s="15">
        <v>16197</v>
      </c>
      <c r="R377">
        <v>1.0704507512520869</v>
      </c>
      <c r="S377" s="15">
        <v>656</v>
      </c>
      <c r="T377" t="s">
        <v>411</v>
      </c>
      <c r="U377" s="15" t="str">
        <f>TEXT(EvolucionIncidencia[[#This Row],[Fecha]],"DDDD")</f>
        <v>miércoles</v>
      </c>
      <c r="V3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0.96755162241887904</v>
      </c>
      <c r="W3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654.96435771302765</v>
      </c>
      <c r="X377" s="2">
        <f>IF(EvolucionIncidencia[[#This Row],[Fecha]]&lt;=MIN(EvolucionIncidencia[Fecha])+14,"",EvolucionIncidencia[[#This Row],[NuevasAltas]]-EvolucionIncidencia[[#This Row],[Previsión Altas]])</f>
        <v>1.0356422869723474</v>
      </c>
      <c r="Y3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9063</v>
      </c>
      <c r="Z3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15133</v>
      </c>
      <c r="AA377" s="2">
        <f>IF(LEN(EvolucionIncidencia[[#This Row],[Nuevos 7 dias]])=0,"",EvolucionIncidencia[[#This Row],[Nuevos 7 dias]]/_xlfn.MAXIFS(EvolucionIncidencia[Nuevos 7 dias],EvolucionIncidencia[Area_Sanitaria],EvolucionIncidencia[[#This Row],[Area_Sanitaria]]))</f>
        <v>0.7989245416078985</v>
      </c>
      <c r="AB377" s="2">
        <f>IF(LEN(EvolucionIncidencia[[#This Row],[Nuevos 14 dias]])=0,"",EvolucionIncidencia[[#This Row],[Nuevos 14 dias]]/_xlfn.MAXIFS(EvolucionIncidencia[Nuevos 14 dias],EvolucionIncidencia[Area_Sanitaria],EvolucionIncidencia[[#This Row],[Area_Sanitaria]]))</f>
        <v>0.7255249784255442</v>
      </c>
    </row>
    <row r="378" spans="1:28" hidden="1" x14ac:dyDescent="0.3">
      <c r="A378" s="1">
        <v>44217</v>
      </c>
      <c r="B378" s="2" t="s">
        <v>4</v>
      </c>
      <c r="C378" s="15">
        <v>18781</v>
      </c>
      <c r="D378" s="15">
        <v>4414</v>
      </c>
      <c r="E378" s="15">
        <v>14019</v>
      </c>
      <c r="F378">
        <v>210</v>
      </c>
      <c r="G378">
        <v>38</v>
      </c>
      <c r="H378" s="15">
        <v>266269</v>
      </c>
      <c r="I378" s="15">
        <v>353</v>
      </c>
      <c r="J378" s="15">
        <v>84532</v>
      </c>
      <c r="K378" s="15">
        <v>446</v>
      </c>
      <c r="L378">
        <v>290</v>
      </c>
      <c r="M378">
        <v>22</v>
      </c>
      <c r="N378">
        <v>0</v>
      </c>
      <c r="O378" s="15">
        <v>2654</v>
      </c>
      <c r="P378" s="15">
        <v>649</v>
      </c>
      <c r="Q378" s="15">
        <v>3303</v>
      </c>
      <c r="R378">
        <v>1.0703200775945685</v>
      </c>
      <c r="S378" s="15">
        <v>152</v>
      </c>
      <c r="T378" t="s">
        <v>422</v>
      </c>
      <c r="U378" s="15" t="str">
        <f>TEXT(EvolucionIncidencia[[#This Row],[Fecha]],"DDDD")</f>
        <v>jueves</v>
      </c>
      <c r="V3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1.0066225165562914</v>
      </c>
      <c r="W3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144.40127888698166</v>
      </c>
      <c r="X378" s="2">
        <f>IF(EvolucionIncidencia[[#This Row],[Fecha]]&lt;=MIN(EvolucionIncidencia[Fecha])+14,"",EvolucionIncidencia[[#This Row],[NuevasAltas]]-EvolucionIncidencia[[#This Row],[Previsión Altas]])</f>
        <v>7.5987211130183425</v>
      </c>
      <c r="Y3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2572</v>
      </c>
      <c r="Z3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4141</v>
      </c>
      <c r="AA378" s="2">
        <f>IF(LEN(EvolucionIncidencia[[#This Row],[Nuevos 7 dias]])=0,"",EvolucionIncidencia[[#This Row],[Nuevos 7 dias]]/_xlfn.MAXIFS(EvolucionIncidencia[Nuevos 7 dias],EvolucionIncidencia[Area_Sanitaria],EvolucionIncidencia[[#This Row],[Area_Sanitaria]]))</f>
        <v>0.86337697213830145</v>
      </c>
      <c r="AB378" s="2">
        <f>IF(LEN(EvolucionIncidencia[[#This Row],[Nuevos 14 dias]])=0,"",EvolucionIncidencia[[#This Row],[Nuevos 14 dias]]/_xlfn.MAXIFS(EvolucionIncidencia[Nuevos 14 dias],EvolucionIncidencia[Area_Sanitaria],EvolucionIncidencia[[#This Row],[Area_Sanitaria]]))</f>
        <v>0.76163325363251788</v>
      </c>
    </row>
    <row r="379" spans="1:28" hidden="1" x14ac:dyDescent="0.3">
      <c r="A379" s="1">
        <v>44217</v>
      </c>
      <c r="B379" s="2" t="s">
        <v>5</v>
      </c>
      <c r="C379" s="15">
        <v>5552</v>
      </c>
      <c r="D379" s="15">
        <v>1368</v>
      </c>
      <c r="E379" s="15">
        <v>4073</v>
      </c>
      <c r="F379">
        <v>117</v>
      </c>
      <c r="G379">
        <v>16</v>
      </c>
      <c r="H379" s="15">
        <v>88679</v>
      </c>
      <c r="I379" s="15">
        <v>109</v>
      </c>
      <c r="J379" s="15">
        <v>31633</v>
      </c>
      <c r="K379" s="15">
        <v>129</v>
      </c>
      <c r="L379">
        <v>84</v>
      </c>
      <c r="M379">
        <v>13</v>
      </c>
      <c r="N379">
        <v>2</v>
      </c>
      <c r="O379" s="15">
        <v>808</v>
      </c>
      <c r="P379" s="15">
        <v>102</v>
      </c>
      <c r="Q379" s="15">
        <v>910</v>
      </c>
      <c r="R379">
        <v>1.0654205607476634</v>
      </c>
      <c r="S379" s="15">
        <v>42</v>
      </c>
      <c r="T379" t="s">
        <v>422</v>
      </c>
      <c r="U379" s="15" t="str">
        <f>TEXT(EvolucionIncidencia[[#This Row],[Fecha]],"DDDD")</f>
        <v>jueves</v>
      </c>
      <c r="V3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v>
      </c>
      <c r="W3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51.500889727639688</v>
      </c>
      <c r="X379" s="2">
        <f>IF(EvolucionIncidencia[[#This Row],[Fecha]]&lt;=MIN(EvolucionIncidencia[Fecha])+14,"",EvolucionIncidencia[[#This Row],[NuevasAltas]]-EvolucionIncidencia[[#This Row],[Previsión Altas]])</f>
        <v>-9.500889727639688</v>
      </c>
      <c r="Y3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801</v>
      </c>
      <c r="Z3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1291</v>
      </c>
      <c r="AA379" s="2">
        <f>IF(LEN(EvolucionIncidencia[[#This Row],[Nuevos 7 dias]])=0,"",EvolucionIncidencia[[#This Row],[Nuevos 7 dias]]/_xlfn.MAXIFS(EvolucionIncidencia[Nuevos 7 dias],EvolucionIncidencia[Area_Sanitaria],EvolucionIncidencia[[#This Row],[Area_Sanitaria]]))</f>
        <v>0.95928143712574854</v>
      </c>
      <c r="AB379" s="2">
        <f>IF(LEN(EvolucionIncidencia[[#This Row],[Nuevos 14 dias]])=0,"",EvolucionIncidencia[[#This Row],[Nuevos 14 dias]]/_xlfn.MAXIFS(EvolucionIncidencia[Nuevos 14 dias],EvolucionIncidencia[Area_Sanitaria],EvolucionIncidencia[[#This Row],[Area_Sanitaria]]))</f>
        <v>0.78767541183648571</v>
      </c>
    </row>
    <row r="380" spans="1:28" hidden="1" x14ac:dyDescent="0.3">
      <c r="A380" s="1">
        <v>44217</v>
      </c>
      <c r="B380" s="2" t="s">
        <v>8</v>
      </c>
      <c r="C380" s="15">
        <v>8871</v>
      </c>
      <c r="D380" s="15">
        <v>1449</v>
      </c>
      <c r="E380" s="15">
        <v>7256</v>
      </c>
      <c r="F380">
        <v>36</v>
      </c>
      <c r="G380">
        <v>10</v>
      </c>
      <c r="H380" s="15">
        <v>145979</v>
      </c>
      <c r="I380" s="15">
        <v>158</v>
      </c>
      <c r="J380" s="15">
        <v>79113</v>
      </c>
      <c r="K380" s="15">
        <v>163</v>
      </c>
      <c r="L380">
        <v>88</v>
      </c>
      <c r="M380">
        <v>-3</v>
      </c>
      <c r="N380">
        <v>1</v>
      </c>
      <c r="O380" s="15">
        <v>1616</v>
      </c>
      <c r="P380" s="15">
        <v>293</v>
      </c>
      <c r="Q380" s="15">
        <v>1909</v>
      </c>
      <c r="R380">
        <v>1.0646583394562821</v>
      </c>
      <c r="S380" s="15">
        <v>75</v>
      </c>
      <c r="T380" t="s">
        <v>422</v>
      </c>
      <c r="U380" s="15" t="str">
        <f>TEXT(EvolucionIncidencia[[#This Row],[Fecha]],"DDDD")</f>
        <v>jueves</v>
      </c>
      <c r="V3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1.7857142857142858</v>
      </c>
      <c r="W3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39.561819077371709</v>
      </c>
      <c r="X380" s="2">
        <f>IF(EvolucionIncidencia[[#This Row],[Fecha]]&lt;=MIN(EvolucionIncidencia[Fecha])+14,"",EvolucionIncidencia[[#This Row],[NuevasAltas]]-EvolucionIncidencia[[#This Row],[Previsión Altas]])</f>
        <v>35.438180922628291</v>
      </c>
      <c r="Y3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806</v>
      </c>
      <c r="Z3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1369</v>
      </c>
      <c r="AA380" s="2">
        <f>IF(LEN(EvolucionIncidencia[[#This Row],[Nuevos 7 dias]])=0,"",EvolucionIncidencia[[#This Row],[Nuevos 7 dias]]/_xlfn.MAXIFS(EvolucionIncidencia[Nuevos 7 dias],EvolucionIncidencia[Area_Sanitaria],EvolucionIncidencia[[#This Row],[Area_Sanitaria]]))</f>
        <v>0.72875226039783003</v>
      </c>
      <c r="AB380" s="2">
        <f>IF(LEN(EvolucionIncidencia[[#This Row],[Nuevos 14 dias]])=0,"",EvolucionIncidencia[[#This Row],[Nuevos 14 dias]]/_xlfn.MAXIFS(EvolucionIncidencia[Nuevos 14 dias],EvolucionIncidencia[Area_Sanitaria],EvolucionIncidencia[[#This Row],[Area_Sanitaria]]))</f>
        <v>0.69141414141414137</v>
      </c>
    </row>
    <row r="381" spans="1:28" hidden="1" x14ac:dyDescent="0.3">
      <c r="A381" s="1">
        <v>44217</v>
      </c>
      <c r="B381" s="2" t="s">
        <v>9</v>
      </c>
      <c r="C381" s="15">
        <v>11442</v>
      </c>
      <c r="D381" s="15">
        <v>2413</v>
      </c>
      <c r="E381" s="15">
        <v>8702</v>
      </c>
      <c r="F381">
        <v>119</v>
      </c>
      <c r="G381">
        <v>10</v>
      </c>
      <c r="H381" s="15">
        <v>161116</v>
      </c>
      <c r="I381" s="15">
        <v>327</v>
      </c>
      <c r="J381" s="15">
        <v>74248</v>
      </c>
      <c r="K381" s="15">
        <v>253</v>
      </c>
      <c r="L381">
        <v>162</v>
      </c>
      <c r="M381">
        <v>5</v>
      </c>
      <c r="N381">
        <v>0</v>
      </c>
      <c r="O381" s="15">
        <v>970</v>
      </c>
      <c r="P381" s="15">
        <v>607</v>
      </c>
      <c r="Q381" s="15">
        <v>1577</v>
      </c>
      <c r="R381">
        <v>1.071968014215904</v>
      </c>
      <c r="S381" s="15">
        <v>89</v>
      </c>
      <c r="T381" t="s">
        <v>422</v>
      </c>
      <c r="U381" s="15" t="str">
        <f>TEXT(EvolucionIncidencia[[#This Row],[Fecha]],"DDDD")</f>
        <v>jueves</v>
      </c>
      <c r="V3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0.87254901960784315</v>
      </c>
      <c r="W3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101.15833826971536</v>
      </c>
      <c r="X381" s="2">
        <f>IF(EvolucionIncidencia[[#This Row],[Fecha]]&lt;=MIN(EvolucionIncidencia[Fecha])+14,"",EvolucionIncidencia[[#This Row],[NuevasAltas]]-EvolucionIncidencia[[#This Row],[Previsión Altas]])</f>
        <v>-12.158338269715358</v>
      </c>
      <c r="Y3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1392</v>
      </c>
      <c r="Z3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2333</v>
      </c>
      <c r="AA381" s="2">
        <f>IF(LEN(EvolucionIncidencia[[#This Row],[Nuevos 7 dias]])=0,"",EvolucionIncidencia[[#This Row],[Nuevos 7 dias]]/_xlfn.MAXIFS(EvolucionIncidencia[Nuevos 7 dias],EvolucionIncidencia[Area_Sanitaria],EvolucionIncidencia[[#This Row],[Area_Sanitaria]]))</f>
        <v>0.88718929254302104</v>
      </c>
      <c r="AB381" s="2">
        <f>IF(LEN(EvolucionIncidencia[[#This Row],[Nuevos 14 dias]])=0,"",EvolucionIncidencia[[#This Row],[Nuevos 14 dias]]/_xlfn.MAXIFS(EvolucionIncidencia[Nuevos 14 dias],EvolucionIncidencia[Area_Sanitaria],EvolucionIncidencia[[#This Row],[Area_Sanitaria]]))</f>
        <v>0.82409042741080896</v>
      </c>
    </row>
    <row r="382" spans="1:28" x14ac:dyDescent="0.3">
      <c r="A382" s="1">
        <v>44217</v>
      </c>
      <c r="B382" s="2" t="s">
        <v>6</v>
      </c>
      <c r="C382" s="15">
        <v>8690</v>
      </c>
      <c r="D382" s="15">
        <v>1485</v>
      </c>
      <c r="E382" s="15">
        <v>7112</v>
      </c>
      <c r="F382">
        <v>83</v>
      </c>
      <c r="G382">
        <v>14</v>
      </c>
      <c r="H382" s="15">
        <v>129727</v>
      </c>
      <c r="I382" s="15">
        <v>96</v>
      </c>
      <c r="J382" s="15">
        <v>49434</v>
      </c>
      <c r="K382" s="15">
        <v>162</v>
      </c>
      <c r="L382">
        <v>111</v>
      </c>
      <c r="M382">
        <v>9</v>
      </c>
      <c r="N382">
        <v>0</v>
      </c>
      <c r="O382" s="15">
        <v>1368</v>
      </c>
      <c r="P382" s="15">
        <v>385</v>
      </c>
      <c r="Q382" s="15">
        <v>1753</v>
      </c>
      <c r="R382">
        <v>1.0807860262008733</v>
      </c>
      <c r="S382" s="15">
        <v>48</v>
      </c>
      <c r="T382" t="s">
        <v>422</v>
      </c>
      <c r="U382" s="15" t="str">
        <f>TEXT(EvolucionIncidencia[[#This Row],[Fecha]],"DDDD")</f>
        <v>jueves</v>
      </c>
      <c r="V3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0.87272727272727268</v>
      </c>
      <c r="W3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61.26058193281024</v>
      </c>
      <c r="X382" s="2">
        <f>IF(EvolucionIncidencia[[#This Row],[Fecha]]&lt;=MIN(EvolucionIncidencia[Fecha])+14,"",EvolucionIncidencia[[#This Row],[NuevasAltas]]-EvolucionIncidencia[[#This Row],[Previsión Altas]])</f>
        <v>-13.26058193281024</v>
      </c>
      <c r="Y3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882</v>
      </c>
      <c r="Z3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1385</v>
      </c>
      <c r="AA382" s="2">
        <f>IF(LEN(EvolucionIncidencia[[#This Row],[Nuevos 7 dias]])=0,"",EvolucionIncidencia[[#This Row],[Nuevos 7 dias]]/_xlfn.MAXIFS(EvolucionIncidencia[Nuevos 7 dias],EvolucionIncidencia[Area_Sanitaria],EvolucionIncidencia[[#This Row],[Area_Sanitaria]]))</f>
        <v>0.6707224334600761</v>
      </c>
      <c r="AB382" s="2">
        <f>IF(LEN(EvolucionIncidencia[[#This Row],[Nuevos 14 dias]])=0,"",EvolucionIncidencia[[#This Row],[Nuevos 14 dias]]/_xlfn.MAXIFS(EvolucionIncidencia[Nuevos 14 dias],EvolucionIncidencia[Area_Sanitaria],EvolucionIncidencia[[#This Row],[Area_Sanitaria]]))</f>
        <v>0.56972439325380497</v>
      </c>
    </row>
    <row r="383" spans="1:28" hidden="1" x14ac:dyDescent="0.3">
      <c r="A383" s="1">
        <v>44217</v>
      </c>
      <c r="B383" s="2" t="s">
        <v>7</v>
      </c>
      <c r="C383" s="15">
        <v>13765</v>
      </c>
      <c r="D383" s="15">
        <v>2843</v>
      </c>
      <c r="E383" s="15">
        <v>10691</v>
      </c>
      <c r="F383">
        <v>114</v>
      </c>
      <c r="G383">
        <v>28</v>
      </c>
      <c r="H383" s="15">
        <v>226321</v>
      </c>
      <c r="I383" s="15">
        <v>240</v>
      </c>
      <c r="J383" s="15">
        <v>98916</v>
      </c>
      <c r="K383" s="15">
        <v>295</v>
      </c>
      <c r="L383">
        <v>149</v>
      </c>
      <c r="M383">
        <v>6</v>
      </c>
      <c r="N383">
        <v>0</v>
      </c>
      <c r="O383" s="15">
        <v>2149</v>
      </c>
      <c r="P383" s="15">
        <v>549</v>
      </c>
      <c r="Q383" s="15">
        <v>2698</v>
      </c>
      <c r="R383">
        <v>1.0553080920564217</v>
      </c>
      <c r="S383" s="15">
        <v>144</v>
      </c>
      <c r="T383" t="s">
        <v>422</v>
      </c>
      <c r="U383" s="15" t="str">
        <f>TEXT(EvolucionIncidencia[[#This Row],[Fecha]],"DDDD")</f>
        <v>jueves</v>
      </c>
      <c r="V3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0.8044692737430168</v>
      </c>
      <c r="W3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179.95102085132194</v>
      </c>
      <c r="X383" s="2">
        <f>IF(EvolucionIncidencia[[#This Row],[Fecha]]&lt;=MIN(EvolucionIncidencia[Fecha])+14,"",EvolucionIncidencia[[#This Row],[NuevasAltas]]-EvolucionIncidencia[[#This Row],[Previsión Altas]])</f>
        <v>-35.951020851321942</v>
      </c>
      <c r="Y3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1452</v>
      </c>
      <c r="Z3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2688</v>
      </c>
      <c r="AA383" s="2">
        <f>IF(LEN(EvolucionIncidencia[[#This Row],[Nuevos 7 dias]])=0,"",EvolucionIncidencia[[#This Row],[Nuevos 7 dias]]/_xlfn.MAXIFS(EvolucionIncidencia[Nuevos 7 dias],EvolucionIncidencia[Area_Sanitaria],EvolucionIncidencia[[#This Row],[Area_Sanitaria]]))</f>
        <v>0.85512367491166075</v>
      </c>
      <c r="AB383" s="2">
        <f>IF(LEN(EvolucionIncidencia[[#This Row],[Nuevos 14 dias]])=0,"",EvolucionIncidencia[[#This Row],[Nuevos 14 dias]]/_xlfn.MAXIFS(EvolucionIncidencia[Nuevos 14 dias],EvolucionIncidencia[Area_Sanitaria],EvolucionIncidencia[[#This Row],[Area_Sanitaria]]))</f>
        <v>0.84475172847265867</v>
      </c>
    </row>
    <row r="384" spans="1:28" hidden="1" x14ac:dyDescent="0.3">
      <c r="A384" s="1">
        <v>44217</v>
      </c>
      <c r="B384" s="2" t="s">
        <v>2</v>
      </c>
      <c r="C384" s="15">
        <v>16262</v>
      </c>
      <c r="D384" s="15">
        <v>3153</v>
      </c>
      <c r="E384" s="15">
        <v>12809</v>
      </c>
      <c r="F384">
        <v>116</v>
      </c>
      <c r="G384">
        <v>21</v>
      </c>
      <c r="H384" s="15">
        <v>278956</v>
      </c>
      <c r="I384" s="15">
        <v>301</v>
      </c>
      <c r="J384" s="15">
        <v>62382</v>
      </c>
      <c r="K384" s="15">
        <v>354</v>
      </c>
      <c r="L384">
        <v>211</v>
      </c>
      <c r="M384">
        <v>-1</v>
      </c>
      <c r="N384">
        <v>-1</v>
      </c>
      <c r="O384" s="15">
        <v>2614</v>
      </c>
      <c r="P384" s="15">
        <v>579</v>
      </c>
      <c r="Q384" s="15">
        <v>3193</v>
      </c>
      <c r="R384">
        <v>1.0717199184228416</v>
      </c>
      <c r="S384" s="15">
        <v>139</v>
      </c>
      <c r="T384" t="s">
        <v>422</v>
      </c>
      <c r="U384" s="15" t="str">
        <f>TEXT(EvolucionIncidencia[[#This Row],[Fecha]],"DDDD")</f>
        <v>jueves</v>
      </c>
      <c r="V3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1.7820512820512822</v>
      </c>
      <c r="W3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82.050141418061571</v>
      </c>
      <c r="X384" s="2">
        <f>IF(EvolucionIncidencia[[#This Row],[Fecha]]&lt;=MIN(EvolucionIncidencia[Fecha])+14,"",EvolucionIncidencia[[#This Row],[NuevasAltas]]-EvolucionIncidencia[[#This Row],[Previsión Altas]])</f>
        <v>56.949858581938429</v>
      </c>
      <c r="Y3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1791</v>
      </c>
      <c r="Z3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3071</v>
      </c>
      <c r="AA384" s="2">
        <f>IF(LEN(EvolucionIncidencia[[#This Row],[Nuevos 7 dias]])=0,"",EvolucionIncidencia[[#This Row],[Nuevos 7 dias]]/_xlfn.MAXIFS(EvolucionIncidencia[Nuevos 7 dias],EvolucionIncidencia[Area_Sanitaria],EvolucionIncidencia[[#This Row],[Area_Sanitaria]]))</f>
        <v>0.92367199587416193</v>
      </c>
      <c r="AB384" s="2">
        <f>IF(LEN(EvolucionIncidencia[[#This Row],[Nuevos 14 dias]])=0,"",EvolucionIncidencia[[#This Row],[Nuevos 14 dias]]/_xlfn.MAXIFS(EvolucionIncidencia[Nuevos 14 dias],EvolucionIncidencia[Area_Sanitaria],EvolucionIncidencia[[#This Row],[Area_Sanitaria]]))</f>
        <v>0.84530690889072391</v>
      </c>
    </row>
    <row r="385" spans="1:28" hidden="1" x14ac:dyDescent="0.3">
      <c r="A385" s="1">
        <v>44217</v>
      </c>
      <c r="B385" s="2" t="s">
        <v>3</v>
      </c>
      <c r="C385" s="15">
        <v>83363</v>
      </c>
      <c r="D385" s="15">
        <v>17125</v>
      </c>
      <c r="E385" s="15">
        <v>64662</v>
      </c>
      <c r="F385">
        <v>795</v>
      </c>
      <c r="G385">
        <v>137</v>
      </c>
      <c r="H385" s="15">
        <v>1297047</v>
      </c>
      <c r="I385" s="15">
        <v>1584</v>
      </c>
      <c r="J385" s="15">
        <v>480258</v>
      </c>
      <c r="K385" s="15">
        <v>1802</v>
      </c>
      <c r="L385">
        <v>1095</v>
      </c>
      <c r="M385">
        <v>51</v>
      </c>
      <c r="N385">
        <v>2</v>
      </c>
      <c r="O385" s="15">
        <v>12179</v>
      </c>
      <c r="P385" s="15">
        <v>3164</v>
      </c>
      <c r="Q385" s="15">
        <v>15343</v>
      </c>
      <c r="R385">
        <v>1.068309419837804</v>
      </c>
      <c r="S385" s="15">
        <v>689</v>
      </c>
      <c r="T385" t="s">
        <v>422</v>
      </c>
      <c r="U385" s="15" t="str">
        <f>TEXT(EvolucionIncidencia[[#This Row],[Fecha]],"DDDD")</f>
        <v>jueves</v>
      </c>
      <c r="V3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1.0487062404870624</v>
      </c>
      <c r="W3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640.75107224668056</v>
      </c>
      <c r="X385" s="2">
        <f>IF(EvolucionIncidencia[[#This Row],[Fecha]]&lt;=MIN(EvolucionIncidencia[Fecha])+14,"",EvolucionIncidencia[[#This Row],[NuevasAltas]]-EvolucionIncidencia[[#This Row],[Previsión Altas]])</f>
        <v>48.248927753319435</v>
      </c>
      <c r="Y3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9696</v>
      </c>
      <c r="Z3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16278</v>
      </c>
      <c r="AA385" s="2">
        <f>IF(LEN(EvolucionIncidencia[[#This Row],[Nuevos 7 dias]])=0,"",EvolucionIncidencia[[#This Row],[Nuevos 7 dias]]/_xlfn.MAXIFS(EvolucionIncidencia[Nuevos 7 dias],EvolucionIncidencia[Area_Sanitaria],EvolucionIncidencia[[#This Row],[Area_Sanitaria]]))</f>
        <v>0.85472496473906912</v>
      </c>
      <c r="AB385" s="2">
        <f>IF(LEN(EvolucionIncidencia[[#This Row],[Nuevos 14 dias]])=0,"",EvolucionIncidencia[[#This Row],[Nuevos 14 dias]]/_xlfn.MAXIFS(EvolucionIncidencia[Nuevos 14 dias],EvolucionIncidencia[Area_Sanitaria],EvolucionIncidencia[[#This Row],[Area_Sanitaria]]))</f>
        <v>0.78041998274043534</v>
      </c>
    </row>
    <row r="386" spans="1:28" hidden="1" x14ac:dyDescent="0.3">
      <c r="A386" s="1">
        <v>44218</v>
      </c>
      <c r="B386" s="2" t="s">
        <v>4</v>
      </c>
      <c r="C386" s="15">
        <v>19330</v>
      </c>
      <c r="D386" s="15">
        <v>4826</v>
      </c>
      <c r="E386" s="15">
        <v>14151</v>
      </c>
      <c r="F386">
        <v>226</v>
      </c>
      <c r="G386">
        <v>38</v>
      </c>
      <c r="H386" s="15">
        <v>269435</v>
      </c>
      <c r="I386" s="15">
        <v>358</v>
      </c>
      <c r="J386" s="15">
        <v>85491</v>
      </c>
      <c r="K386" s="15">
        <v>549</v>
      </c>
      <c r="L386">
        <v>412</v>
      </c>
      <c r="M386">
        <v>16</v>
      </c>
      <c r="N386">
        <v>0</v>
      </c>
      <c r="O386" s="15">
        <v>3166</v>
      </c>
      <c r="P386" s="15">
        <v>959</v>
      </c>
      <c r="Q386" s="15">
        <v>4125</v>
      </c>
      <c r="R386">
        <v>1.0933393747168101</v>
      </c>
      <c r="S386" s="15">
        <v>132</v>
      </c>
      <c r="T386" t="s">
        <v>441</v>
      </c>
      <c r="U386" s="15" t="str">
        <f>TEXT(EvolucionIncidencia[[#This Row],[Fecha]],"DDDD")</f>
        <v>viernes</v>
      </c>
      <c r="V3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0.66331658291457285</v>
      </c>
      <c r="W3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191.03426707240831</v>
      </c>
      <c r="X386" s="2">
        <f>IF(EvolucionIncidencia[[#This Row],[Fecha]]&lt;=MIN(EvolucionIncidencia[Fecha])+14,"",EvolucionIncidencia[[#This Row],[NuevasAltas]]-EvolucionIncidencia[[#This Row],[Previsión Altas]])</f>
        <v>-59.034267072408312</v>
      </c>
      <c r="Y3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2791</v>
      </c>
      <c r="Z3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4491</v>
      </c>
      <c r="AA386" s="2">
        <f>IF(LEN(EvolucionIncidencia[[#This Row],[Nuevos 7 dias]])=0,"",EvolucionIncidencia[[#This Row],[Nuevos 7 dias]]/_xlfn.MAXIFS(EvolucionIncidencia[Nuevos 7 dias],EvolucionIncidencia[Area_Sanitaria],EvolucionIncidencia[[#This Row],[Area_Sanitaria]]))</f>
        <v>0.93689157435380999</v>
      </c>
      <c r="AB386" s="2">
        <f>IF(LEN(EvolucionIncidencia[[#This Row],[Nuevos 14 dias]])=0,"",EvolucionIncidencia[[#This Row],[Nuevos 14 dias]]/_xlfn.MAXIFS(EvolucionIncidencia[Nuevos 14 dias],EvolucionIncidencia[Area_Sanitaria],EvolucionIncidencia[[#This Row],[Area_Sanitaria]]))</f>
        <v>0.82600698914842741</v>
      </c>
    </row>
    <row r="387" spans="1:28" hidden="1" x14ac:dyDescent="0.3">
      <c r="A387" s="1">
        <v>44218</v>
      </c>
      <c r="B387" s="2" t="s">
        <v>5</v>
      </c>
      <c r="C387" s="15">
        <v>5701</v>
      </c>
      <c r="D387" s="15">
        <v>1472</v>
      </c>
      <c r="E387" s="15">
        <v>4116</v>
      </c>
      <c r="F387">
        <v>113</v>
      </c>
      <c r="G387">
        <v>19</v>
      </c>
      <c r="H387" s="15">
        <v>89631</v>
      </c>
      <c r="I387" s="15">
        <v>111</v>
      </c>
      <c r="J387" s="15">
        <v>31783</v>
      </c>
      <c r="K387" s="15">
        <v>149</v>
      </c>
      <c r="L387">
        <v>104</v>
      </c>
      <c r="M387">
        <v>-4</v>
      </c>
      <c r="N387">
        <v>3</v>
      </c>
      <c r="O387" s="15">
        <v>952</v>
      </c>
      <c r="P387" s="15">
        <v>150</v>
      </c>
      <c r="Q387" s="15">
        <v>1102</v>
      </c>
      <c r="R387">
        <v>1.0760233918128654</v>
      </c>
      <c r="S387" s="15">
        <v>43</v>
      </c>
      <c r="T387" t="s">
        <v>441</v>
      </c>
      <c r="U387" s="15" t="str">
        <f>TEXT(EvolucionIncidencia[[#This Row],[Fecha]],"DDDD")</f>
        <v>viernes</v>
      </c>
      <c r="V3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1.303030303030303</v>
      </c>
      <c r="W3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34.149158648813618</v>
      </c>
      <c r="X387" s="2">
        <f>IF(EvolucionIncidencia[[#This Row],[Fecha]]&lt;=MIN(EvolucionIncidencia[Fecha])+14,"",EvolucionIncidencia[[#This Row],[NuevasAltas]]-EvolucionIncidencia[[#This Row],[Previsión Altas]])</f>
        <v>8.8508413511863822</v>
      </c>
      <c r="Y3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804</v>
      </c>
      <c r="Z3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1407</v>
      </c>
      <c r="AA387" s="2">
        <f>IF(LEN(EvolucionIncidencia[[#This Row],[Nuevos 7 dias]])=0,"",EvolucionIncidencia[[#This Row],[Nuevos 7 dias]]/_xlfn.MAXIFS(EvolucionIncidencia[Nuevos 7 dias],EvolucionIncidencia[Area_Sanitaria],EvolucionIncidencia[[#This Row],[Area_Sanitaria]]))</f>
        <v>0.96287425149700601</v>
      </c>
      <c r="AB387" s="2">
        <f>IF(LEN(EvolucionIncidencia[[#This Row],[Nuevos 14 dias]])=0,"",EvolucionIncidencia[[#This Row],[Nuevos 14 dias]]/_xlfn.MAXIFS(EvolucionIncidencia[Nuevos 14 dias],EvolucionIncidencia[Area_Sanitaria],EvolucionIncidencia[[#This Row],[Area_Sanitaria]]))</f>
        <v>0.8584502745576571</v>
      </c>
    </row>
    <row r="388" spans="1:28" hidden="1" x14ac:dyDescent="0.3">
      <c r="A388" s="1">
        <v>44218</v>
      </c>
      <c r="B388" s="2" t="s">
        <v>8</v>
      </c>
      <c r="C388" s="15">
        <v>9059</v>
      </c>
      <c r="D388" s="15">
        <v>1545</v>
      </c>
      <c r="E388" s="15">
        <v>7348</v>
      </c>
      <c r="F388">
        <v>41</v>
      </c>
      <c r="G388">
        <v>11</v>
      </c>
      <c r="H388" s="15">
        <v>147474</v>
      </c>
      <c r="I388" s="15">
        <v>158</v>
      </c>
      <c r="J388" s="15">
        <v>79484</v>
      </c>
      <c r="K388" s="15">
        <v>188</v>
      </c>
      <c r="L388">
        <v>96</v>
      </c>
      <c r="M388">
        <v>5</v>
      </c>
      <c r="N388">
        <v>1</v>
      </c>
      <c r="O388" s="15">
        <v>1495</v>
      </c>
      <c r="P388" s="15">
        <v>371</v>
      </c>
      <c r="Q388" s="15">
        <v>1866</v>
      </c>
      <c r="R388">
        <v>1.0662525879917184</v>
      </c>
      <c r="S388" s="15">
        <v>92</v>
      </c>
      <c r="T388" t="s">
        <v>441</v>
      </c>
      <c r="U388" s="15" t="str">
        <f>TEXT(EvolucionIncidencia[[#This Row],[Fecha]],"DDDD")</f>
        <v>viernes</v>
      </c>
      <c r="V3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0.95833333333333337</v>
      </c>
      <c r="W3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94.100484421747609</v>
      </c>
      <c r="X388" s="2">
        <f>IF(EvolucionIncidencia[[#This Row],[Fecha]]&lt;=MIN(EvolucionIncidencia[Fecha])+14,"",EvolucionIncidencia[[#This Row],[NuevasAltas]]-EvolucionIncidencia[[#This Row],[Previsión Altas]])</f>
        <v>-2.1004844217476091</v>
      </c>
      <c r="Y3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903</v>
      </c>
      <c r="Z3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1461</v>
      </c>
      <c r="AA388" s="2">
        <f>IF(LEN(EvolucionIncidencia[[#This Row],[Nuevos 7 dias]])=0,"",EvolucionIncidencia[[#This Row],[Nuevos 7 dias]]/_xlfn.MAXIFS(EvolucionIncidencia[Nuevos 7 dias],EvolucionIncidencia[Area_Sanitaria],EvolucionIncidencia[[#This Row],[Area_Sanitaria]]))</f>
        <v>0.81645569620253167</v>
      </c>
      <c r="AB388" s="2">
        <f>IF(LEN(EvolucionIncidencia[[#This Row],[Nuevos 14 dias]])=0,"",EvolucionIncidencia[[#This Row],[Nuevos 14 dias]]/_xlfn.MAXIFS(EvolucionIncidencia[Nuevos 14 dias],EvolucionIncidencia[Area_Sanitaria],EvolucionIncidencia[[#This Row],[Area_Sanitaria]]))</f>
        <v>0.73787878787878791</v>
      </c>
    </row>
    <row r="389" spans="1:28" hidden="1" x14ac:dyDescent="0.3">
      <c r="A389" s="1">
        <v>44218</v>
      </c>
      <c r="B389" s="2" t="s">
        <v>9</v>
      </c>
      <c r="C389" s="15">
        <v>11706</v>
      </c>
      <c r="D389" s="15">
        <v>2568</v>
      </c>
      <c r="E389" s="15">
        <v>8810</v>
      </c>
      <c r="F389">
        <v>129</v>
      </c>
      <c r="G389">
        <v>12</v>
      </c>
      <c r="H389" s="15">
        <v>162711</v>
      </c>
      <c r="I389" s="15">
        <v>328</v>
      </c>
      <c r="J389" s="15">
        <v>75051</v>
      </c>
      <c r="K389" s="15">
        <v>264</v>
      </c>
      <c r="L389">
        <v>155</v>
      </c>
      <c r="M389">
        <v>10</v>
      </c>
      <c r="N389">
        <v>2</v>
      </c>
      <c r="O389" s="15">
        <v>1595</v>
      </c>
      <c r="P389" s="15">
        <v>803</v>
      </c>
      <c r="Q389" s="15">
        <v>2398</v>
      </c>
      <c r="R389">
        <v>1.064235391628678</v>
      </c>
      <c r="S389" s="15">
        <v>108</v>
      </c>
      <c r="T389" t="s">
        <v>441</v>
      </c>
      <c r="U389" s="15" t="str">
        <f>TEXT(EvolucionIncidencia[[#This Row],[Fecha]],"DDDD")</f>
        <v>viernes</v>
      </c>
      <c r="V3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v>
      </c>
      <c r="W3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98.951290482052343</v>
      </c>
      <c r="X389" s="2">
        <f>IF(EvolucionIncidencia[[#This Row],[Fecha]]&lt;=MIN(EvolucionIncidencia[Fecha])+14,"",EvolucionIncidencia[[#This Row],[NuevasAltas]]-EvolucionIncidencia[[#This Row],[Previsión Altas]])</f>
        <v>9.0487095179476569</v>
      </c>
      <c r="Y3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1469</v>
      </c>
      <c r="Z3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2497</v>
      </c>
      <c r="AA389" s="2">
        <f>IF(LEN(EvolucionIncidencia[[#This Row],[Nuevos 7 dias]])=0,"",EvolucionIncidencia[[#This Row],[Nuevos 7 dias]]/_xlfn.MAXIFS(EvolucionIncidencia[Nuevos 7 dias],EvolucionIncidencia[Area_Sanitaria],EvolucionIncidencia[[#This Row],[Area_Sanitaria]]))</f>
        <v>0.9362651370299554</v>
      </c>
      <c r="AB389" s="2">
        <f>IF(LEN(EvolucionIncidencia[[#This Row],[Nuevos 14 dias]])=0,"",EvolucionIncidencia[[#This Row],[Nuevos 14 dias]]/_xlfn.MAXIFS(EvolucionIncidencia[Nuevos 14 dias],EvolucionIncidencia[Area_Sanitaria],EvolucionIncidencia[[#This Row],[Area_Sanitaria]]))</f>
        <v>0.8820204874602614</v>
      </c>
    </row>
    <row r="390" spans="1:28" x14ac:dyDescent="0.3">
      <c r="A390" s="1">
        <v>44218</v>
      </c>
      <c r="B390" s="2" t="s">
        <v>6</v>
      </c>
      <c r="C390" s="15">
        <v>8844</v>
      </c>
      <c r="D390" s="15">
        <v>1579</v>
      </c>
      <c r="E390" s="15">
        <v>7171</v>
      </c>
      <c r="F390">
        <v>84</v>
      </c>
      <c r="G390">
        <v>13</v>
      </c>
      <c r="H390" s="15">
        <v>131128</v>
      </c>
      <c r="I390" s="15">
        <v>97</v>
      </c>
      <c r="J390" s="15">
        <v>49887</v>
      </c>
      <c r="K390" s="15">
        <v>154</v>
      </c>
      <c r="L390">
        <v>94</v>
      </c>
      <c r="M390">
        <v>1</v>
      </c>
      <c r="N390">
        <v>-1</v>
      </c>
      <c r="O390" s="15">
        <v>1401</v>
      </c>
      <c r="P390" s="15">
        <v>453</v>
      </c>
      <c r="Q390" s="15">
        <v>1854</v>
      </c>
      <c r="R390">
        <v>1.0632996632996632</v>
      </c>
      <c r="S390" s="15">
        <v>59</v>
      </c>
      <c r="T390" t="s">
        <v>441</v>
      </c>
      <c r="U390" s="15" t="str">
        <f>TEXT(EvolucionIncidencia[[#This Row],[Fecha]],"DDDD")</f>
        <v>viernes</v>
      </c>
      <c r="V3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0.93650793650793651</v>
      </c>
      <c r="W3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68.512277862849089</v>
      </c>
      <c r="X390" s="2">
        <f>IF(EvolucionIncidencia[[#This Row],[Fecha]]&lt;=MIN(EvolucionIncidencia[Fecha])+14,"",EvolucionIncidencia[[#This Row],[NuevasAltas]]-EvolucionIncidencia[[#This Row],[Previsión Altas]])</f>
        <v>-9.5122778628490892</v>
      </c>
      <c r="Y3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936</v>
      </c>
      <c r="Z3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1476</v>
      </c>
      <c r="AA390" s="2">
        <f>IF(LEN(EvolucionIncidencia[[#This Row],[Nuevos 7 dias]])=0,"",EvolucionIncidencia[[#This Row],[Nuevos 7 dias]]/_xlfn.MAXIFS(EvolucionIncidencia[Nuevos 7 dias],EvolucionIncidencia[Area_Sanitaria],EvolucionIncidencia[[#This Row],[Area_Sanitaria]]))</f>
        <v>0.71178707224334603</v>
      </c>
      <c r="AB390" s="2">
        <f>IF(LEN(EvolucionIncidencia[[#This Row],[Nuevos 14 dias]])=0,"",EvolucionIncidencia[[#This Row],[Nuevos 14 dias]]/_xlfn.MAXIFS(EvolucionIncidencia[Nuevos 14 dias],EvolucionIncidencia[Area_Sanitaria],EvolucionIncidencia[[#This Row],[Area_Sanitaria]]))</f>
        <v>0.60715754833401891</v>
      </c>
    </row>
    <row r="391" spans="1:28" hidden="1" x14ac:dyDescent="0.3">
      <c r="A391" s="1">
        <v>44218</v>
      </c>
      <c r="B391" s="2" t="s">
        <v>7</v>
      </c>
      <c r="C391" s="15">
        <v>14018</v>
      </c>
      <c r="D391" s="15">
        <v>2947</v>
      </c>
      <c r="E391" s="15">
        <v>10838</v>
      </c>
      <c r="F391">
        <v>106</v>
      </c>
      <c r="G391">
        <v>27</v>
      </c>
      <c r="H391" s="15">
        <v>228050</v>
      </c>
      <c r="I391" s="15">
        <v>243</v>
      </c>
      <c r="J391" s="15">
        <v>99485</v>
      </c>
      <c r="K391" s="15">
        <v>253</v>
      </c>
      <c r="L391">
        <v>104</v>
      </c>
      <c r="M391">
        <v>-8</v>
      </c>
      <c r="N391">
        <v>-1</v>
      </c>
      <c r="O391" s="15">
        <v>1729</v>
      </c>
      <c r="P391" s="15">
        <v>569</v>
      </c>
      <c r="Q391" s="15">
        <v>2298</v>
      </c>
      <c r="R391">
        <v>1.0365810763278227</v>
      </c>
      <c r="S391" s="15">
        <v>147</v>
      </c>
      <c r="T391" t="s">
        <v>441</v>
      </c>
      <c r="U391" s="15" t="str">
        <f>TEXT(EvolucionIncidencia[[#This Row],[Fecha]],"DDDD")</f>
        <v>viernes</v>
      </c>
      <c r="V3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0.72413793103448276</v>
      </c>
      <c r="W3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194.36513136798675</v>
      </c>
      <c r="X391" s="2">
        <f>IF(EvolucionIncidencia[[#This Row],[Fecha]]&lt;=MIN(EvolucionIncidencia[Fecha])+14,"",EvolucionIncidencia[[#This Row],[NuevasAltas]]-EvolucionIncidencia[[#This Row],[Previsión Altas]])</f>
        <v>-47.365131367986749</v>
      </c>
      <c r="Y3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1494</v>
      </c>
      <c r="Z3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2738</v>
      </c>
      <c r="AA391" s="2">
        <f>IF(LEN(EvolucionIncidencia[[#This Row],[Nuevos 7 dias]])=0,"",EvolucionIncidencia[[#This Row],[Nuevos 7 dias]]/_xlfn.MAXIFS(EvolucionIncidencia[Nuevos 7 dias],EvolucionIncidencia[Area_Sanitaria],EvolucionIncidencia[[#This Row],[Area_Sanitaria]]))</f>
        <v>0.87985865724381629</v>
      </c>
      <c r="AB391" s="2">
        <f>IF(LEN(EvolucionIncidencia[[#This Row],[Nuevos 14 dias]])=0,"",EvolucionIncidencia[[#This Row],[Nuevos 14 dias]]/_xlfn.MAXIFS(EvolucionIncidencia[Nuevos 14 dias],EvolucionIncidencia[Area_Sanitaria],EvolucionIncidencia[[#This Row],[Area_Sanitaria]]))</f>
        <v>0.86046511627906974</v>
      </c>
    </row>
    <row r="392" spans="1:28" hidden="1" x14ac:dyDescent="0.3">
      <c r="A392" s="1">
        <v>44218</v>
      </c>
      <c r="B392" s="2" t="s">
        <v>2</v>
      </c>
      <c r="C392" s="15">
        <v>16593</v>
      </c>
      <c r="D392" s="15">
        <v>3349</v>
      </c>
      <c r="E392" s="15">
        <v>12941</v>
      </c>
      <c r="F392">
        <v>126</v>
      </c>
      <c r="G392">
        <v>22</v>
      </c>
      <c r="H392" s="15">
        <v>280950</v>
      </c>
      <c r="I392" s="15">
        <v>304</v>
      </c>
      <c r="J392" s="15">
        <v>62733</v>
      </c>
      <c r="K392" s="15">
        <v>331</v>
      </c>
      <c r="L392">
        <v>196</v>
      </c>
      <c r="M392">
        <v>10</v>
      </c>
      <c r="N392">
        <v>1</v>
      </c>
      <c r="O392" s="15">
        <v>1994</v>
      </c>
      <c r="P392" s="15">
        <v>351</v>
      </c>
      <c r="Q392" s="15">
        <v>2345</v>
      </c>
      <c r="R392">
        <v>1.062163019346654</v>
      </c>
      <c r="S392" s="15">
        <v>132</v>
      </c>
      <c r="T392" t="s">
        <v>441</v>
      </c>
      <c r="U392" s="15" t="str">
        <f>TEXT(EvolucionIncidencia[[#This Row],[Fecha]],"DDDD")</f>
        <v>viernes</v>
      </c>
      <c r="V3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3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232.1084574795143</v>
      </c>
      <c r="X392" s="2">
        <f>IF(EvolucionIncidencia[[#This Row],[Fecha]]&lt;=MIN(EvolucionIncidencia[Fecha])+14,"",EvolucionIncidencia[[#This Row],[NuevasAltas]]-EvolucionIncidencia[[#This Row],[Previsión Altas]])</f>
        <v>-100.1084574795143</v>
      </c>
      <c r="Y3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1844</v>
      </c>
      <c r="Z3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3182</v>
      </c>
      <c r="AA392" s="2">
        <f>IF(LEN(EvolucionIncidencia[[#This Row],[Nuevos 7 dias]])=0,"",EvolucionIncidencia[[#This Row],[Nuevos 7 dias]]/_xlfn.MAXIFS(EvolucionIncidencia[Nuevos 7 dias],EvolucionIncidencia[Area_Sanitaria],EvolucionIncidencia[[#This Row],[Area_Sanitaria]]))</f>
        <v>0.95100567302733363</v>
      </c>
      <c r="AB392" s="2">
        <f>IF(LEN(EvolucionIncidencia[[#This Row],[Nuevos 14 dias]])=0,"",EvolucionIncidencia[[#This Row],[Nuevos 14 dias]]/_xlfn.MAXIFS(EvolucionIncidencia[Nuevos 14 dias],EvolucionIncidencia[Area_Sanitaria],EvolucionIncidencia[[#This Row],[Area_Sanitaria]]))</f>
        <v>0.87586017065785848</v>
      </c>
    </row>
    <row r="393" spans="1:28" hidden="1" x14ac:dyDescent="0.3">
      <c r="A393" s="1">
        <v>44218</v>
      </c>
      <c r="B393" s="2" t="s">
        <v>3</v>
      </c>
      <c r="C393" s="15">
        <v>85251</v>
      </c>
      <c r="D393" s="15">
        <v>18286</v>
      </c>
      <c r="E393" s="15">
        <v>65375</v>
      </c>
      <c r="F393">
        <v>825</v>
      </c>
      <c r="G393">
        <v>142</v>
      </c>
      <c r="H393" s="15">
        <v>1309379</v>
      </c>
      <c r="I393" s="15">
        <v>1599</v>
      </c>
      <c r="J393" s="15">
        <v>483914</v>
      </c>
      <c r="K393" s="15">
        <v>1888</v>
      </c>
      <c r="L393">
        <v>1161</v>
      </c>
      <c r="M393">
        <v>30</v>
      </c>
      <c r="N393">
        <v>5</v>
      </c>
      <c r="O393" s="15">
        <v>12332</v>
      </c>
      <c r="P393" s="15">
        <v>3656</v>
      </c>
      <c r="Q393" s="15">
        <v>15988</v>
      </c>
      <c r="R393">
        <v>1.0677956204379562</v>
      </c>
      <c r="S393" s="15">
        <v>713</v>
      </c>
      <c r="T393" t="s">
        <v>441</v>
      </c>
      <c r="U393" s="15" t="str">
        <f>TEXT(EvolucionIncidencia[[#This Row],[Fecha]],"DDDD")</f>
        <v>viernes</v>
      </c>
      <c r="V3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0.78008752735229758</v>
      </c>
      <c r="W3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878.16511596920441</v>
      </c>
      <c r="X393" s="2">
        <f>IF(EvolucionIncidencia[[#This Row],[Fecha]]&lt;=MIN(EvolucionIncidencia[Fecha])+14,"",EvolucionIncidencia[[#This Row],[NuevasAltas]]-EvolucionIncidencia[[#This Row],[Previsión Altas]])</f>
        <v>-165.16511596920441</v>
      </c>
      <c r="Y3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10241</v>
      </c>
      <c r="Z3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17252</v>
      </c>
      <c r="AA393" s="2">
        <f>IF(LEN(EvolucionIncidencia[[#This Row],[Nuevos 7 dias]])=0,"",EvolucionIncidencia[[#This Row],[Nuevos 7 dias]]/_xlfn.MAXIFS(EvolucionIncidencia[Nuevos 7 dias],EvolucionIncidencia[Area_Sanitaria],EvolucionIncidencia[[#This Row],[Area_Sanitaria]]))</f>
        <v>0.90276798307475314</v>
      </c>
      <c r="AB393" s="2">
        <f>IF(LEN(EvolucionIncidencia[[#This Row],[Nuevos 14 dias]])=0,"",EvolucionIncidencia[[#This Row],[Nuevos 14 dias]]/_xlfn.MAXIFS(EvolucionIncidencia[Nuevos 14 dias],EvolucionIncidencia[Area_Sanitaria],EvolucionIncidencia[[#This Row],[Area_Sanitaria]]))</f>
        <v>0.82711669383449993</v>
      </c>
    </row>
    <row r="394" spans="1:28" hidden="1" x14ac:dyDescent="0.3">
      <c r="A394" s="1">
        <v>44219</v>
      </c>
      <c r="B394" s="2" t="s">
        <v>4</v>
      </c>
      <c r="C394" s="15">
        <v>19779</v>
      </c>
      <c r="D394" s="15">
        <v>5057</v>
      </c>
      <c r="E394" s="15">
        <v>14368</v>
      </c>
      <c r="F394">
        <v>248</v>
      </c>
      <c r="G394">
        <v>39</v>
      </c>
      <c r="H394" s="15">
        <v>272183</v>
      </c>
      <c r="I394" s="15">
        <v>359</v>
      </c>
      <c r="J394" s="15">
        <v>86440</v>
      </c>
      <c r="K394" s="15">
        <v>449</v>
      </c>
      <c r="L394">
        <v>231</v>
      </c>
      <c r="M394">
        <v>22</v>
      </c>
      <c r="N394">
        <v>1</v>
      </c>
      <c r="O394" s="15">
        <v>2748</v>
      </c>
      <c r="P394" s="15">
        <v>949</v>
      </c>
      <c r="Q394" s="15">
        <v>3697</v>
      </c>
      <c r="R394">
        <v>1.047865727310402</v>
      </c>
      <c r="S394" s="15">
        <v>217</v>
      </c>
      <c r="T394" t="s">
        <v>442</v>
      </c>
      <c r="U394" s="15" t="str">
        <f>TEXT(EvolucionIncidencia[[#This Row],[Fecha]],"DDDD")</f>
        <v>sábado</v>
      </c>
      <c r="V3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1.1793478260869565</v>
      </c>
      <c r="W3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172.43247744006291</v>
      </c>
      <c r="X394" s="2">
        <f>IF(EvolucionIncidencia[[#This Row],[Fecha]]&lt;=MIN(EvolucionIncidencia[Fecha])+14,"",EvolucionIncidencia[[#This Row],[NuevasAltas]]-EvolucionIncidencia[[#This Row],[Previsión Altas]])</f>
        <v>44.567522559937089</v>
      </c>
      <c r="Y3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2880</v>
      </c>
      <c r="Z3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4756</v>
      </c>
      <c r="AA394" s="2">
        <f>IF(LEN(EvolucionIncidencia[[#This Row],[Nuevos 7 dias]])=0,"",EvolucionIncidencia[[#This Row],[Nuevos 7 dias]]/_xlfn.MAXIFS(EvolucionIncidencia[Nuevos 7 dias],EvolucionIncidencia[Area_Sanitaria],EvolucionIncidencia[[#This Row],[Area_Sanitaria]]))</f>
        <v>0.96676737160120851</v>
      </c>
      <c r="AB394" s="2">
        <f>IF(LEN(EvolucionIncidencia[[#This Row],[Nuevos 14 dias]])=0,"",EvolucionIncidencia[[#This Row],[Nuevos 14 dias]]/_xlfn.MAXIFS(EvolucionIncidencia[Nuevos 14 dias],EvolucionIncidencia[Area_Sanitaria],EvolucionIncidencia[[#This Row],[Area_Sanitaria]]))</f>
        <v>0.87474710318190174</v>
      </c>
    </row>
    <row r="395" spans="1:28" hidden="1" x14ac:dyDescent="0.3">
      <c r="A395" s="1">
        <v>44219</v>
      </c>
      <c r="B395" s="2" t="s">
        <v>5</v>
      </c>
      <c r="C395" s="15">
        <v>5808</v>
      </c>
      <c r="D395" s="15">
        <v>1544</v>
      </c>
      <c r="E395" s="15">
        <v>4149</v>
      </c>
      <c r="F395">
        <v>124</v>
      </c>
      <c r="G395">
        <v>21</v>
      </c>
      <c r="H395" s="15">
        <v>90517</v>
      </c>
      <c r="I395" s="15">
        <v>113</v>
      </c>
      <c r="J395" s="15">
        <v>31852</v>
      </c>
      <c r="K395" s="15">
        <v>107</v>
      </c>
      <c r="L395">
        <v>72</v>
      </c>
      <c r="M395">
        <v>11</v>
      </c>
      <c r="N395">
        <v>2</v>
      </c>
      <c r="O395" s="15">
        <v>886</v>
      </c>
      <c r="P395" s="15">
        <v>69</v>
      </c>
      <c r="Q395" s="15">
        <v>955</v>
      </c>
      <c r="R395">
        <v>1.048913043478261</v>
      </c>
      <c r="S395" s="15">
        <v>33</v>
      </c>
      <c r="T395" t="s">
        <v>442</v>
      </c>
      <c r="U395" s="15" t="str">
        <f>TEXT(EvolucionIncidencia[[#This Row],[Fecha]],"DDDD")</f>
        <v>sábado</v>
      </c>
      <c r="V3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0.515625</v>
      </c>
      <c r="W3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61.89966698990694</v>
      </c>
      <c r="X395" s="2">
        <f>IF(EvolucionIncidencia[[#This Row],[Fecha]]&lt;=MIN(EvolucionIncidencia[Fecha])+14,"",EvolucionIncidencia[[#This Row],[NuevasAltas]]-EvolucionIncidencia[[#This Row],[Previsión Altas]])</f>
        <v>-28.89966698990694</v>
      </c>
      <c r="Y3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827</v>
      </c>
      <c r="Z3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1450</v>
      </c>
      <c r="AA395" s="2">
        <f>IF(LEN(EvolucionIncidencia[[#This Row],[Nuevos 7 dias]])=0,"",EvolucionIncidencia[[#This Row],[Nuevos 7 dias]]/_xlfn.MAXIFS(EvolucionIncidencia[Nuevos 7 dias],EvolucionIncidencia[Area_Sanitaria],EvolucionIncidencia[[#This Row],[Area_Sanitaria]]))</f>
        <v>0.99041916167664668</v>
      </c>
      <c r="AB395" s="2">
        <f>IF(LEN(EvolucionIncidencia[[#This Row],[Nuevos 14 dias]])=0,"",EvolucionIncidencia[[#This Row],[Nuevos 14 dias]]/_xlfn.MAXIFS(EvolucionIncidencia[Nuevos 14 dias],EvolucionIncidencia[Area_Sanitaria],EvolucionIncidencia[[#This Row],[Area_Sanitaria]]))</f>
        <v>0.88468578401464304</v>
      </c>
    </row>
    <row r="396" spans="1:28" hidden="1" x14ac:dyDescent="0.3">
      <c r="A396" s="1">
        <v>44219</v>
      </c>
      <c r="B396" s="2" t="s">
        <v>8</v>
      </c>
      <c r="C396" s="15">
        <v>9232</v>
      </c>
      <c r="D396" s="15">
        <v>1666</v>
      </c>
      <c r="E396" s="15">
        <v>7398</v>
      </c>
      <c r="F396">
        <v>48</v>
      </c>
      <c r="G396">
        <v>11</v>
      </c>
      <c r="H396" s="15">
        <v>148962</v>
      </c>
      <c r="I396" s="15">
        <v>160</v>
      </c>
      <c r="J396" s="15">
        <v>79625</v>
      </c>
      <c r="K396" s="15">
        <v>173</v>
      </c>
      <c r="L396">
        <v>121</v>
      </c>
      <c r="M396">
        <v>7</v>
      </c>
      <c r="N396">
        <v>0</v>
      </c>
      <c r="O396" s="15">
        <v>1488</v>
      </c>
      <c r="P396" s="15">
        <v>141</v>
      </c>
      <c r="Q396" s="15">
        <v>1629</v>
      </c>
      <c r="R396">
        <v>1.0783171521035599</v>
      </c>
      <c r="S396" s="15">
        <v>50</v>
      </c>
      <c r="T396" t="s">
        <v>442</v>
      </c>
      <c r="U396" s="15" t="str">
        <f>TEXT(EvolucionIncidencia[[#This Row],[Fecha]],"DDDD")</f>
        <v>sábado</v>
      </c>
      <c r="V3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3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75.282585087143389</v>
      </c>
      <c r="X396" s="2">
        <f>IF(EvolucionIncidencia[[#This Row],[Fecha]]&lt;=MIN(EvolucionIncidencia[Fecha])+14,"",EvolucionIncidencia[[#This Row],[NuevasAltas]]-EvolucionIncidencia[[#This Row],[Previsión Altas]])</f>
        <v>-25.282585087143389</v>
      </c>
      <c r="Y3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968</v>
      </c>
      <c r="Z3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1559</v>
      </c>
      <c r="AA396" s="2">
        <f>IF(LEN(EvolucionIncidencia[[#This Row],[Nuevos 7 dias]])=0,"",EvolucionIncidencia[[#This Row],[Nuevos 7 dias]]/_xlfn.MAXIFS(EvolucionIncidencia[Nuevos 7 dias],EvolucionIncidencia[Area_Sanitaria],EvolucionIncidencia[[#This Row],[Area_Sanitaria]]))</f>
        <v>0.87522603978300184</v>
      </c>
      <c r="AB396" s="2">
        <f>IF(LEN(EvolucionIncidencia[[#This Row],[Nuevos 14 dias]])=0,"",EvolucionIncidencia[[#This Row],[Nuevos 14 dias]]/_xlfn.MAXIFS(EvolucionIncidencia[Nuevos 14 dias],EvolucionIncidencia[Area_Sanitaria],EvolucionIncidencia[[#This Row],[Area_Sanitaria]]))</f>
        <v>0.78737373737373739</v>
      </c>
    </row>
    <row r="397" spans="1:28" hidden="1" x14ac:dyDescent="0.3">
      <c r="A397" s="1">
        <v>44219</v>
      </c>
      <c r="B397" s="2" t="s">
        <v>9</v>
      </c>
      <c r="C397" s="15">
        <v>11937</v>
      </c>
      <c r="D397" s="15">
        <v>2691</v>
      </c>
      <c r="E397" s="15">
        <v>8918</v>
      </c>
      <c r="F397">
        <v>143</v>
      </c>
      <c r="G397">
        <v>12</v>
      </c>
      <c r="H397" s="15">
        <v>164423</v>
      </c>
      <c r="I397" s="15">
        <v>328</v>
      </c>
      <c r="J397" s="15">
        <v>75520</v>
      </c>
      <c r="K397" s="15">
        <v>231</v>
      </c>
      <c r="L397">
        <v>123</v>
      </c>
      <c r="M397">
        <v>14</v>
      </c>
      <c r="N397">
        <v>0</v>
      </c>
      <c r="O397" s="15">
        <v>1712</v>
      </c>
      <c r="P397" s="15">
        <v>469</v>
      </c>
      <c r="Q397" s="15">
        <v>2181</v>
      </c>
      <c r="R397">
        <v>1.0478971962616823</v>
      </c>
      <c r="S397" s="15">
        <v>108</v>
      </c>
      <c r="T397" t="s">
        <v>442</v>
      </c>
      <c r="U397" s="15" t="str">
        <f>TEXT(EvolucionIncidencia[[#This Row],[Fecha]],"DDDD")</f>
        <v>sábado</v>
      </c>
      <c r="V3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0.98181818181818181</v>
      </c>
      <c r="W3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105.73349436018952</v>
      </c>
      <c r="X397" s="2">
        <f>IF(EvolucionIncidencia[[#This Row],[Fecha]]&lt;=MIN(EvolucionIncidencia[Fecha])+14,"",EvolucionIncidencia[[#This Row],[NuevasAltas]]-EvolucionIncidencia[[#This Row],[Previsión Altas]])</f>
        <v>2.2665056398104753</v>
      </c>
      <c r="Y3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1533</v>
      </c>
      <c r="Z3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2618</v>
      </c>
      <c r="AA397" s="2">
        <f>IF(LEN(EvolucionIncidencia[[#This Row],[Nuevos 7 dias]])=0,"",EvolucionIncidencia[[#This Row],[Nuevos 7 dias]]/_xlfn.MAXIFS(EvolucionIncidencia[Nuevos 7 dias],EvolucionIncidencia[Area_Sanitaria],EvolucionIncidencia[[#This Row],[Area_Sanitaria]]))</f>
        <v>0.97705544933078392</v>
      </c>
      <c r="AB397" s="2">
        <f>IF(LEN(EvolucionIncidencia[[#This Row],[Nuevos 14 dias]])=0,"",EvolucionIncidencia[[#This Row],[Nuevos 14 dias]]/_xlfn.MAXIFS(EvolucionIncidencia[Nuevos 14 dias],EvolucionIncidencia[Area_Sanitaria],EvolucionIncidencia[[#This Row],[Area_Sanitaria]]))</f>
        <v>0.92476156835040624</v>
      </c>
    </row>
    <row r="398" spans="1:28" x14ac:dyDescent="0.3">
      <c r="A398" s="1">
        <v>44219</v>
      </c>
      <c r="B398" s="2" t="s">
        <v>6</v>
      </c>
      <c r="C398" s="15">
        <v>8978</v>
      </c>
      <c r="D398" s="15">
        <v>1650</v>
      </c>
      <c r="E398" s="15">
        <v>7233</v>
      </c>
      <c r="F398">
        <v>102</v>
      </c>
      <c r="G398">
        <v>15</v>
      </c>
      <c r="H398" s="15">
        <v>132183</v>
      </c>
      <c r="I398" s="15">
        <v>98</v>
      </c>
      <c r="J398" s="15">
        <v>50225</v>
      </c>
      <c r="K398" s="15">
        <v>134</v>
      </c>
      <c r="L398">
        <v>71</v>
      </c>
      <c r="M398">
        <v>18</v>
      </c>
      <c r="N398">
        <v>2</v>
      </c>
      <c r="O398" s="15">
        <v>1055</v>
      </c>
      <c r="P398" s="15">
        <v>338</v>
      </c>
      <c r="Q398" s="15">
        <v>1393</v>
      </c>
      <c r="R398">
        <v>1.0449651678277392</v>
      </c>
      <c r="S398" s="15">
        <v>62</v>
      </c>
      <c r="T398" t="s">
        <v>442</v>
      </c>
      <c r="U398" s="15" t="str">
        <f>TEXT(EvolucionIncidencia[[#This Row],[Fecha]],"DDDD")</f>
        <v>sábado</v>
      </c>
      <c r="V3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v>
      </c>
      <c r="W3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52.591289774282821</v>
      </c>
      <c r="X398" s="2">
        <f>IF(EvolucionIncidencia[[#This Row],[Fecha]]&lt;=MIN(EvolucionIncidencia[Fecha])+14,"",EvolucionIncidencia[[#This Row],[NuevasAltas]]-EvolucionIncidencia[[#This Row],[Previsión Altas]])</f>
        <v>9.4087102257171793</v>
      </c>
      <c r="Y3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978</v>
      </c>
      <c r="Z3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1560</v>
      </c>
      <c r="AA398" s="2">
        <f>IF(LEN(EvolucionIncidencia[[#This Row],[Nuevos 7 dias]])=0,"",EvolucionIncidencia[[#This Row],[Nuevos 7 dias]]/_xlfn.MAXIFS(EvolucionIncidencia[Nuevos 7 dias],EvolucionIncidencia[Area_Sanitaria],EvolucionIncidencia[[#This Row],[Area_Sanitaria]]))</f>
        <v>0.74372623574144492</v>
      </c>
      <c r="AB398" s="2">
        <f>IF(LEN(EvolucionIncidencia[[#This Row],[Nuevos 14 dias]])=0,"",EvolucionIncidencia[[#This Row],[Nuevos 14 dias]]/_xlfn.MAXIFS(EvolucionIncidencia[Nuevos 14 dias],EvolucionIncidencia[Area_Sanitaria],EvolucionIncidencia[[#This Row],[Area_Sanitaria]]))</f>
        <v>0.64171122994652408</v>
      </c>
    </row>
    <row r="399" spans="1:28" hidden="1" x14ac:dyDescent="0.3">
      <c r="A399" s="1">
        <v>44219</v>
      </c>
      <c r="B399" s="2" t="s">
        <v>7</v>
      </c>
      <c r="C399" s="15">
        <v>14177</v>
      </c>
      <c r="D399" s="15">
        <v>2924</v>
      </c>
      <c r="E399" s="15">
        <v>11020</v>
      </c>
      <c r="F399">
        <v>112</v>
      </c>
      <c r="G399">
        <v>29</v>
      </c>
      <c r="H399" s="15">
        <v>229725</v>
      </c>
      <c r="I399" s="15">
        <v>243</v>
      </c>
      <c r="J399" s="15">
        <v>99886</v>
      </c>
      <c r="K399" s="15">
        <v>159</v>
      </c>
      <c r="L399">
        <v>-23</v>
      </c>
      <c r="M399">
        <v>6</v>
      </c>
      <c r="N399">
        <v>2</v>
      </c>
      <c r="O399" s="15">
        <v>1675</v>
      </c>
      <c r="P399" s="15">
        <v>401</v>
      </c>
      <c r="Q399" s="15">
        <v>2076</v>
      </c>
      <c r="R399">
        <v>0.99219545300305401</v>
      </c>
      <c r="S399" s="15">
        <v>182</v>
      </c>
      <c r="T399" t="s">
        <v>442</v>
      </c>
      <c r="U399" s="15" t="str">
        <f>TEXT(EvolucionIncidencia[[#This Row],[Fecha]],"DDDD")</f>
        <v>sábado</v>
      </c>
      <c r="V3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1.8571428571428572</v>
      </c>
      <c r="W3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93.950913297119342</v>
      </c>
      <c r="X399" s="2">
        <f>IF(EvolucionIncidencia[[#This Row],[Fecha]]&lt;=MIN(EvolucionIncidencia[Fecha])+14,"",EvolucionIncidencia[[#This Row],[NuevasAltas]]-EvolucionIncidencia[[#This Row],[Previsión Altas]])</f>
        <v>88.049086702880658</v>
      </c>
      <c r="Y3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1476</v>
      </c>
      <c r="Z3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2799</v>
      </c>
      <c r="AA399" s="2">
        <f>IF(LEN(EvolucionIncidencia[[#This Row],[Nuevos 7 dias]])=0,"",EvolucionIncidencia[[#This Row],[Nuevos 7 dias]]/_xlfn.MAXIFS(EvolucionIncidencia[Nuevos 7 dias],EvolucionIncidencia[Area_Sanitaria],EvolucionIncidencia[[#This Row],[Area_Sanitaria]]))</f>
        <v>0.86925795053003529</v>
      </c>
      <c r="AB399" s="2">
        <f>IF(LEN(EvolucionIncidencia[[#This Row],[Nuevos 14 dias]])=0,"",EvolucionIncidencia[[#This Row],[Nuevos 14 dias]]/_xlfn.MAXIFS(EvolucionIncidencia[Nuevos 14 dias],EvolucionIncidencia[Area_Sanitaria],EvolucionIncidencia[[#This Row],[Area_Sanitaria]]))</f>
        <v>0.87963544940289129</v>
      </c>
    </row>
    <row r="400" spans="1:28" hidden="1" x14ac:dyDescent="0.3">
      <c r="A400" s="1">
        <v>44219</v>
      </c>
      <c r="B400" s="2" t="s">
        <v>2</v>
      </c>
      <c r="C400" s="15">
        <v>16868</v>
      </c>
      <c r="D400" s="15">
        <v>3460</v>
      </c>
      <c r="E400" s="15">
        <v>13102</v>
      </c>
      <c r="F400">
        <v>139</v>
      </c>
      <c r="G400">
        <v>23</v>
      </c>
      <c r="H400" s="15">
        <v>283886</v>
      </c>
      <c r="I400" s="15">
        <v>307</v>
      </c>
      <c r="J400" s="15">
        <v>62910</v>
      </c>
      <c r="K400" s="15">
        <v>275</v>
      </c>
      <c r="L400">
        <v>111</v>
      </c>
      <c r="M400">
        <v>13</v>
      </c>
      <c r="N400">
        <v>1</v>
      </c>
      <c r="O400" s="15">
        <v>2936</v>
      </c>
      <c r="P400" s="15">
        <v>177</v>
      </c>
      <c r="Q400" s="15">
        <v>3113</v>
      </c>
      <c r="R400">
        <v>1.0331442221558673</v>
      </c>
      <c r="S400" s="15">
        <v>161</v>
      </c>
      <c r="T400" t="s">
        <v>442</v>
      </c>
      <c r="U400" s="15" t="str">
        <f>TEXT(EvolucionIncidencia[[#This Row],[Fecha]],"DDDD")</f>
        <v>sábado</v>
      </c>
      <c r="V4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1.1838235294117647</v>
      </c>
      <c r="W4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137.06055293538807</v>
      </c>
      <c r="X400" s="2">
        <f>IF(EvolucionIncidencia[[#This Row],[Fecha]]&lt;=MIN(EvolucionIncidencia[Fecha])+14,"",EvolucionIncidencia[[#This Row],[NuevasAltas]]-EvolucionIncidencia[[#This Row],[Previsión Altas]])</f>
        <v>23.939447064611926</v>
      </c>
      <c r="Y4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1863</v>
      </c>
      <c r="Z4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3321</v>
      </c>
      <c r="AA400" s="2">
        <f>IF(LEN(EvolucionIncidencia[[#This Row],[Nuevos 7 dias]])=0,"",EvolucionIncidencia[[#This Row],[Nuevos 7 dias]]/_xlfn.MAXIFS(EvolucionIncidencia[Nuevos 7 dias],EvolucionIncidencia[Area_Sanitaria],EvolucionIncidencia[[#This Row],[Area_Sanitaria]]))</f>
        <v>0.96080453842186697</v>
      </c>
      <c r="AB400" s="2">
        <f>IF(LEN(EvolucionIncidencia[[#This Row],[Nuevos 14 dias]])=0,"",EvolucionIncidencia[[#This Row],[Nuevos 14 dias]]/_xlfn.MAXIFS(EvolucionIncidencia[Nuevos 14 dias],EvolucionIncidencia[Area_Sanitaria],EvolucionIncidencia[[#This Row],[Area_Sanitaria]]))</f>
        <v>0.91412056151940546</v>
      </c>
    </row>
    <row r="401" spans="1:28" hidden="1" x14ac:dyDescent="0.3">
      <c r="A401" s="1">
        <v>44219</v>
      </c>
      <c r="B401" s="2" t="s">
        <v>3</v>
      </c>
      <c r="C401" s="15">
        <v>86779</v>
      </c>
      <c r="D401" s="15">
        <v>18992</v>
      </c>
      <c r="E401" s="15">
        <v>66188</v>
      </c>
      <c r="F401">
        <v>916</v>
      </c>
      <c r="G401">
        <v>150</v>
      </c>
      <c r="H401" s="15">
        <v>1321879</v>
      </c>
      <c r="I401" s="15">
        <v>1608</v>
      </c>
      <c r="J401" s="15">
        <v>486458</v>
      </c>
      <c r="K401" s="15">
        <v>1528</v>
      </c>
      <c r="L401">
        <v>706</v>
      </c>
      <c r="M401">
        <v>91</v>
      </c>
      <c r="N401">
        <v>8</v>
      </c>
      <c r="O401" s="15">
        <v>12500</v>
      </c>
      <c r="P401" s="15">
        <v>2544</v>
      </c>
      <c r="Q401" s="15">
        <v>15044</v>
      </c>
      <c r="R401">
        <v>1.0386087717379415</v>
      </c>
      <c r="S401" s="15">
        <v>813</v>
      </c>
      <c r="T401" t="s">
        <v>442</v>
      </c>
      <c r="U401" s="15" t="str">
        <f>TEXT(EvolucionIncidencia[[#This Row],[Fecha]],"DDDD")</f>
        <v>sábado</v>
      </c>
      <c r="V4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1.1338912133891212</v>
      </c>
      <c r="W4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673.24419612098416</v>
      </c>
      <c r="X401" s="2">
        <f>IF(EvolucionIncidencia[[#This Row],[Fecha]]&lt;=MIN(EvolucionIncidencia[Fecha])+14,"",EvolucionIncidencia[[#This Row],[NuevasAltas]]-EvolucionIncidencia[[#This Row],[Previsión Altas]])</f>
        <v>139.75580387901584</v>
      </c>
      <c r="Y4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10525</v>
      </c>
      <c r="Z4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18063</v>
      </c>
      <c r="AA401" s="2">
        <f>IF(LEN(EvolucionIncidencia[[#This Row],[Nuevos 7 dias]])=0,"",EvolucionIncidencia[[#This Row],[Nuevos 7 dias]]/_xlfn.MAXIFS(EvolucionIncidencia[Nuevos 7 dias],EvolucionIncidencia[Area_Sanitaria],EvolucionIncidencia[[#This Row],[Area_Sanitaria]]))</f>
        <v>0.92780324400564174</v>
      </c>
      <c r="AB401" s="2">
        <f>IF(LEN(EvolucionIncidencia[[#This Row],[Nuevos 14 dias]])=0,"",EvolucionIncidencia[[#This Row],[Nuevos 14 dias]]/_xlfn.MAXIFS(EvolucionIncidencia[Nuevos 14 dias],EvolucionIncidencia[Area_Sanitaria],EvolucionIncidencia[[#This Row],[Area_Sanitaria]]))</f>
        <v>0.86599865758941419</v>
      </c>
    </row>
    <row r="402" spans="1:28" hidden="1" x14ac:dyDescent="0.3">
      <c r="A402" s="1">
        <v>44220</v>
      </c>
      <c r="B402" s="2" t="s">
        <v>4</v>
      </c>
      <c r="C402" s="15">
        <v>20079</v>
      </c>
      <c r="D402" s="15">
        <v>5225</v>
      </c>
      <c r="E402" s="15">
        <v>14492</v>
      </c>
      <c r="F402">
        <v>272</v>
      </c>
      <c r="G402">
        <v>43</v>
      </c>
      <c r="H402" s="15">
        <v>274248</v>
      </c>
      <c r="I402" s="15">
        <v>367</v>
      </c>
      <c r="J402" s="15">
        <v>86912</v>
      </c>
      <c r="K402" s="15">
        <v>300</v>
      </c>
      <c r="L402">
        <v>168</v>
      </c>
      <c r="M402">
        <v>24</v>
      </c>
      <c r="N402">
        <v>4</v>
      </c>
      <c r="O402" s="15">
        <v>2065</v>
      </c>
      <c r="P402" s="15">
        <v>472</v>
      </c>
      <c r="Q402" s="15">
        <v>2537</v>
      </c>
      <c r="R402">
        <v>1.0332212774372158</v>
      </c>
      <c r="S402" s="15">
        <v>124</v>
      </c>
      <c r="T402" t="s">
        <v>461</v>
      </c>
      <c r="U402" s="15" t="str">
        <f>TEXT(EvolucionIncidencia[[#This Row],[Fecha]],"DDDD")</f>
        <v>domingo</v>
      </c>
      <c r="V4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0.78481012658227844</v>
      </c>
      <c r="W4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146.01569016894294</v>
      </c>
      <c r="X402" s="2">
        <f>IF(EvolucionIncidencia[[#This Row],[Fecha]]&lt;=MIN(EvolucionIncidencia[Fecha])+14,"",EvolucionIncidencia[[#This Row],[NuevasAltas]]-EvolucionIncidencia[[#This Row],[Previsión Altas]])</f>
        <v>-22.015690168942939</v>
      </c>
      <c r="Y4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2898</v>
      </c>
      <c r="Z4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4898</v>
      </c>
      <c r="AA402" s="2">
        <f>IF(LEN(EvolucionIncidencia[[#This Row],[Nuevos 7 dias]])=0,"",EvolucionIncidencia[[#This Row],[Nuevos 7 dias]]/_xlfn.MAXIFS(EvolucionIncidencia[Nuevos 7 dias],EvolucionIncidencia[Area_Sanitaria],EvolucionIncidencia[[#This Row],[Area_Sanitaria]]))</f>
        <v>0.97280966767371602</v>
      </c>
      <c r="AB402" s="2">
        <f>IF(LEN(EvolucionIncidencia[[#This Row],[Nuevos 14 dias]])=0,"",EvolucionIncidencia[[#This Row],[Nuevos 14 dias]]/_xlfn.MAXIFS(EvolucionIncidencia[Nuevos 14 dias],EvolucionIncidencia[Area_Sanitaria],EvolucionIncidencia[[#This Row],[Area_Sanitaria]]))</f>
        <v>0.90086444730549931</v>
      </c>
    </row>
    <row r="403" spans="1:28" hidden="1" x14ac:dyDescent="0.3">
      <c r="A403" s="1">
        <v>44220</v>
      </c>
      <c r="B403" s="2" t="s">
        <v>5</v>
      </c>
      <c r="C403" s="15">
        <v>5914</v>
      </c>
      <c r="D403" s="15">
        <v>1573</v>
      </c>
      <c r="E403" s="15">
        <v>4226</v>
      </c>
      <c r="F403">
        <v>131</v>
      </c>
      <c r="G403">
        <v>23</v>
      </c>
      <c r="H403" s="15">
        <v>91143</v>
      </c>
      <c r="I403" s="15">
        <v>113</v>
      </c>
      <c r="J403" s="15">
        <v>31920</v>
      </c>
      <c r="K403" s="15">
        <v>106</v>
      </c>
      <c r="L403">
        <v>29</v>
      </c>
      <c r="M403">
        <v>7</v>
      </c>
      <c r="N403">
        <v>2</v>
      </c>
      <c r="O403" s="15">
        <v>626</v>
      </c>
      <c r="P403" s="15">
        <v>68</v>
      </c>
      <c r="Q403" s="15">
        <v>694</v>
      </c>
      <c r="R403">
        <v>1.0187823834196892</v>
      </c>
      <c r="S403" s="15">
        <v>77</v>
      </c>
      <c r="T403" t="s">
        <v>461</v>
      </c>
      <c r="U403" s="15" t="str">
        <f>TEXT(EvolucionIncidencia[[#This Row],[Fecha]],"DDDD")</f>
        <v>domingo</v>
      </c>
      <c r="V4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0.88505747126436785</v>
      </c>
      <c r="W4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80.444338981071411</v>
      </c>
      <c r="X403" s="2">
        <f>IF(EvolucionIncidencia[[#This Row],[Fecha]]&lt;=MIN(EvolucionIncidencia[Fecha])+14,"",EvolucionIncidencia[[#This Row],[NuevasAltas]]-EvolucionIncidencia[[#This Row],[Previsión Altas]])</f>
        <v>-3.4443389810714109</v>
      </c>
      <c r="Y4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834</v>
      </c>
      <c r="Z4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1469</v>
      </c>
      <c r="AA403" s="2">
        <f>IF(LEN(EvolucionIncidencia[[#This Row],[Nuevos 7 dias]])=0,"",EvolucionIncidencia[[#This Row],[Nuevos 7 dias]]/_xlfn.MAXIFS(EvolucionIncidencia[Nuevos 7 dias],EvolucionIncidencia[Area_Sanitaria],EvolucionIncidencia[[#This Row],[Area_Sanitaria]]))</f>
        <v>0.99880239520958081</v>
      </c>
      <c r="AB403" s="2">
        <f>IF(LEN(EvolucionIncidencia[[#This Row],[Nuevos 14 dias]])=0,"",EvolucionIncidencia[[#This Row],[Nuevos 14 dias]]/_xlfn.MAXIFS(EvolucionIncidencia[Nuevos 14 dias],EvolucionIncidencia[Area_Sanitaria],EvolucionIncidencia[[#This Row],[Area_Sanitaria]]))</f>
        <v>0.89627821842586941</v>
      </c>
    </row>
    <row r="404" spans="1:28" hidden="1" x14ac:dyDescent="0.3">
      <c r="A404" s="1">
        <v>44220</v>
      </c>
      <c r="B404" s="2" t="s">
        <v>8</v>
      </c>
      <c r="C404" s="15">
        <v>9353</v>
      </c>
      <c r="D404" s="15">
        <v>1731</v>
      </c>
      <c r="E404" s="15">
        <v>7454</v>
      </c>
      <c r="F404">
        <v>51</v>
      </c>
      <c r="G404">
        <v>15</v>
      </c>
      <c r="H404" s="15">
        <v>150014</v>
      </c>
      <c r="I404" s="15">
        <v>160</v>
      </c>
      <c r="J404" s="15">
        <v>79847</v>
      </c>
      <c r="K404" s="15">
        <v>121</v>
      </c>
      <c r="L404">
        <v>65</v>
      </c>
      <c r="M404">
        <v>3</v>
      </c>
      <c r="N404">
        <v>4</v>
      </c>
      <c r="O404" s="15">
        <v>1052</v>
      </c>
      <c r="P404" s="15">
        <v>222</v>
      </c>
      <c r="Q404" s="15">
        <v>1274</v>
      </c>
      <c r="R404">
        <v>1.0390156062424969</v>
      </c>
      <c r="S404" s="15">
        <v>56</v>
      </c>
      <c r="T404" t="s">
        <v>461</v>
      </c>
      <c r="U404" s="15" t="str">
        <f>TEXT(EvolucionIncidencia[[#This Row],[Fecha]],"DDDD")</f>
        <v>domingo</v>
      </c>
      <c r="V4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0.98245614035087714</v>
      </c>
      <c r="W4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51.416063367527656</v>
      </c>
      <c r="X404" s="2">
        <f>IF(EvolucionIncidencia[[#This Row],[Fecha]]&lt;=MIN(EvolucionIncidencia[Fecha])+14,"",EvolucionIncidencia[[#This Row],[NuevasAltas]]-EvolucionIncidencia[[#This Row],[Previsión Altas]])</f>
        <v>4.5839366324723443</v>
      </c>
      <c r="Y4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996</v>
      </c>
      <c r="Z4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1623</v>
      </c>
      <c r="AA404" s="2">
        <f>IF(LEN(EvolucionIncidencia[[#This Row],[Nuevos 7 dias]])=0,"",EvolucionIncidencia[[#This Row],[Nuevos 7 dias]]/_xlfn.MAXIFS(EvolucionIncidencia[Nuevos 7 dias],EvolucionIncidencia[Area_Sanitaria],EvolucionIncidencia[[#This Row],[Area_Sanitaria]]))</f>
        <v>0.90054249547920429</v>
      </c>
      <c r="AB404" s="2">
        <f>IF(LEN(EvolucionIncidencia[[#This Row],[Nuevos 14 dias]])=0,"",EvolucionIncidencia[[#This Row],[Nuevos 14 dias]]/_xlfn.MAXIFS(EvolucionIncidencia[Nuevos 14 dias],EvolucionIncidencia[Area_Sanitaria],EvolucionIncidencia[[#This Row],[Area_Sanitaria]]))</f>
        <v>0.8196969696969697</v>
      </c>
    </row>
    <row r="405" spans="1:28" hidden="1" x14ac:dyDescent="0.3">
      <c r="A405" s="1">
        <v>44220</v>
      </c>
      <c r="B405" s="2" t="s">
        <v>9</v>
      </c>
      <c r="C405" s="15">
        <v>12087</v>
      </c>
      <c r="D405" s="15">
        <v>2761</v>
      </c>
      <c r="E405" s="15">
        <v>8996</v>
      </c>
      <c r="F405">
        <v>156</v>
      </c>
      <c r="G405">
        <v>12</v>
      </c>
      <c r="H405" s="15">
        <v>166567</v>
      </c>
      <c r="I405" s="15">
        <v>330</v>
      </c>
      <c r="J405" s="15">
        <v>75859</v>
      </c>
      <c r="K405" s="15">
        <v>150</v>
      </c>
      <c r="L405">
        <v>70</v>
      </c>
      <c r="M405">
        <v>13</v>
      </c>
      <c r="N405">
        <v>0</v>
      </c>
      <c r="O405" s="15">
        <v>2144</v>
      </c>
      <c r="P405" s="15">
        <v>339</v>
      </c>
      <c r="Q405" s="15">
        <v>2483</v>
      </c>
      <c r="R405">
        <v>1.026012634708287</v>
      </c>
      <c r="S405" s="15">
        <v>78</v>
      </c>
      <c r="T405" t="s">
        <v>461</v>
      </c>
      <c r="U405" s="15" t="str">
        <f>TEXT(EvolucionIncidencia[[#This Row],[Fecha]],"DDDD")</f>
        <v>domingo</v>
      </c>
      <c r="V4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0.68421052631578949</v>
      </c>
      <c r="W4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108.41243960965096</v>
      </c>
      <c r="X405" s="2">
        <f>IF(EvolucionIncidencia[[#This Row],[Fecha]]&lt;=MIN(EvolucionIncidencia[Fecha])+14,"",EvolucionIncidencia[[#This Row],[NuevasAltas]]-EvolucionIncidencia[[#This Row],[Previsión Altas]])</f>
        <v>-30.41243960965096</v>
      </c>
      <c r="Y4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1552</v>
      </c>
      <c r="Z4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2654</v>
      </c>
      <c r="AA405" s="2">
        <f>IF(LEN(EvolucionIncidencia[[#This Row],[Nuevos 7 dias]])=0,"",EvolucionIncidencia[[#This Row],[Nuevos 7 dias]]/_xlfn.MAXIFS(EvolucionIncidencia[Nuevos 7 dias],EvolucionIncidencia[Area_Sanitaria],EvolucionIncidencia[[#This Row],[Area_Sanitaria]]))</f>
        <v>0.9891650732950924</v>
      </c>
      <c r="AB405" s="2">
        <f>IF(LEN(EvolucionIncidencia[[#This Row],[Nuevos 14 dias]])=0,"",EvolucionIncidencia[[#This Row],[Nuevos 14 dias]]/_xlfn.MAXIFS(EvolucionIncidencia[Nuevos 14 dias],EvolucionIncidencia[Area_Sanitaria],EvolucionIncidencia[[#This Row],[Area_Sanitaria]]))</f>
        <v>0.937477922995408</v>
      </c>
    </row>
    <row r="406" spans="1:28" x14ac:dyDescent="0.3">
      <c r="A406" s="1">
        <v>44220</v>
      </c>
      <c r="B406" s="2" t="s">
        <v>6</v>
      </c>
      <c r="C406" s="15">
        <v>9179</v>
      </c>
      <c r="D406" s="15">
        <v>1818</v>
      </c>
      <c r="E406" s="15">
        <v>7263</v>
      </c>
      <c r="F406">
        <v>107</v>
      </c>
      <c r="G406">
        <v>15</v>
      </c>
      <c r="H406" s="15">
        <v>133480</v>
      </c>
      <c r="I406" s="15">
        <v>101</v>
      </c>
      <c r="J406" s="15">
        <v>50481</v>
      </c>
      <c r="K406" s="15">
        <v>201</v>
      </c>
      <c r="L406">
        <v>168</v>
      </c>
      <c r="M406">
        <v>5</v>
      </c>
      <c r="N406">
        <v>0</v>
      </c>
      <c r="O406" s="15">
        <v>1297</v>
      </c>
      <c r="P406" s="15">
        <v>256</v>
      </c>
      <c r="Q406" s="15">
        <v>1553</v>
      </c>
      <c r="R406">
        <v>1.1018181818181818</v>
      </c>
      <c r="S406" s="15">
        <v>30</v>
      </c>
      <c r="T406" t="s">
        <v>461</v>
      </c>
      <c r="U406" s="15" t="str">
        <f>TEXT(EvolucionIncidencia[[#This Row],[Fecha]],"DDDD")</f>
        <v>domingo</v>
      </c>
      <c r="V4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0.44776119402985076</v>
      </c>
      <c r="W4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72.661272396917852</v>
      </c>
      <c r="X406" s="2">
        <f>IF(EvolucionIncidencia[[#This Row],[Fecha]]&lt;=MIN(EvolucionIncidencia[Fecha])+14,"",EvolucionIncidencia[[#This Row],[NuevasAltas]]-EvolucionIncidencia[[#This Row],[Previsión Altas]])</f>
        <v>-42.661272396917852</v>
      </c>
      <c r="Y4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1053</v>
      </c>
      <c r="Z4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1694</v>
      </c>
      <c r="AA406" s="2">
        <f>IF(LEN(EvolucionIncidencia[[#This Row],[Nuevos 7 dias]])=0,"",EvolucionIncidencia[[#This Row],[Nuevos 7 dias]]/_xlfn.MAXIFS(EvolucionIncidencia[Nuevos 7 dias],EvolucionIncidencia[Area_Sanitaria],EvolucionIncidencia[[#This Row],[Area_Sanitaria]]))</f>
        <v>0.80076045627376424</v>
      </c>
      <c r="AB406" s="2">
        <f>IF(LEN(EvolucionIncidencia[[#This Row],[Nuevos 14 dias]])=0,"",EvolucionIncidencia[[#This Row],[Nuevos 14 dias]]/_xlfn.MAXIFS(EvolucionIncidencia[Nuevos 14 dias],EvolucionIncidencia[Area_Sanitaria],EvolucionIncidencia[[#This Row],[Area_Sanitaria]]))</f>
        <v>0.69683257918552033</v>
      </c>
    </row>
    <row r="407" spans="1:28" hidden="1" x14ac:dyDescent="0.3">
      <c r="A407" s="1">
        <v>44220</v>
      </c>
      <c r="B407" s="2" t="s">
        <v>7</v>
      </c>
      <c r="C407" s="15">
        <v>14471</v>
      </c>
      <c r="D407" s="15">
        <v>3118</v>
      </c>
      <c r="E407" s="15">
        <v>11119</v>
      </c>
      <c r="F407">
        <v>122</v>
      </c>
      <c r="G407">
        <v>32</v>
      </c>
      <c r="H407" s="15">
        <v>232286</v>
      </c>
      <c r="I407" s="15">
        <v>243</v>
      </c>
      <c r="J407" s="15">
        <v>100122</v>
      </c>
      <c r="K407" s="15">
        <v>294</v>
      </c>
      <c r="L407">
        <v>194</v>
      </c>
      <c r="M407">
        <v>10</v>
      </c>
      <c r="N407">
        <v>3</v>
      </c>
      <c r="O407" s="15">
        <v>2561</v>
      </c>
      <c r="P407" s="15">
        <v>236</v>
      </c>
      <c r="Q407" s="15">
        <v>2797</v>
      </c>
      <c r="R407">
        <v>1.0663474692202461</v>
      </c>
      <c r="S407" s="15">
        <v>99</v>
      </c>
      <c r="T407" t="s">
        <v>461</v>
      </c>
      <c r="U407" s="15" t="str">
        <f>TEXT(EvolucionIncidencia[[#This Row],[Fecha]],"DDDD")</f>
        <v>domingo</v>
      </c>
      <c r="V4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98.554003215806034</v>
      </c>
      <c r="X407" s="2">
        <f>IF(EvolucionIncidencia[[#This Row],[Fecha]]&lt;=MIN(EvolucionIncidencia[Fecha])+14,"",EvolucionIncidencia[[#This Row],[NuevasAltas]]-EvolucionIncidencia[[#This Row],[Previsión Altas]])</f>
        <v>0.44599678419396582</v>
      </c>
      <c r="Y4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1630</v>
      </c>
      <c r="Z4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2994</v>
      </c>
      <c r="AA407" s="2">
        <f>IF(LEN(EvolucionIncidencia[[#This Row],[Nuevos 7 dias]])=0,"",EvolucionIncidencia[[#This Row],[Nuevos 7 dias]]/_xlfn.MAXIFS(EvolucionIncidencia[Nuevos 7 dias],EvolucionIncidencia[Area_Sanitaria],EvolucionIncidencia[[#This Row],[Area_Sanitaria]]))</f>
        <v>0.9599528857479388</v>
      </c>
      <c r="AB407" s="2">
        <f>IF(LEN(EvolucionIncidencia[[#This Row],[Nuevos 14 dias]])=0,"",EvolucionIncidencia[[#This Row],[Nuevos 14 dias]]/_xlfn.MAXIFS(EvolucionIncidencia[Nuevos 14 dias],EvolucionIncidencia[Area_Sanitaria],EvolucionIncidencia[[#This Row],[Area_Sanitaria]]))</f>
        <v>0.94091766184789438</v>
      </c>
    </row>
    <row r="408" spans="1:28" hidden="1" x14ac:dyDescent="0.3">
      <c r="A408" s="1">
        <v>44220</v>
      </c>
      <c r="B408" s="2" t="s">
        <v>2</v>
      </c>
      <c r="C408" s="15">
        <v>17098</v>
      </c>
      <c r="D408" s="15">
        <v>3542</v>
      </c>
      <c r="E408" s="15">
        <v>13250</v>
      </c>
      <c r="F408">
        <v>154</v>
      </c>
      <c r="G408">
        <v>21</v>
      </c>
      <c r="H408" s="15">
        <v>286677</v>
      </c>
      <c r="I408" s="15">
        <v>308</v>
      </c>
      <c r="J408" s="15">
        <v>63044</v>
      </c>
      <c r="K408" s="15">
        <v>230</v>
      </c>
      <c r="L408">
        <v>82</v>
      </c>
      <c r="M408">
        <v>15</v>
      </c>
      <c r="N408">
        <v>-2</v>
      </c>
      <c r="O408" s="15">
        <v>2791</v>
      </c>
      <c r="P408" s="15">
        <v>134</v>
      </c>
      <c r="Q408" s="15">
        <v>2925</v>
      </c>
      <c r="R408">
        <v>1.0236994219653179</v>
      </c>
      <c r="S408" s="15">
        <v>148</v>
      </c>
      <c r="T408" t="s">
        <v>461</v>
      </c>
      <c r="U408" s="15" t="str">
        <f>TEXT(EvolucionIncidencia[[#This Row],[Fecha]],"DDDD")</f>
        <v>domingo</v>
      </c>
      <c r="V4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1.2333333333333334</v>
      </c>
      <c r="W4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115.91800566050723</v>
      </c>
      <c r="X408" s="2">
        <f>IF(EvolucionIncidencia[[#This Row],[Fecha]]&lt;=MIN(EvolucionIncidencia[Fecha])+14,"",EvolucionIncidencia[[#This Row],[NuevasAltas]]-EvolucionIncidencia[[#This Row],[Previsión Altas]])</f>
        <v>32.081994339492766</v>
      </c>
      <c r="Y4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1939</v>
      </c>
      <c r="Z4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3431</v>
      </c>
      <c r="AA408" s="2">
        <f>IF(LEN(EvolucionIncidencia[[#This Row],[Nuevos 7 dias]])=0,"",EvolucionIncidencia[[#This Row],[Nuevos 7 dias]]/_xlfn.MAXIFS(EvolucionIncidencia[Nuevos 7 dias],EvolucionIncidencia[Area_Sanitaria],EvolucionIncidencia[[#This Row],[Area_Sanitaria]]))</f>
        <v>1</v>
      </c>
      <c r="AB408" s="2">
        <f>IF(LEN(EvolucionIncidencia[[#This Row],[Nuevos 14 dias]])=0,"",EvolucionIncidencia[[#This Row],[Nuevos 14 dias]]/_xlfn.MAXIFS(EvolucionIncidencia[Nuevos 14 dias],EvolucionIncidencia[Area_Sanitaria],EvolucionIncidencia[[#This Row],[Area_Sanitaria]]))</f>
        <v>0.94439856867602534</v>
      </c>
    </row>
    <row r="409" spans="1:28" hidden="1" x14ac:dyDescent="0.3">
      <c r="A409" s="1">
        <v>44220</v>
      </c>
      <c r="B409" s="2" t="s">
        <v>3</v>
      </c>
      <c r="C409" s="15">
        <v>88181</v>
      </c>
      <c r="D409" s="15">
        <v>19768</v>
      </c>
      <c r="E409" s="15">
        <v>66800</v>
      </c>
      <c r="F409">
        <v>993</v>
      </c>
      <c r="G409">
        <v>161</v>
      </c>
      <c r="H409" s="15">
        <v>1334415</v>
      </c>
      <c r="I409" s="15">
        <v>1622</v>
      </c>
      <c r="J409" s="15">
        <v>488185</v>
      </c>
      <c r="K409" s="15">
        <v>1402</v>
      </c>
      <c r="L409">
        <v>776</v>
      </c>
      <c r="M409">
        <v>77</v>
      </c>
      <c r="N409">
        <v>11</v>
      </c>
      <c r="O409" s="15">
        <v>12536</v>
      </c>
      <c r="P409" s="15">
        <v>1727</v>
      </c>
      <c r="Q409" s="15">
        <v>14263</v>
      </c>
      <c r="R409">
        <v>1.0408593091828138</v>
      </c>
      <c r="S409" s="15">
        <v>612</v>
      </c>
      <c r="T409" t="s">
        <v>461</v>
      </c>
      <c r="U409" s="15" t="str">
        <f>TEXT(EvolucionIncidencia[[#This Row],[Fecha]],"DDDD")</f>
        <v>domingo</v>
      </c>
      <c r="V4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0.87179487179487181</v>
      </c>
      <c r="W4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649.93804746901594</v>
      </c>
      <c r="X409" s="2">
        <f>IF(EvolucionIncidencia[[#This Row],[Fecha]]&lt;=MIN(EvolucionIncidencia[Fecha])+14,"",EvolucionIncidencia[[#This Row],[NuevasAltas]]-EvolucionIncidencia[[#This Row],[Previsión Altas]])</f>
        <v>-37.938047469015942</v>
      </c>
      <c r="Y4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10902</v>
      </c>
      <c r="Z4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18763</v>
      </c>
      <c r="AA409" s="2">
        <f>IF(LEN(EvolucionIncidencia[[#This Row],[Nuevos 7 dias]])=0,"",EvolucionIncidencia[[#This Row],[Nuevos 7 dias]]/_xlfn.MAXIFS(EvolucionIncidencia[Nuevos 7 dias],EvolucionIncidencia[Area_Sanitaria],EvolucionIncidencia[[#This Row],[Area_Sanitaria]]))</f>
        <v>0.9610366713681241</v>
      </c>
      <c r="AB409" s="2">
        <f>IF(LEN(EvolucionIncidencia[[#This Row],[Nuevos 14 dias]])=0,"",EvolucionIncidencia[[#This Row],[Nuevos 14 dias]]/_xlfn.MAXIFS(EvolucionIncidencia[Nuevos 14 dias],EvolucionIncidencia[Area_Sanitaria],EvolucionIncidencia[[#This Row],[Area_Sanitaria]]))</f>
        <v>0.89955892223607248</v>
      </c>
    </row>
    <row r="410" spans="1:28" hidden="1" x14ac:dyDescent="0.3">
      <c r="A410" s="1">
        <v>44221</v>
      </c>
      <c r="B410" s="2" t="s">
        <v>4</v>
      </c>
      <c r="C410" s="15">
        <v>20426</v>
      </c>
      <c r="D410" s="15">
        <v>5389</v>
      </c>
      <c r="E410" s="15">
        <v>14668</v>
      </c>
      <c r="F410">
        <v>282</v>
      </c>
      <c r="G410">
        <v>47</v>
      </c>
      <c r="H410" s="15">
        <v>275827</v>
      </c>
      <c r="I410" s="15">
        <v>376</v>
      </c>
      <c r="J410" s="15">
        <v>87598</v>
      </c>
      <c r="K410" s="15">
        <v>347</v>
      </c>
      <c r="L410">
        <v>164</v>
      </c>
      <c r="M410">
        <v>10</v>
      </c>
      <c r="N410">
        <v>4</v>
      </c>
      <c r="O410" s="15">
        <v>1579</v>
      </c>
      <c r="P410" s="15">
        <v>686</v>
      </c>
      <c r="Q410" s="15">
        <v>2265</v>
      </c>
      <c r="R410">
        <v>1.0313875598086124</v>
      </c>
      <c r="S410" s="15">
        <v>176</v>
      </c>
      <c r="T410" t="s">
        <v>462</v>
      </c>
      <c r="U410" s="15" t="str">
        <f>TEXT(EvolucionIncidencia[[#This Row],[Fecha]],"DDDD")</f>
        <v>lunes</v>
      </c>
      <c r="V4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0.98324022346368711</v>
      </c>
      <c r="W4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163.4705897664426</v>
      </c>
      <c r="X410" s="2">
        <f>IF(EvolucionIncidencia[[#This Row],[Fecha]]&lt;=MIN(EvolucionIncidencia[Fecha])+14,"",EvolucionIncidencia[[#This Row],[NuevasAltas]]-EvolucionIncidencia[[#This Row],[Previsión Altas]])</f>
        <v>12.5294102335574</v>
      </c>
      <c r="Y4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2968</v>
      </c>
      <c r="Z4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5066</v>
      </c>
      <c r="AA410" s="2">
        <f>IF(LEN(EvolucionIncidencia[[#This Row],[Nuevos 7 dias]])=0,"",EvolucionIncidencia[[#This Row],[Nuevos 7 dias]]/_xlfn.MAXIFS(EvolucionIncidencia[Nuevos 7 dias],EvolucionIncidencia[Area_Sanitaria],EvolucionIncidencia[[#This Row],[Area_Sanitaria]]))</f>
        <v>0.99630748573346761</v>
      </c>
      <c r="AB410" s="2">
        <f>IF(LEN(EvolucionIncidencia[[#This Row],[Nuevos 14 dias]])=0,"",EvolucionIncidencia[[#This Row],[Nuevos 14 dias]]/_xlfn.MAXIFS(EvolucionIncidencia[Nuevos 14 dias],EvolucionIncidencia[Area_Sanitaria],EvolucionIncidencia[[#This Row],[Area_Sanitaria]]))</f>
        <v>0.93176384035313597</v>
      </c>
    </row>
    <row r="411" spans="1:28" hidden="1" x14ac:dyDescent="0.3">
      <c r="A411" s="1">
        <v>44221</v>
      </c>
      <c r="B411" s="2" t="s">
        <v>5</v>
      </c>
      <c r="C411" s="15">
        <v>6019</v>
      </c>
      <c r="D411" s="15">
        <v>1616</v>
      </c>
      <c r="E411" s="15">
        <v>4283</v>
      </c>
      <c r="F411">
        <v>132</v>
      </c>
      <c r="G411">
        <v>24</v>
      </c>
      <c r="H411" s="15">
        <v>91947</v>
      </c>
      <c r="I411" s="15">
        <v>118</v>
      </c>
      <c r="J411" s="15">
        <v>32101</v>
      </c>
      <c r="K411" s="15">
        <v>105</v>
      </c>
      <c r="L411">
        <v>43</v>
      </c>
      <c r="M411">
        <v>1</v>
      </c>
      <c r="N411">
        <v>1</v>
      </c>
      <c r="O411" s="15">
        <v>804</v>
      </c>
      <c r="P411" s="15">
        <v>181</v>
      </c>
      <c r="Q411" s="15">
        <v>985</v>
      </c>
      <c r="R411">
        <v>1.0273363000635727</v>
      </c>
      <c r="S411" s="15">
        <v>57</v>
      </c>
      <c r="T411" t="s">
        <v>462</v>
      </c>
      <c r="U411" s="15" t="str">
        <f>TEXT(EvolucionIncidencia[[#This Row],[Fecha]],"DDDD")</f>
        <v>lunes</v>
      </c>
      <c r="V4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1.1176470588235294</v>
      </c>
      <c r="W4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47.876699944568955</v>
      </c>
      <c r="X411" s="2">
        <f>IF(EvolucionIncidencia[[#This Row],[Fecha]]&lt;=MIN(EvolucionIncidencia[Fecha])+14,"",EvolucionIncidencia[[#This Row],[NuevasAltas]]-EvolucionIncidencia[[#This Row],[Previsión Altas]])</f>
        <v>9.1233000554310451</v>
      </c>
      <c r="Y4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835</v>
      </c>
      <c r="Z4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1523</v>
      </c>
      <c r="AA411" s="2">
        <f>IF(LEN(EvolucionIncidencia[[#This Row],[Nuevos 7 dias]])=0,"",EvolucionIncidencia[[#This Row],[Nuevos 7 dias]]/_xlfn.MAXIFS(EvolucionIncidencia[Nuevos 7 dias],EvolucionIncidencia[Area_Sanitaria],EvolucionIncidencia[[#This Row],[Area_Sanitaria]]))</f>
        <v>1</v>
      </c>
      <c r="AB411" s="2">
        <f>IF(LEN(EvolucionIncidencia[[#This Row],[Nuevos 14 dias]])=0,"",EvolucionIncidencia[[#This Row],[Nuevos 14 dias]]/_xlfn.MAXIFS(EvolucionIncidencia[Nuevos 14 dias],EvolucionIncidencia[Area_Sanitaria],EvolucionIncidencia[[#This Row],[Area_Sanitaria]]))</f>
        <v>0.92922513727882861</v>
      </c>
    </row>
    <row r="412" spans="1:28" hidden="1" x14ac:dyDescent="0.3">
      <c r="A412" s="1">
        <v>44221</v>
      </c>
      <c r="B412" s="2" t="s">
        <v>8</v>
      </c>
      <c r="C412" s="15">
        <v>9469</v>
      </c>
      <c r="D412" s="15">
        <v>1798</v>
      </c>
      <c r="E412" s="15">
        <v>7501</v>
      </c>
      <c r="F412">
        <v>57</v>
      </c>
      <c r="G412">
        <v>15</v>
      </c>
      <c r="H412" s="15">
        <v>151191</v>
      </c>
      <c r="I412" s="15">
        <v>162</v>
      </c>
      <c r="J412" s="15">
        <v>80319</v>
      </c>
      <c r="K412" s="15">
        <v>116</v>
      </c>
      <c r="L412">
        <v>67</v>
      </c>
      <c r="M412">
        <v>6</v>
      </c>
      <c r="N412">
        <v>0</v>
      </c>
      <c r="O412" s="15">
        <v>1177</v>
      </c>
      <c r="P412" s="15">
        <v>472</v>
      </c>
      <c r="Q412" s="15">
        <v>1649</v>
      </c>
      <c r="R412">
        <v>1.0387059503177354</v>
      </c>
      <c r="S412" s="15">
        <v>47</v>
      </c>
      <c r="T412" t="s">
        <v>462</v>
      </c>
      <c r="U412" s="15" t="str">
        <f>TEXT(EvolucionIncidencia[[#This Row],[Fecha]],"DDDD")</f>
        <v>lunes</v>
      </c>
      <c r="V4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43.42982738593075</v>
      </c>
      <c r="X412" s="2">
        <f>IF(EvolucionIncidencia[[#This Row],[Fecha]]&lt;=MIN(EvolucionIncidencia[Fecha])+14,"",EvolucionIncidencia[[#This Row],[NuevasAltas]]-EvolucionIncidencia[[#This Row],[Previsión Altas]])</f>
        <v>3.57017261406925</v>
      </c>
      <c r="Y4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1010</v>
      </c>
      <c r="Z4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1692</v>
      </c>
      <c r="AA412" s="2">
        <f>IF(LEN(EvolucionIncidencia[[#This Row],[Nuevos 7 dias]])=0,"",EvolucionIncidencia[[#This Row],[Nuevos 7 dias]]/_xlfn.MAXIFS(EvolucionIncidencia[Nuevos 7 dias],EvolucionIncidencia[Area_Sanitaria],EvolucionIncidencia[[#This Row],[Area_Sanitaria]]))</f>
        <v>0.91320072332730562</v>
      </c>
      <c r="AB412" s="2">
        <f>IF(LEN(EvolucionIncidencia[[#This Row],[Nuevos 14 dias]])=0,"",EvolucionIncidencia[[#This Row],[Nuevos 14 dias]]/_xlfn.MAXIFS(EvolucionIncidencia[Nuevos 14 dias],EvolucionIncidencia[Area_Sanitaria],EvolucionIncidencia[[#This Row],[Area_Sanitaria]]))</f>
        <v>0.8545454545454545</v>
      </c>
    </row>
    <row r="413" spans="1:28" hidden="1" x14ac:dyDescent="0.3">
      <c r="A413" s="1">
        <v>44221</v>
      </c>
      <c r="B413" s="2" t="s">
        <v>9</v>
      </c>
      <c r="C413" s="15">
        <v>12298</v>
      </c>
      <c r="D413" s="15">
        <v>2866</v>
      </c>
      <c r="E413" s="15">
        <v>9099</v>
      </c>
      <c r="F413">
        <v>164</v>
      </c>
      <c r="G413">
        <v>12</v>
      </c>
      <c r="H413" s="15">
        <v>168760</v>
      </c>
      <c r="I413" s="15">
        <v>333</v>
      </c>
      <c r="J413" s="15">
        <v>77304</v>
      </c>
      <c r="K413" s="15">
        <v>211</v>
      </c>
      <c r="L413">
        <v>105</v>
      </c>
      <c r="M413">
        <v>8</v>
      </c>
      <c r="N413">
        <v>0</v>
      </c>
      <c r="O413" s="15">
        <v>2193</v>
      </c>
      <c r="P413" s="15">
        <v>1445</v>
      </c>
      <c r="Q413" s="15">
        <v>3638</v>
      </c>
      <c r="R413">
        <v>1.038029699384281</v>
      </c>
      <c r="S413" s="15">
        <v>103</v>
      </c>
      <c r="T413" t="s">
        <v>462</v>
      </c>
      <c r="U413" s="15" t="str">
        <f>TEXT(EvolucionIncidencia[[#This Row],[Fecha]],"DDDD")</f>
        <v>lunes</v>
      </c>
      <c r="V4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0.83064516129032262</v>
      </c>
      <c r="W4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115.54707895958455</v>
      </c>
      <c r="X413" s="2">
        <f>IF(EvolucionIncidencia[[#This Row],[Fecha]]&lt;=MIN(EvolucionIncidencia[Fecha])+14,"",EvolucionIncidencia[[#This Row],[NuevasAltas]]-EvolucionIncidencia[[#This Row],[Previsión Altas]])</f>
        <v>-12.547078959584553</v>
      </c>
      <c r="Y4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1556</v>
      </c>
      <c r="Z4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2741</v>
      </c>
      <c r="AA413" s="2">
        <f>IF(LEN(EvolucionIncidencia[[#This Row],[Nuevos 7 dias]])=0,"",EvolucionIncidencia[[#This Row],[Nuevos 7 dias]]/_xlfn.MAXIFS(EvolucionIncidencia[Nuevos 7 dias],EvolucionIncidencia[Area_Sanitaria],EvolucionIncidencia[[#This Row],[Area_Sanitaria]]))</f>
        <v>0.99171446781389416</v>
      </c>
      <c r="AB413" s="2">
        <f>IF(LEN(EvolucionIncidencia[[#This Row],[Nuevos 14 dias]])=0,"",EvolucionIncidencia[[#This Row],[Nuevos 14 dias]]/_xlfn.MAXIFS(EvolucionIncidencia[Nuevos 14 dias],EvolucionIncidencia[Area_Sanitaria],EvolucionIncidencia[[#This Row],[Area_Sanitaria]]))</f>
        <v>0.9682091133874956</v>
      </c>
    </row>
    <row r="414" spans="1:28" x14ac:dyDescent="0.3">
      <c r="A414" s="1">
        <v>44221</v>
      </c>
      <c r="B414" s="2" t="s">
        <v>6</v>
      </c>
      <c r="C414" s="15">
        <v>9395</v>
      </c>
      <c r="D414" s="15">
        <v>1940</v>
      </c>
      <c r="E414" s="15">
        <v>7357</v>
      </c>
      <c r="F414">
        <v>113</v>
      </c>
      <c r="G414">
        <v>15</v>
      </c>
      <c r="H414" s="15">
        <v>134737</v>
      </c>
      <c r="I414" s="15">
        <v>101</v>
      </c>
      <c r="J414" s="15">
        <v>50988</v>
      </c>
      <c r="K414" s="15">
        <v>216</v>
      </c>
      <c r="L414">
        <v>122</v>
      </c>
      <c r="M414">
        <v>6</v>
      </c>
      <c r="N414">
        <v>0</v>
      </c>
      <c r="O414" s="15">
        <v>1257</v>
      </c>
      <c r="P414" s="15">
        <v>507</v>
      </c>
      <c r="Q414" s="15">
        <v>1764</v>
      </c>
      <c r="R414">
        <v>1.0671067106710672</v>
      </c>
      <c r="S414" s="15">
        <v>94</v>
      </c>
      <c r="T414" t="s">
        <v>462</v>
      </c>
      <c r="U414" s="15" t="str">
        <f>TEXT(EvolucionIncidencia[[#This Row],[Fecha]],"DDDD")</f>
        <v>lunes</v>
      </c>
      <c r="V4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0.98947368421052628</v>
      </c>
      <c r="W4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97.812661057233001</v>
      </c>
      <c r="X414" s="2">
        <f>IF(EvolucionIncidencia[[#This Row],[Fecha]]&lt;=MIN(EvolucionIncidencia[Fecha])+14,"",EvolucionIncidencia[[#This Row],[NuevasAltas]]-EvolucionIncidencia[[#This Row],[Previsión Altas]])</f>
        <v>-3.8126610572330009</v>
      </c>
      <c r="Y4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1169</v>
      </c>
      <c r="Z4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1815</v>
      </c>
      <c r="AA414" s="2">
        <f>IF(LEN(EvolucionIncidencia[[#This Row],[Nuevos 7 dias]])=0,"",EvolucionIncidencia[[#This Row],[Nuevos 7 dias]]/_xlfn.MAXIFS(EvolucionIncidencia[Nuevos 7 dias],EvolucionIncidencia[Area_Sanitaria],EvolucionIncidencia[[#This Row],[Area_Sanitaria]]))</f>
        <v>0.88897338403041826</v>
      </c>
      <c r="AB414" s="2">
        <f>IF(LEN(EvolucionIncidencia[[#This Row],[Nuevos 14 dias]])=0,"",EvolucionIncidencia[[#This Row],[Nuevos 14 dias]]/_xlfn.MAXIFS(EvolucionIncidencia[Nuevos 14 dias],EvolucionIncidencia[Area_Sanitaria],EvolucionIncidencia[[#This Row],[Area_Sanitaria]]))</f>
        <v>0.74660633484162897</v>
      </c>
    </row>
    <row r="415" spans="1:28" hidden="1" x14ac:dyDescent="0.3">
      <c r="A415" s="1">
        <v>44221</v>
      </c>
      <c r="B415" s="2" t="s">
        <v>7</v>
      </c>
      <c r="C415" s="15">
        <v>14710</v>
      </c>
      <c r="D415" s="15">
        <v>3242</v>
      </c>
      <c r="E415" s="15">
        <v>11229</v>
      </c>
      <c r="F415">
        <v>124</v>
      </c>
      <c r="G415">
        <v>34</v>
      </c>
      <c r="H415" s="15">
        <v>234472</v>
      </c>
      <c r="I415" s="15">
        <v>248</v>
      </c>
      <c r="J415" s="15">
        <v>100673</v>
      </c>
      <c r="K415" s="15">
        <v>239</v>
      </c>
      <c r="L415">
        <v>124</v>
      </c>
      <c r="M415">
        <v>2</v>
      </c>
      <c r="N415">
        <v>2</v>
      </c>
      <c r="O415" s="15">
        <v>2186</v>
      </c>
      <c r="P415" s="15">
        <v>551</v>
      </c>
      <c r="Q415" s="15">
        <v>2737</v>
      </c>
      <c r="R415">
        <v>1.0397690827453496</v>
      </c>
      <c r="S415" s="15">
        <v>110</v>
      </c>
      <c r="T415" t="s">
        <v>462</v>
      </c>
      <c r="U415" s="15" t="str">
        <f>TEXT(EvolucionIncidencia[[#This Row],[Fecha]],"DDDD")</f>
        <v>lunes</v>
      </c>
      <c r="V4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0.55000000000000004</v>
      </c>
      <c r="W4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202.10651519256024</v>
      </c>
      <c r="X415" s="2">
        <f>IF(EvolucionIncidencia[[#This Row],[Fecha]]&lt;=MIN(EvolucionIncidencia[Fecha])+14,"",EvolucionIncidencia[[#This Row],[NuevasAltas]]-EvolucionIncidencia[[#This Row],[Previsión Altas]])</f>
        <v>-92.106515192560238</v>
      </c>
      <c r="Y4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1663</v>
      </c>
      <c r="Z4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3033</v>
      </c>
      <c r="AA415" s="2">
        <f>IF(LEN(EvolucionIncidencia[[#This Row],[Nuevos 7 dias]])=0,"",EvolucionIncidencia[[#This Row],[Nuevos 7 dias]]/_xlfn.MAXIFS(EvolucionIncidencia[Nuevos 7 dias],EvolucionIncidencia[Area_Sanitaria],EvolucionIncidencia[[#This Row],[Area_Sanitaria]]))</f>
        <v>0.97938751472320373</v>
      </c>
      <c r="AB415" s="2">
        <f>IF(LEN(EvolucionIncidencia[[#This Row],[Nuevos 14 dias]])=0,"",EvolucionIncidencia[[#This Row],[Nuevos 14 dias]]/_xlfn.MAXIFS(EvolucionIncidencia[Nuevos 14 dias],EvolucionIncidencia[Area_Sanitaria],EvolucionIncidencia[[#This Row],[Area_Sanitaria]]))</f>
        <v>0.95317410433689509</v>
      </c>
    </row>
    <row r="416" spans="1:28" hidden="1" x14ac:dyDescent="0.3">
      <c r="A416" s="1">
        <v>44221</v>
      </c>
      <c r="B416" s="2" t="s">
        <v>2</v>
      </c>
      <c r="C416" s="15">
        <v>17275</v>
      </c>
      <c r="D416" s="15">
        <v>3630</v>
      </c>
      <c r="E416" s="15">
        <v>13336</v>
      </c>
      <c r="F416">
        <v>159</v>
      </c>
      <c r="G416">
        <v>23</v>
      </c>
      <c r="H416" s="15">
        <v>288406</v>
      </c>
      <c r="I416" s="15">
        <v>311</v>
      </c>
      <c r="J416" s="15">
        <v>63407</v>
      </c>
      <c r="K416" s="15">
        <v>177</v>
      </c>
      <c r="L416">
        <v>88</v>
      </c>
      <c r="M416">
        <v>5</v>
      </c>
      <c r="N416">
        <v>2</v>
      </c>
      <c r="O416" s="15">
        <v>1729</v>
      </c>
      <c r="P416" s="15">
        <v>363</v>
      </c>
      <c r="Q416" s="15">
        <v>2092</v>
      </c>
      <c r="R416">
        <v>1.0248447204968945</v>
      </c>
      <c r="S416" s="15">
        <v>86</v>
      </c>
      <c r="T416" t="s">
        <v>462</v>
      </c>
      <c r="U416" s="15" t="str">
        <f>TEXT(EvolucionIncidencia[[#This Row],[Fecha]],"DDDD")</f>
        <v>lunes</v>
      </c>
      <c r="V4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0.58108108108108103</v>
      </c>
      <c r="W4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149.49814104722634</v>
      </c>
      <c r="X416" s="2">
        <f>IF(EvolucionIncidencia[[#This Row],[Fecha]]&lt;=MIN(EvolucionIncidencia[Fecha])+14,"",EvolucionIncidencia[[#This Row],[NuevasAltas]]-EvolucionIncidencia[[#This Row],[Previsión Altas]])</f>
        <v>-63.498141047226341</v>
      </c>
      <c r="Y4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1929</v>
      </c>
      <c r="Z4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3460</v>
      </c>
      <c r="AA416" s="2">
        <f>IF(LEN(EvolucionIncidencia[[#This Row],[Nuevos 7 dias]])=0,"",EvolucionIncidencia[[#This Row],[Nuevos 7 dias]]/_xlfn.MAXIFS(EvolucionIncidencia[Nuevos 7 dias],EvolucionIncidencia[Area_Sanitaria],EvolucionIncidencia[[#This Row],[Area_Sanitaria]]))</f>
        <v>0.99484270242392991</v>
      </c>
      <c r="AB416" s="2">
        <f>IF(LEN(EvolucionIncidencia[[#This Row],[Nuevos 14 dias]])=0,"",EvolucionIncidencia[[#This Row],[Nuevos 14 dias]]/_xlfn.MAXIFS(EvolucionIncidencia[Nuevos 14 dias],EvolucionIncidencia[Area_Sanitaria],EvolucionIncidencia[[#This Row],[Area_Sanitaria]]))</f>
        <v>0.95238095238095233</v>
      </c>
    </row>
    <row r="417" spans="1:28" hidden="1" x14ac:dyDescent="0.3">
      <c r="A417" s="1">
        <v>44221</v>
      </c>
      <c r="B417" s="2" t="s">
        <v>3</v>
      </c>
      <c r="C417" s="15">
        <v>89592</v>
      </c>
      <c r="D417" s="15">
        <v>20481</v>
      </c>
      <c r="E417" s="15">
        <v>67473</v>
      </c>
      <c r="F417">
        <v>1031</v>
      </c>
      <c r="G417">
        <v>170</v>
      </c>
      <c r="H417" s="15">
        <v>1345340</v>
      </c>
      <c r="I417" s="15">
        <v>1649</v>
      </c>
      <c r="J417" s="15">
        <v>492390</v>
      </c>
      <c r="K417" s="15">
        <v>1411</v>
      </c>
      <c r="L417">
        <v>713</v>
      </c>
      <c r="M417">
        <v>38</v>
      </c>
      <c r="N417">
        <v>9</v>
      </c>
      <c r="O417" s="15">
        <v>10925</v>
      </c>
      <c r="P417" s="15">
        <v>4205</v>
      </c>
      <c r="Q417" s="15">
        <v>15130</v>
      </c>
      <c r="R417">
        <v>1.0360683933630108</v>
      </c>
      <c r="S417" s="15">
        <v>673</v>
      </c>
      <c r="T417" t="s">
        <v>462</v>
      </c>
      <c r="U417" s="15" t="str">
        <f>TEXT(EvolucionIncidencia[[#This Row],[Fecha]],"DDDD")</f>
        <v>lunes</v>
      </c>
      <c r="V4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0.79739336492891</v>
      </c>
      <c r="W4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784.17147735796675</v>
      </c>
      <c r="X417" s="2">
        <f>IF(EvolucionIncidencia[[#This Row],[Fecha]]&lt;=MIN(EvolucionIncidencia[Fecha])+14,"",EvolucionIncidencia[[#This Row],[NuevasAltas]]-EvolucionIncidencia[[#This Row],[Previsión Altas]])</f>
        <v>-111.17147735796675</v>
      </c>
      <c r="Y4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11130</v>
      </c>
      <c r="Z4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19330</v>
      </c>
      <c r="AA417" s="2">
        <f>IF(LEN(EvolucionIncidencia[[#This Row],[Nuevos 7 dias]])=0,"",EvolucionIncidencia[[#This Row],[Nuevos 7 dias]]/_xlfn.MAXIFS(EvolucionIncidencia[Nuevos 7 dias],EvolucionIncidencia[Area_Sanitaria],EvolucionIncidencia[[#This Row],[Area_Sanitaria]]))</f>
        <v>0.98113540197461213</v>
      </c>
      <c r="AB417" s="2">
        <f>IF(LEN(EvolucionIncidencia[[#This Row],[Nuevos 14 dias]])=0,"",EvolucionIncidencia[[#This Row],[Nuevos 14 dias]]/_xlfn.MAXIFS(EvolucionIncidencia[Nuevos 14 dias],EvolucionIncidencia[Area_Sanitaria],EvolucionIncidencia[[#This Row],[Area_Sanitaria]]))</f>
        <v>0.92674273659986572</v>
      </c>
    </row>
    <row r="418" spans="1:28" hidden="1" x14ac:dyDescent="0.3">
      <c r="A418" s="1">
        <v>44222</v>
      </c>
      <c r="B418" s="2" t="s">
        <v>4</v>
      </c>
      <c r="C418" s="15">
        <v>20872</v>
      </c>
      <c r="D418" s="15">
        <v>5679</v>
      </c>
      <c r="E418" s="15">
        <v>14821</v>
      </c>
      <c r="F418">
        <v>305</v>
      </c>
      <c r="G418">
        <v>48</v>
      </c>
      <c r="H418" s="15">
        <v>278486</v>
      </c>
      <c r="I418" s="15">
        <v>379</v>
      </c>
      <c r="J418" s="15">
        <v>88439</v>
      </c>
      <c r="K418" s="15">
        <v>446</v>
      </c>
      <c r="L418">
        <v>290</v>
      </c>
      <c r="M418">
        <v>23</v>
      </c>
      <c r="N418">
        <v>1</v>
      </c>
      <c r="O418" s="15">
        <v>2659</v>
      </c>
      <c r="P418" s="15">
        <v>841</v>
      </c>
      <c r="Q418" s="15">
        <v>3500</v>
      </c>
      <c r="R418">
        <v>1.0538133234366303</v>
      </c>
      <c r="S418" s="15">
        <v>153</v>
      </c>
      <c r="T418" t="s">
        <v>463</v>
      </c>
      <c r="U418" s="15" t="str">
        <f>TEXT(EvolucionIncidencia[[#This Row],[Fecha]],"DDDD")</f>
        <v>martes</v>
      </c>
      <c r="V4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0.59765625</v>
      </c>
      <c r="W4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232.46800317045191</v>
      </c>
      <c r="X418" s="2">
        <f>IF(EvolucionIncidencia[[#This Row],[Fecha]]&lt;=MIN(EvolucionIncidencia[Fecha])+14,"",EvolucionIncidencia[[#This Row],[NuevasAltas]]-EvolucionIncidencia[[#This Row],[Previsión Altas]])</f>
        <v>-79.468003170451908</v>
      </c>
      <c r="Y4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2979</v>
      </c>
      <c r="Z4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5256</v>
      </c>
      <c r="AA418" s="2">
        <f>IF(LEN(EvolucionIncidencia[[#This Row],[Nuevos 7 dias]])=0,"",EvolucionIncidencia[[#This Row],[Nuevos 7 dias]]/_xlfn.MAXIFS(EvolucionIncidencia[Nuevos 7 dias],EvolucionIncidencia[Area_Sanitaria],EvolucionIncidencia[[#This Row],[Area_Sanitaria]]))</f>
        <v>1</v>
      </c>
      <c r="AB418" s="2">
        <f>IF(LEN(EvolucionIncidencia[[#This Row],[Nuevos 14 dias]])=0,"",EvolucionIncidencia[[#This Row],[Nuevos 14 dias]]/_xlfn.MAXIFS(EvolucionIncidencia[Nuevos 14 dias],EvolucionIncidencia[Area_Sanitaria],EvolucionIncidencia[[#This Row],[Area_Sanitaria]]))</f>
        <v>0.96670958249034389</v>
      </c>
    </row>
    <row r="419" spans="1:28" hidden="1" x14ac:dyDescent="0.3">
      <c r="A419" s="1">
        <v>44222</v>
      </c>
      <c r="B419" s="2" t="s">
        <v>5</v>
      </c>
      <c r="C419" s="15">
        <v>6115</v>
      </c>
      <c r="D419" s="15">
        <v>1669</v>
      </c>
      <c r="E419" s="15">
        <v>4324</v>
      </c>
      <c r="F419">
        <v>136</v>
      </c>
      <c r="G419">
        <v>26</v>
      </c>
      <c r="H419" s="15">
        <v>92922</v>
      </c>
      <c r="I419" s="15">
        <v>120</v>
      </c>
      <c r="J419" s="15">
        <v>32216</v>
      </c>
      <c r="K419" s="15">
        <v>96</v>
      </c>
      <c r="L419">
        <v>53</v>
      </c>
      <c r="M419">
        <v>4</v>
      </c>
      <c r="N419">
        <v>2</v>
      </c>
      <c r="O419" s="15">
        <v>975</v>
      </c>
      <c r="P419" s="15">
        <v>115</v>
      </c>
      <c r="Q419" s="15">
        <v>1090</v>
      </c>
      <c r="R419">
        <v>1.0327970297029703</v>
      </c>
      <c r="S419" s="15">
        <v>41</v>
      </c>
      <c r="T419" t="s">
        <v>463</v>
      </c>
      <c r="U419" s="15" t="str">
        <f>TEXT(EvolucionIncidencia[[#This Row],[Fecha]],"DDDD")</f>
        <v>martes</v>
      </c>
      <c r="V4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0.55405405405405406</v>
      </c>
      <c r="W4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72.277193718469519</v>
      </c>
      <c r="X419" s="2">
        <f>IF(EvolucionIncidencia[[#This Row],[Fecha]]&lt;=MIN(EvolucionIncidencia[Fecha])+14,"",EvolucionIncidencia[[#This Row],[NuevasAltas]]-EvolucionIncidencia[[#This Row],[Previsión Altas]])</f>
        <v>-31.277193718469519</v>
      </c>
      <c r="Y4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833</v>
      </c>
      <c r="Z4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1545</v>
      </c>
      <c r="AA419" s="2">
        <f>IF(LEN(EvolucionIncidencia[[#This Row],[Nuevos 7 dias]])=0,"",EvolucionIncidencia[[#This Row],[Nuevos 7 dias]]/_xlfn.MAXIFS(EvolucionIncidencia[Nuevos 7 dias],EvolucionIncidencia[Area_Sanitaria],EvolucionIncidencia[[#This Row],[Area_Sanitaria]]))</f>
        <v>0.99760479041916172</v>
      </c>
      <c r="AB419" s="2">
        <f>IF(LEN(EvolucionIncidencia[[#This Row],[Nuevos 14 dias]])=0,"",EvolucionIncidencia[[#This Row],[Nuevos 14 dias]]/_xlfn.MAXIFS(EvolucionIncidencia[Nuevos 14 dias],EvolucionIncidencia[Area_Sanitaria],EvolucionIncidencia[[#This Row],[Area_Sanitaria]]))</f>
        <v>0.9426479560707749</v>
      </c>
    </row>
    <row r="420" spans="1:28" hidden="1" x14ac:dyDescent="0.3">
      <c r="A420" s="1">
        <v>44222</v>
      </c>
      <c r="B420" s="2" t="s">
        <v>8</v>
      </c>
      <c r="C420" s="15">
        <v>9680</v>
      </c>
      <c r="D420" s="15">
        <v>1954</v>
      </c>
      <c r="E420" s="15">
        <v>7556</v>
      </c>
      <c r="F420">
        <v>58</v>
      </c>
      <c r="G420">
        <v>15</v>
      </c>
      <c r="H420" s="15">
        <v>152684</v>
      </c>
      <c r="I420" s="15">
        <v>162</v>
      </c>
      <c r="J420" s="15">
        <v>80867</v>
      </c>
      <c r="K420" s="15">
        <v>211</v>
      </c>
      <c r="L420">
        <v>156</v>
      </c>
      <c r="M420">
        <v>1</v>
      </c>
      <c r="N420">
        <v>0</v>
      </c>
      <c r="O420" s="15">
        <v>1493</v>
      </c>
      <c r="P420" s="15">
        <v>548</v>
      </c>
      <c r="Q420" s="15">
        <v>2041</v>
      </c>
      <c r="R420">
        <v>1.0867630700778643</v>
      </c>
      <c r="S420" s="15">
        <v>55</v>
      </c>
      <c r="T420" t="s">
        <v>463</v>
      </c>
      <c r="U420" s="15" t="str">
        <f>TEXT(EvolucionIncidencia[[#This Row],[Fecha]],"DDDD")</f>
        <v>martes</v>
      </c>
      <c r="V4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0.52884615384615385</v>
      </c>
      <c r="W4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97.492900720235809</v>
      </c>
      <c r="X420" s="2">
        <f>IF(EvolucionIncidencia[[#This Row],[Fecha]]&lt;=MIN(EvolucionIncidencia[Fecha])+14,"",EvolucionIncidencia[[#This Row],[NuevasAltas]]-EvolucionIncidencia[[#This Row],[Previsión Altas]])</f>
        <v>-42.492900720235809</v>
      </c>
      <c r="Y4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1104</v>
      </c>
      <c r="Z4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1799</v>
      </c>
      <c r="AA420" s="2">
        <f>IF(LEN(EvolucionIncidencia[[#This Row],[Nuevos 7 dias]])=0,"",EvolucionIncidencia[[#This Row],[Nuevos 7 dias]]/_xlfn.MAXIFS(EvolucionIncidencia[Nuevos 7 dias],EvolucionIncidencia[Area_Sanitaria],EvolucionIncidencia[[#This Row],[Area_Sanitaria]]))</f>
        <v>0.99819168173598549</v>
      </c>
      <c r="AB420" s="2">
        <f>IF(LEN(EvolucionIncidencia[[#This Row],[Nuevos 14 dias]])=0,"",EvolucionIncidencia[[#This Row],[Nuevos 14 dias]]/_xlfn.MAXIFS(EvolucionIncidencia[Nuevos 14 dias],EvolucionIncidencia[Area_Sanitaria],EvolucionIncidencia[[#This Row],[Area_Sanitaria]]))</f>
        <v>0.90858585858585861</v>
      </c>
    </row>
    <row r="421" spans="1:28" hidden="1" x14ac:dyDescent="0.3">
      <c r="A421" s="1">
        <v>44222</v>
      </c>
      <c r="B421" s="2" t="s">
        <v>9</v>
      </c>
      <c r="C421" s="15">
        <v>12516</v>
      </c>
      <c r="D421" s="15">
        <v>2980</v>
      </c>
      <c r="E421" s="15">
        <v>9200</v>
      </c>
      <c r="F421">
        <v>172</v>
      </c>
      <c r="G421">
        <v>14</v>
      </c>
      <c r="H421" s="15">
        <v>170167</v>
      </c>
      <c r="I421" s="15">
        <v>335</v>
      </c>
      <c r="J421" s="15">
        <v>80324</v>
      </c>
      <c r="K421" s="15">
        <v>218</v>
      </c>
      <c r="L421">
        <v>114</v>
      </c>
      <c r="M421">
        <v>8</v>
      </c>
      <c r="N421">
        <v>2</v>
      </c>
      <c r="O421" s="15">
        <v>1407</v>
      </c>
      <c r="P421" s="15">
        <v>3020</v>
      </c>
      <c r="Q421" s="15">
        <v>4427</v>
      </c>
      <c r="R421">
        <v>1.0397766922540126</v>
      </c>
      <c r="S421" s="15">
        <v>101</v>
      </c>
      <c r="T421" t="s">
        <v>463</v>
      </c>
      <c r="U421" s="15" t="str">
        <f>TEXT(EvolucionIncidencia[[#This Row],[Fecha]],"DDDD")</f>
        <v>martes</v>
      </c>
      <c r="V4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0.74814814814814812</v>
      </c>
      <c r="W4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125.5927299732804</v>
      </c>
      <c r="X421" s="2">
        <f>IF(EvolucionIncidencia[[#This Row],[Fecha]]&lt;=MIN(EvolucionIncidencia[Fecha])+14,"",EvolucionIncidencia[[#This Row],[NuevasAltas]]-EvolucionIncidencia[[#This Row],[Previsión Altas]])</f>
        <v>-24.592729973280399</v>
      </c>
      <c r="Y4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1569</v>
      </c>
      <c r="Z4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2824</v>
      </c>
      <c r="AA421" s="2">
        <f>IF(LEN(EvolucionIncidencia[[#This Row],[Nuevos 7 dias]])=0,"",EvolucionIncidencia[[#This Row],[Nuevos 7 dias]]/_xlfn.MAXIFS(EvolucionIncidencia[Nuevos 7 dias],EvolucionIncidencia[Area_Sanitaria],EvolucionIncidencia[[#This Row],[Area_Sanitaria]]))</f>
        <v>1</v>
      </c>
      <c r="AB421" s="2">
        <f>IF(LEN(EvolucionIncidencia[[#This Row],[Nuevos 14 dias]])=0,"",EvolucionIncidencia[[#This Row],[Nuevos 14 dias]]/_xlfn.MAXIFS(EvolucionIncidencia[Nuevos 14 dias],EvolucionIncidencia[Area_Sanitaria],EvolucionIncidencia[[#This Row],[Area_Sanitaria]]))</f>
        <v>0.99752737548569415</v>
      </c>
    </row>
    <row r="422" spans="1:28" x14ac:dyDescent="0.3">
      <c r="A422" s="1">
        <v>44222</v>
      </c>
      <c r="B422" s="2" t="s">
        <v>6</v>
      </c>
      <c r="C422" s="15">
        <v>9560</v>
      </c>
      <c r="D422" s="15">
        <v>2022</v>
      </c>
      <c r="E422" s="15">
        <v>7440</v>
      </c>
      <c r="F422">
        <v>118</v>
      </c>
      <c r="G422">
        <v>16</v>
      </c>
      <c r="H422" s="15">
        <v>135936</v>
      </c>
      <c r="I422" s="15">
        <v>101</v>
      </c>
      <c r="J422" s="15">
        <v>51388</v>
      </c>
      <c r="K422" s="15">
        <v>165</v>
      </c>
      <c r="L422">
        <v>82</v>
      </c>
      <c r="M422">
        <v>5</v>
      </c>
      <c r="N422">
        <v>1</v>
      </c>
      <c r="O422" s="15">
        <v>1199</v>
      </c>
      <c r="P422" s="15">
        <v>400</v>
      </c>
      <c r="Q422" s="15">
        <v>1599</v>
      </c>
      <c r="R422">
        <v>1.0422680412371135</v>
      </c>
      <c r="S422" s="15">
        <v>83</v>
      </c>
      <c r="T422" t="s">
        <v>463</v>
      </c>
      <c r="U422" s="15" t="str">
        <f>TEXT(EvolucionIncidencia[[#This Row],[Fecha]],"DDDD")</f>
        <v>martes</v>
      </c>
      <c r="V4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1.3387096774193548</v>
      </c>
      <c r="W4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63.334802431259895</v>
      </c>
      <c r="X422" s="2">
        <f>IF(EvolucionIncidencia[[#This Row],[Fecha]]&lt;=MIN(EvolucionIncidencia[Fecha])+14,"",EvolucionIncidencia[[#This Row],[NuevasAltas]]-EvolucionIncidencia[[#This Row],[Previsión Altas]])</f>
        <v>19.665197568740105</v>
      </c>
      <c r="Y4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1246</v>
      </c>
      <c r="Z4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1918</v>
      </c>
      <c r="AA422" s="2">
        <f>IF(LEN(EvolucionIncidencia[[#This Row],[Nuevos 7 dias]])=0,"",EvolucionIncidencia[[#This Row],[Nuevos 7 dias]]/_xlfn.MAXIFS(EvolucionIncidencia[Nuevos 7 dias],EvolucionIncidencia[Area_Sanitaria],EvolucionIncidencia[[#This Row],[Area_Sanitaria]]))</f>
        <v>0.9475285171102662</v>
      </c>
      <c r="AB422" s="2">
        <f>IF(LEN(EvolucionIncidencia[[#This Row],[Nuevos 14 dias]])=0,"",EvolucionIncidencia[[#This Row],[Nuevos 14 dias]]/_xlfn.MAXIFS(EvolucionIncidencia[Nuevos 14 dias],EvolucionIncidencia[Area_Sanitaria],EvolucionIncidencia[[#This Row],[Area_Sanitaria]]))</f>
        <v>0.78897573015220079</v>
      </c>
    </row>
    <row r="423" spans="1:28" hidden="1" x14ac:dyDescent="0.3">
      <c r="A423" s="1">
        <v>44222</v>
      </c>
      <c r="B423" s="2" t="s">
        <v>7</v>
      </c>
      <c r="C423" s="15">
        <v>14935</v>
      </c>
      <c r="D423" s="15">
        <v>3309</v>
      </c>
      <c r="E423" s="15">
        <v>11385</v>
      </c>
      <c r="F423">
        <v>126</v>
      </c>
      <c r="G423">
        <v>36</v>
      </c>
      <c r="H423" s="15">
        <v>236459</v>
      </c>
      <c r="I423" s="15">
        <v>250</v>
      </c>
      <c r="J423" s="15">
        <v>101308</v>
      </c>
      <c r="K423" s="15">
        <v>225</v>
      </c>
      <c r="L423">
        <v>67</v>
      </c>
      <c r="M423">
        <v>2</v>
      </c>
      <c r="N423">
        <v>2</v>
      </c>
      <c r="O423" s="15">
        <v>1987</v>
      </c>
      <c r="P423" s="15">
        <v>635</v>
      </c>
      <c r="Q423" s="15">
        <v>2622</v>
      </c>
      <c r="R423">
        <v>1.0206662553979025</v>
      </c>
      <c r="S423" s="15">
        <v>156</v>
      </c>
      <c r="T423" t="s">
        <v>463</v>
      </c>
      <c r="U423" s="15" t="str">
        <f>TEXT(EvolucionIncidencia[[#This Row],[Fecha]],"DDDD")</f>
        <v>martes</v>
      </c>
      <c r="V4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4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191.55980469369862</v>
      </c>
      <c r="X423" s="2">
        <f>IF(EvolucionIncidencia[[#This Row],[Fecha]]&lt;=MIN(EvolucionIncidencia[Fecha])+14,"",EvolucionIncidencia[[#This Row],[NuevasAltas]]-EvolucionIncidencia[[#This Row],[Previsión Altas]])</f>
        <v>-35.559804693698624</v>
      </c>
      <c r="Y4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1698</v>
      </c>
      <c r="Z4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3063</v>
      </c>
      <c r="AA423" s="2">
        <f>IF(LEN(EvolucionIncidencia[[#This Row],[Nuevos 7 dias]])=0,"",EvolucionIncidencia[[#This Row],[Nuevos 7 dias]]/_xlfn.MAXIFS(EvolucionIncidencia[Nuevos 7 dias],EvolucionIncidencia[Area_Sanitaria],EvolucionIncidencia[[#This Row],[Area_Sanitaria]]))</f>
        <v>1</v>
      </c>
      <c r="AB423" s="2">
        <f>IF(LEN(EvolucionIncidencia[[#This Row],[Nuevos 14 dias]])=0,"",EvolucionIncidencia[[#This Row],[Nuevos 14 dias]]/_xlfn.MAXIFS(EvolucionIncidencia[Nuevos 14 dias],EvolucionIncidencia[Area_Sanitaria],EvolucionIncidencia[[#This Row],[Area_Sanitaria]]))</f>
        <v>0.96260213702074171</v>
      </c>
    </row>
    <row r="424" spans="1:28" hidden="1" x14ac:dyDescent="0.3">
      <c r="A424" s="1">
        <v>44222</v>
      </c>
      <c r="B424" s="2" t="s">
        <v>2</v>
      </c>
      <c r="C424" s="15">
        <v>17500</v>
      </c>
      <c r="D424" s="15">
        <v>3680</v>
      </c>
      <c r="E424" s="15">
        <v>13511</v>
      </c>
      <c r="F424">
        <v>178</v>
      </c>
      <c r="G424">
        <v>23</v>
      </c>
      <c r="H424" s="15">
        <v>290988</v>
      </c>
      <c r="I424" s="15">
        <v>312</v>
      </c>
      <c r="J424" s="15">
        <v>63849</v>
      </c>
      <c r="K424" s="15">
        <v>225</v>
      </c>
      <c r="L424">
        <v>50</v>
      </c>
      <c r="M424">
        <v>19</v>
      </c>
      <c r="N424">
        <v>0</v>
      </c>
      <c r="O424" s="15">
        <v>2582</v>
      </c>
      <c r="P424" s="15">
        <v>442</v>
      </c>
      <c r="Q424" s="15">
        <v>3024</v>
      </c>
      <c r="R424">
        <v>1.0137741046831956</v>
      </c>
      <c r="S424" s="15">
        <v>175</v>
      </c>
      <c r="T424" t="s">
        <v>463</v>
      </c>
      <c r="U424" s="15" t="str">
        <f>TEXT(EvolucionIncidencia[[#This Row],[Fecha]],"DDDD")</f>
        <v>martes</v>
      </c>
      <c r="V4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0.79185520361990946</v>
      </c>
      <c r="W4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221.95439582064574</v>
      </c>
      <c r="X424" s="2">
        <f>IF(EvolucionIncidencia[[#This Row],[Fecha]]&lt;=MIN(EvolucionIncidencia[Fecha])+14,"",EvolucionIncidencia[[#This Row],[NuevasAltas]]-EvolucionIncidencia[[#This Row],[Previsión Altas]])</f>
        <v>-46.954395820645743</v>
      </c>
      <c r="Y4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1915</v>
      </c>
      <c r="Z4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3464</v>
      </c>
      <c r="AA424" s="2">
        <f>IF(LEN(EvolucionIncidencia[[#This Row],[Nuevos 7 dias]])=0,"",EvolucionIncidencia[[#This Row],[Nuevos 7 dias]]/_xlfn.MAXIFS(EvolucionIncidencia[Nuevos 7 dias],EvolucionIncidencia[Area_Sanitaria],EvolucionIncidencia[[#This Row],[Area_Sanitaria]]))</f>
        <v>0.98762248581743162</v>
      </c>
      <c r="AB424" s="2">
        <f>IF(LEN(EvolucionIncidencia[[#This Row],[Nuevos 14 dias]])=0,"",EvolucionIncidencia[[#This Row],[Nuevos 14 dias]]/_xlfn.MAXIFS(EvolucionIncidencia[Nuevos 14 dias],EvolucionIncidencia[Area_Sanitaria],EvolucionIncidencia[[#This Row],[Area_Sanitaria]]))</f>
        <v>0.95348197082301134</v>
      </c>
    </row>
    <row r="425" spans="1:28" hidden="1" x14ac:dyDescent="0.3">
      <c r="A425" s="1">
        <v>44222</v>
      </c>
      <c r="B425" s="2" t="s">
        <v>3</v>
      </c>
      <c r="C425" s="15">
        <v>91178</v>
      </c>
      <c r="D425" s="15">
        <v>21293</v>
      </c>
      <c r="E425" s="15">
        <v>68237</v>
      </c>
      <c r="F425">
        <v>1093</v>
      </c>
      <c r="G425">
        <v>178</v>
      </c>
      <c r="H425" s="15">
        <v>1357642</v>
      </c>
      <c r="I425" s="15">
        <v>1659</v>
      </c>
      <c r="J425" s="15">
        <v>498391</v>
      </c>
      <c r="K425" s="15">
        <v>1586</v>
      </c>
      <c r="L425">
        <v>812</v>
      </c>
      <c r="M425">
        <v>62</v>
      </c>
      <c r="N425">
        <v>8</v>
      </c>
      <c r="O425" s="15">
        <v>12302</v>
      </c>
      <c r="P425" s="15">
        <v>6001</v>
      </c>
      <c r="Q425" s="15">
        <v>18303</v>
      </c>
      <c r="R425">
        <v>1.0396465016356624</v>
      </c>
      <c r="S425" s="15">
        <v>764</v>
      </c>
      <c r="T425" t="s">
        <v>463</v>
      </c>
      <c r="U425" s="15" t="str">
        <f>TEXT(EvolucionIncidencia[[#This Row],[Fecha]],"DDDD")</f>
        <v>martes</v>
      </c>
      <c r="V4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0.72970391595033424</v>
      </c>
      <c r="W4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967.63254448936402</v>
      </c>
      <c r="X425" s="2">
        <f>IF(EvolucionIncidencia[[#This Row],[Fecha]]&lt;=MIN(EvolucionIncidencia[Fecha])+14,"",EvolucionIncidencia[[#This Row],[NuevasAltas]]-EvolucionIncidencia[[#This Row],[Previsión Altas]])</f>
        <v>-203.63254448936402</v>
      </c>
      <c r="Y4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11344</v>
      </c>
      <c r="Z4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19869</v>
      </c>
      <c r="AA425" s="2">
        <f>IF(LEN(EvolucionIncidencia[[#This Row],[Nuevos 7 dias]])=0,"",EvolucionIncidencia[[#This Row],[Nuevos 7 dias]]/_xlfn.MAXIFS(EvolucionIncidencia[Nuevos 7 dias],EvolucionIncidencia[Area_Sanitaria],EvolucionIncidencia[[#This Row],[Area_Sanitaria]]))</f>
        <v>1</v>
      </c>
      <c r="AB425" s="2">
        <f>IF(LEN(EvolucionIncidencia[[#This Row],[Nuevos 14 dias]])=0,"",EvolucionIncidencia[[#This Row],[Nuevos 14 dias]]/_xlfn.MAXIFS(EvolucionIncidencia[Nuevos 14 dias],EvolucionIncidencia[Area_Sanitaria],EvolucionIncidencia[[#This Row],[Area_Sanitaria]]))</f>
        <v>0.95258414037779271</v>
      </c>
    </row>
    <row r="426" spans="1:28" hidden="1" x14ac:dyDescent="0.3">
      <c r="A426" s="1">
        <v>44223</v>
      </c>
      <c r="B426" s="2" t="s">
        <v>4</v>
      </c>
      <c r="C426" s="15">
        <v>21281</v>
      </c>
      <c r="D426" s="15">
        <v>5855</v>
      </c>
      <c r="E426" s="15">
        <v>15043</v>
      </c>
      <c r="F426">
        <v>310</v>
      </c>
      <c r="G426">
        <v>59</v>
      </c>
      <c r="H426" s="15">
        <v>281768</v>
      </c>
      <c r="I426" s="15">
        <v>391</v>
      </c>
      <c r="J426" s="15">
        <v>89637</v>
      </c>
      <c r="K426" s="15">
        <v>409</v>
      </c>
      <c r="L426">
        <v>176</v>
      </c>
      <c r="M426">
        <v>5</v>
      </c>
      <c r="N426">
        <v>11</v>
      </c>
      <c r="O426" s="15">
        <v>3282</v>
      </c>
      <c r="P426" s="15">
        <v>1198</v>
      </c>
      <c r="Q426" s="15">
        <v>4480</v>
      </c>
      <c r="R426">
        <v>1.0309913717203734</v>
      </c>
      <c r="S426" s="15">
        <v>222</v>
      </c>
      <c r="T426" t="s">
        <v>470</v>
      </c>
      <c r="U426" s="15" t="str">
        <f>TEXT(EvolucionIncidencia[[#This Row],[Fecha]],"DDDD")</f>
        <v>miércoles</v>
      </c>
      <c r="V4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0.74496644295302017</v>
      </c>
      <c r="W4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273.12575546156046</v>
      </c>
      <c r="X426" s="2">
        <f>IF(EvolucionIncidencia[[#This Row],[Fecha]]&lt;=MIN(EvolucionIncidencia[Fecha])+14,"",EvolucionIncidencia[[#This Row],[NuevasAltas]]-EvolucionIncidencia[[#This Row],[Previsión Altas]])</f>
        <v>-51.125755461560459</v>
      </c>
      <c r="Y4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2946</v>
      </c>
      <c r="Z4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5367</v>
      </c>
      <c r="AA426" s="2">
        <f>IF(LEN(EvolucionIncidencia[[#This Row],[Nuevos 7 dias]])=0,"",EvolucionIncidencia[[#This Row],[Nuevos 7 dias]]/_xlfn.MAXIFS(EvolucionIncidencia[Nuevos 7 dias],EvolucionIncidencia[Area_Sanitaria],EvolucionIncidencia[[#This Row],[Area_Sanitaria]]))</f>
        <v>0.98892245720040284</v>
      </c>
      <c r="AB426" s="2">
        <f>IF(LEN(EvolucionIncidencia[[#This Row],[Nuevos 14 dias]])=0,"",EvolucionIncidencia[[#This Row],[Nuevos 14 dias]]/_xlfn.MAXIFS(EvolucionIncidencia[Nuevos 14 dias],EvolucionIncidencia[Area_Sanitaria],EvolucionIncidencia[[#This Row],[Area_Sanitaria]]))</f>
        <v>0.98712525289681807</v>
      </c>
    </row>
    <row r="427" spans="1:28" hidden="1" x14ac:dyDescent="0.3">
      <c r="A427" s="1">
        <v>44223</v>
      </c>
      <c r="B427" s="2" t="s">
        <v>5</v>
      </c>
      <c r="C427" s="15">
        <v>6230</v>
      </c>
      <c r="D427" s="15">
        <v>1706</v>
      </c>
      <c r="E427" s="15">
        <v>4402</v>
      </c>
      <c r="F427">
        <v>135</v>
      </c>
      <c r="G427">
        <v>30</v>
      </c>
      <c r="H427" s="15">
        <v>93776</v>
      </c>
      <c r="I427" s="15">
        <v>120</v>
      </c>
      <c r="J427" s="15">
        <v>32380</v>
      </c>
      <c r="K427" s="15">
        <v>115</v>
      </c>
      <c r="L427">
        <v>37</v>
      </c>
      <c r="M427">
        <v>-1</v>
      </c>
      <c r="N427">
        <v>4</v>
      </c>
      <c r="O427" s="15">
        <v>854</v>
      </c>
      <c r="P427" s="15">
        <v>164</v>
      </c>
      <c r="Q427" s="15">
        <v>1018</v>
      </c>
      <c r="R427">
        <v>1.0221689634511684</v>
      </c>
      <c r="S427" s="15">
        <v>78</v>
      </c>
      <c r="T427" t="s">
        <v>470</v>
      </c>
      <c r="U427" s="15" t="str">
        <f>TEXT(EvolucionIncidencia[[#This Row],[Fecha]],"DDDD")</f>
        <v>miércoles</v>
      </c>
      <c r="V4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1.1470588235294117</v>
      </c>
      <c r="W4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64.898476595865162</v>
      </c>
      <c r="X427" s="2">
        <f>IF(EvolucionIncidencia[[#This Row],[Fecha]]&lt;=MIN(EvolucionIncidencia[Fecha])+14,"",EvolucionIncidencia[[#This Row],[NuevasAltas]]-EvolucionIncidencia[[#This Row],[Previsión Altas]])</f>
        <v>13.101523404134838</v>
      </c>
      <c r="Y4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807</v>
      </c>
      <c r="Z4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1592</v>
      </c>
      <c r="AA427" s="2">
        <f>IF(LEN(EvolucionIncidencia[[#This Row],[Nuevos 7 dias]])=0,"",EvolucionIncidencia[[#This Row],[Nuevos 7 dias]]/_xlfn.MAXIFS(EvolucionIncidencia[Nuevos 7 dias],EvolucionIncidencia[Area_Sanitaria],EvolucionIncidencia[[#This Row],[Area_Sanitaria]]))</f>
        <v>0.96646706586826348</v>
      </c>
      <c r="AB427" s="2">
        <f>IF(LEN(EvolucionIncidencia[[#This Row],[Nuevos 14 dias]])=0,"",EvolucionIncidencia[[#This Row],[Nuevos 14 dias]]/_xlfn.MAXIFS(EvolucionIncidencia[Nuevos 14 dias],EvolucionIncidencia[Area_Sanitaria],EvolucionIncidencia[[#This Row],[Area_Sanitaria]]))</f>
        <v>0.97132397803538739</v>
      </c>
    </row>
    <row r="428" spans="1:28" hidden="1" x14ac:dyDescent="0.3">
      <c r="A428" s="1">
        <v>44223</v>
      </c>
      <c r="B428" s="2" t="s">
        <v>8</v>
      </c>
      <c r="C428" s="15">
        <v>9814</v>
      </c>
      <c r="D428" s="15">
        <v>1978</v>
      </c>
      <c r="E428" s="15">
        <v>7665</v>
      </c>
      <c r="F428">
        <v>57</v>
      </c>
      <c r="G428">
        <v>15</v>
      </c>
      <c r="H428" s="15">
        <v>154202</v>
      </c>
      <c r="I428" s="15">
        <v>163</v>
      </c>
      <c r="J428" s="15">
        <v>81248</v>
      </c>
      <c r="K428" s="15">
        <v>134</v>
      </c>
      <c r="L428">
        <v>24</v>
      </c>
      <c r="M428">
        <v>-1</v>
      </c>
      <c r="N428">
        <v>0</v>
      </c>
      <c r="O428" s="15">
        <v>1518</v>
      </c>
      <c r="P428" s="15">
        <v>381</v>
      </c>
      <c r="Q428" s="15">
        <v>1899</v>
      </c>
      <c r="R428">
        <v>1.0122824974411464</v>
      </c>
      <c r="S428" s="15">
        <v>109</v>
      </c>
      <c r="T428" t="s">
        <v>470</v>
      </c>
      <c r="U428" s="15" t="str">
        <f>TEXT(EvolucionIncidencia[[#This Row],[Fecha]],"DDDD")</f>
        <v>miércoles</v>
      </c>
      <c r="V4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1.101010101010101</v>
      </c>
      <c r="W4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93.29258269110359</v>
      </c>
      <c r="X428" s="2">
        <f>IF(EvolucionIncidencia[[#This Row],[Fecha]]&lt;=MIN(EvolucionIncidencia[Fecha])+14,"",EvolucionIncidencia[[#This Row],[NuevasAltas]]-EvolucionIncidencia[[#This Row],[Previsión Altas]])</f>
        <v>15.70741730889641</v>
      </c>
      <c r="Y4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1106</v>
      </c>
      <c r="Z4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1834</v>
      </c>
      <c r="AA428" s="2">
        <f>IF(LEN(EvolucionIncidencia[[#This Row],[Nuevos 7 dias]])=0,"",EvolucionIncidencia[[#This Row],[Nuevos 7 dias]]/_xlfn.MAXIFS(EvolucionIncidencia[Nuevos 7 dias],EvolucionIncidencia[Area_Sanitaria],EvolucionIncidencia[[#This Row],[Area_Sanitaria]]))</f>
        <v>1</v>
      </c>
      <c r="AB428" s="2">
        <f>IF(LEN(EvolucionIncidencia[[#This Row],[Nuevos 14 dias]])=0,"",EvolucionIncidencia[[#This Row],[Nuevos 14 dias]]/_xlfn.MAXIFS(EvolucionIncidencia[Nuevos 14 dias],EvolucionIncidencia[Area_Sanitaria],EvolucionIncidencia[[#This Row],[Area_Sanitaria]]))</f>
        <v>0.92626262626262623</v>
      </c>
    </row>
    <row r="429" spans="1:28" hidden="1" x14ac:dyDescent="0.3">
      <c r="A429" s="1">
        <v>44223</v>
      </c>
      <c r="B429" s="2" t="s">
        <v>9</v>
      </c>
      <c r="C429" s="15">
        <v>12687</v>
      </c>
      <c r="D429" s="15">
        <v>2968</v>
      </c>
      <c r="E429" s="15">
        <v>9378</v>
      </c>
      <c r="F429">
        <v>177</v>
      </c>
      <c r="G429">
        <v>14</v>
      </c>
      <c r="H429" s="15">
        <v>171347</v>
      </c>
      <c r="I429" s="15">
        <v>340</v>
      </c>
      <c r="J429" s="15">
        <v>81041</v>
      </c>
      <c r="K429" s="15">
        <v>171</v>
      </c>
      <c r="L429">
        <v>-12</v>
      </c>
      <c r="M429">
        <v>5</v>
      </c>
      <c r="N429">
        <v>0</v>
      </c>
      <c r="O429" s="15">
        <v>1180</v>
      </c>
      <c r="P429" s="15">
        <v>717</v>
      </c>
      <c r="Q429" s="15">
        <v>1897</v>
      </c>
      <c r="R429">
        <v>0.99597315436241607</v>
      </c>
      <c r="S429" s="15">
        <v>178</v>
      </c>
      <c r="T429" t="s">
        <v>470</v>
      </c>
      <c r="U429" s="15" t="str">
        <f>TEXT(EvolucionIncidencia[[#This Row],[Fecha]],"DDDD")</f>
        <v>miércoles</v>
      </c>
      <c r="V4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1.0853658536585367</v>
      </c>
      <c r="W4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151.05604678667464</v>
      </c>
      <c r="X429" s="2">
        <f>IF(EvolucionIncidencia[[#This Row],[Fecha]]&lt;=MIN(EvolucionIncidencia[Fecha])+14,"",EvolucionIncidencia[[#This Row],[NuevasAltas]]-EvolucionIncidencia[[#This Row],[Previsión Altas]])</f>
        <v>26.943953213325358</v>
      </c>
      <c r="Y4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1498</v>
      </c>
      <c r="Z4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2831</v>
      </c>
      <c r="AA429" s="2">
        <f>IF(LEN(EvolucionIncidencia[[#This Row],[Nuevos 7 dias]])=0,"",EvolucionIncidencia[[#This Row],[Nuevos 7 dias]]/_xlfn.MAXIFS(EvolucionIncidencia[Nuevos 7 dias],EvolucionIncidencia[Area_Sanitaria],EvolucionIncidencia[[#This Row],[Area_Sanitaria]]))</f>
        <v>0.95474824729126828</v>
      </c>
      <c r="AB429" s="2">
        <f>IF(LEN(EvolucionIncidencia[[#This Row],[Nuevos 14 dias]])=0,"",EvolucionIncidencia[[#This Row],[Nuevos 14 dias]]/_xlfn.MAXIFS(EvolucionIncidencia[Nuevos 14 dias],EvolucionIncidencia[Area_Sanitaria],EvolucionIncidencia[[#This Row],[Area_Sanitaria]]))</f>
        <v>1</v>
      </c>
    </row>
    <row r="430" spans="1:28" x14ac:dyDescent="0.3">
      <c r="A430" s="1">
        <v>44223</v>
      </c>
      <c r="B430" s="2" t="s">
        <v>6</v>
      </c>
      <c r="C430" s="15">
        <v>9747</v>
      </c>
      <c r="D430" s="15">
        <v>2154</v>
      </c>
      <c r="E430" s="15">
        <v>7491</v>
      </c>
      <c r="F430">
        <v>116</v>
      </c>
      <c r="G430">
        <v>17</v>
      </c>
      <c r="H430" s="15">
        <v>137290</v>
      </c>
      <c r="I430" s="15">
        <v>105</v>
      </c>
      <c r="J430" s="15">
        <v>51916</v>
      </c>
      <c r="K430" s="15">
        <v>187</v>
      </c>
      <c r="L430">
        <v>132</v>
      </c>
      <c r="M430">
        <v>-2</v>
      </c>
      <c r="N430">
        <v>1</v>
      </c>
      <c r="O430" s="15">
        <v>1354</v>
      </c>
      <c r="P430" s="15">
        <v>528</v>
      </c>
      <c r="Q430" s="15">
        <v>1882</v>
      </c>
      <c r="R430">
        <v>1.0652818991097923</v>
      </c>
      <c r="S430" s="15">
        <v>51</v>
      </c>
      <c r="T430" t="s">
        <v>470</v>
      </c>
      <c r="U430" s="15" t="str">
        <f>TEXT(EvolucionIncidencia[[#This Row],[Fecha]],"DDDD")</f>
        <v>miércoles</v>
      </c>
      <c r="V4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4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90.490196272923257</v>
      </c>
      <c r="X430" s="2">
        <f>IF(EvolucionIncidencia[[#This Row],[Fecha]]&lt;=MIN(EvolucionIncidencia[Fecha])+14,"",EvolucionIncidencia[[#This Row],[NuevasAltas]]-EvolucionIncidencia[[#This Row],[Previsión Altas]])</f>
        <v>-39.490196272923257</v>
      </c>
      <c r="Y4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1219</v>
      </c>
      <c r="Z4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2020</v>
      </c>
      <c r="AA430" s="2">
        <f>IF(LEN(EvolucionIncidencia[[#This Row],[Nuevos 7 dias]])=0,"",EvolucionIncidencia[[#This Row],[Nuevos 7 dias]]/_xlfn.MAXIFS(EvolucionIncidencia[Nuevos 7 dias],EvolucionIncidencia[Area_Sanitaria],EvolucionIncidencia[[#This Row],[Area_Sanitaria]]))</f>
        <v>0.92699619771863118</v>
      </c>
      <c r="AB430" s="2">
        <f>IF(LEN(EvolucionIncidencia[[#This Row],[Nuevos 14 dias]])=0,"",EvolucionIncidencia[[#This Row],[Nuevos 14 dias]]/_xlfn.MAXIFS(EvolucionIncidencia[Nuevos 14 dias],EvolucionIncidencia[Area_Sanitaria],EvolucionIncidencia[[#This Row],[Area_Sanitaria]]))</f>
        <v>0.83093377211024266</v>
      </c>
    </row>
    <row r="431" spans="1:28" hidden="1" x14ac:dyDescent="0.3">
      <c r="A431" s="1">
        <v>44223</v>
      </c>
      <c r="B431" s="2" t="s">
        <v>7</v>
      </c>
      <c r="C431" s="15">
        <v>15132</v>
      </c>
      <c r="D431" s="15">
        <v>3271</v>
      </c>
      <c r="E431" s="15">
        <v>11616</v>
      </c>
      <c r="F431">
        <v>119</v>
      </c>
      <c r="G431">
        <v>35</v>
      </c>
      <c r="H431" s="15">
        <v>238642</v>
      </c>
      <c r="I431" s="15">
        <v>253</v>
      </c>
      <c r="J431" s="15">
        <v>102112</v>
      </c>
      <c r="K431" s="15">
        <v>197</v>
      </c>
      <c r="L431">
        <v>-38</v>
      </c>
      <c r="M431">
        <v>-7</v>
      </c>
      <c r="N431">
        <v>-1</v>
      </c>
      <c r="O431" s="15">
        <v>2183</v>
      </c>
      <c r="P431" s="15">
        <v>804</v>
      </c>
      <c r="Q431" s="15">
        <v>2987</v>
      </c>
      <c r="R431">
        <v>0.98851616802659414</v>
      </c>
      <c r="S431" s="15">
        <v>231</v>
      </c>
      <c r="T431" t="s">
        <v>470</v>
      </c>
      <c r="U431" s="15" t="str">
        <f>TEXT(EvolucionIncidencia[[#This Row],[Fecha]],"DDDD")</f>
        <v>miércoles</v>
      </c>
      <c r="V4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224.98832807771018</v>
      </c>
      <c r="X431" s="2">
        <f>IF(EvolucionIncidencia[[#This Row],[Fecha]]&lt;=MIN(EvolucionIncidencia[Fecha])+14,"",EvolucionIncidencia[[#This Row],[NuevasAltas]]-EvolucionIncidencia[[#This Row],[Previsión Altas]])</f>
        <v>6.0116719222898212</v>
      </c>
      <c r="Y4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1662</v>
      </c>
      <c r="Z4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3029</v>
      </c>
      <c r="AA431" s="2">
        <f>IF(LEN(EvolucionIncidencia[[#This Row],[Nuevos 7 dias]])=0,"",EvolucionIncidencia[[#This Row],[Nuevos 7 dias]]/_xlfn.MAXIFS(EvolucionIncidencia[Nuevos 7 dias],EvolucionIncidencia[Area_Sanitaria],EvolucionIncidencia[[#This Row],[Area_Sanitaria]]))</f>
        <v>0.97879858657243812</v>
      </c>
      <c r="AB431" s="2">
        <f>IF(LEN(EvolucionIncidencia[[#This Row],[Nuevos 14 dias]])=0,"",EvolucionIncidencia[[#This Row],[Nuevos 14 dias]]/_xlfn.MAXIFS(EvolucionIncidencia[Nuevos 14 dias],EvolucionIncidencia[Area_Sanitaria],EvolucionIncidencia[[#This Row],[Area_Sanitaria]]))</f>
        <v>0.9519170333123822</v>
      </c>
    </row>
    <row r="432" spans="1:28" hidden="1" x14ac:dyDescent="0.3">
      <c r="A432" s="1">
        <v>44223</v>
      </c>
      <c r="B432" s="2" t="s">
        <v>2</v>
      </c>
      <c r="C432" s="15">
        <v>17755</v>
      </c>
      <c r="D432" s="15">
        <v>3681</v>
      </c>
      <c r="E432" s="15">
        <v>13761</v>
      </c>
      <c r="F432">
        <v>172</v>
      </c>
      <c r="G432">
        <v>23</v>
      </c>
      <c r="H432" s="15">
        <v>293411</v>
      </c>
      <c r="I432" s="15">
        <v>316</v>
      </c>
      <c r="J432" s="15">
        <v>64129</v>
      </c>
      <c r="K432" s="15">
        <v>255</v>
      </c>
      <c r="L432">
        <v>1</v>
      </c>
      <c r="M432">
        <v>-6</v>
      </c>
      <c r="N432">
        <v>0</v>
      </c>
      <c r="O432" s="15">
        <v>2423</v>
      </c>
      <c r="P432" s="15">
        <v>280</v>
      </c>
      <c r="Q432" s="15">
        <v>2703</v>
      </c>
      <c r="R432">
        <v>1.0002717391304348</v>
      </c>
      <c r="S432" s="15">
        <v>250</v>
      </c>
      <c r="T432" t="s">
        <v>470</v>
      </c>
      <c r="U432" s="15" t="str">
        <f>TEXT(EvolucionIncidencia[[#This Row],[Fecha]],"DDDD")</f>
        <v>miércoles</v>
      </c>
      <c r="V4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1.0245901639344261</v>
      </c>
      <c r="W4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240.49653182180322</v>
      </c>
      <c r="X432" s="2">
        <f>IF(EvolucionIncidencia[[#This Row],[Fecha]]&lt;=MIN(EvolucionIncidencia[Fecha])+14,"",EvolucionIncidencia[[#This Row],[NuevasAltas]]-EvolucionIncidencia[[#This Row],[Previsión Altas]])</f>
        <v>9.5034681781967834</v>
      </c>
      <c r="Y4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1847</v>
      </c>
      <c r="Z4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3475</v>
      </c>
      <c r="AA432" s="2">
        <f>IF(LEN(EvolucionIncidencia[[#This Row],[Nuevos 7 dias]])=0,"",EvolucionIncidencia[[#This Row],[Nuevos 7 dias]]/_xlfn.MAXIFS(EvolucionIncidencia[Nuevos 7 dias],EvolucionIncidencia[Area_Sanitaria],EvolucionIncidencia[[#This Row],[Area_Sanitaria]]))</f>
        <v>0.95255286230015468</v>
      </c>
      <c r="AB432" s="2">
        <f>IF(LEN(EvolucionIncidencia[[#This Row],[Nuevos 14 dias]])=0,"",EvolucionIncidencia[[#This Row],[Nuevos 14 dias]]/_xlfn.MAXIFS(EvolucionIncidencia[Nuevos 14 dias],EvolucionIncidencia[Area_Sanitaria],EvolucionIncidencia[[#This Row],[Area_Sanitaria]]))</f>
        <v>0.95650977153867323</v>
      </c>
    </row>
    <row r="433" spans="1:28" hidden="1" x14ac:dyDescent="0.3">
      <c r="A433" s="1">
        <v>44223</v>
      </c>
      <c r="B433" s="2" t="s">
        <v>3</v>
      </c>
      <c r="C433" s="15">
        <v>92646</v>
      </c>
      <c r="D433" s="15">
        <v>21613</v>
      </c>
      <c r="E433" s="15">
        <v>69356</v>
      </c>
      <c r="F433">
        <v>1086</v>
      </c>
      <c r="G433">
        <v>193</v>
      </c>
      <c r="H433" s="15">
        <v>1370436</v>
      </c>
      <c r="I433" s="15">
        <v>1688</v>
      </c>
      <c r="J433" s="15">
        <v>502463</v>
      </c>
      <c r="K433" s="15">
        <v>1468</v>
      </c>
      <c r="L433">
        <v>320</v>
      </c>
      <c r="M433">
        <v>-7</v>
      </c>
      <c r="N433">
        <v>15</v>
      </c>
      <c r="O433" s="15">
        <v>12794</v>
      </c>
      <c r="P433" s="15">
        <v>4072</v>
      </c>
      <c r="Q433" s="15">
        <v>16866</v>
      </c>
      <c r="R433">
        <v>1.015028413093505</v>
      </c>
      <c r="S433" s="15">
        <v>1119</v>
      </c>
      <c r="T433" t="s">
        <v>470</v>
      </c>
      <c r="U433" s="15" t="str">
        <f>TEXT(EvolucionIncidencia[[#This Row],[Fecha]],"DDDD")</f>
        <v>miércoles</v>
      </c>
      <c r="V4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0.94112699747687134</v>
      </c>
      <c r="W4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1096.6181517688501</v>
      </c>
      <c r="X433" s="2">
        <f>IF(EvolucionIncidencia[[#This Row],[Fecha]]&lt;=MIN(EvolucionIncidencia[Fecha])+14,"",EvolucionIncidencia[[#This Row],[NuevasAltas]]-EvolucionIncidencia[[#This Row],[Previsión Altas]])</f>
        <v>22.381848231149888</v>
      </c>
      <c r="Y4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11085</v>
      </c>
      <c r="Z4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20148</v>
      </c>
      <c r="AA433" s="2">
        <f>IF(LEN(EvolucionIncidencia[[#This Row],[Nuevos 7 dias]])=0,"",EvolucionIncidencia[[#This Row],[Nuevos 7 dias]]/_xlfn.MAXIFS(EvolucionIncidencia[Nuevos 7 dias],EvolucionIncidencia[Area_Sanitaria],EvolucionIncidencia[[#This Row],[Area_Sanitaria]]))</f>
        <v>0.97716854724964741</v>
      </c>
      <c r="AB433" s="2">
        <f>IF(LEN(EvolucionIncidencia[[#This Row],[Nuevos 14 dias]])=0,"",EvolucionIncidencia[[#This Row],[Nuevos 14 dias]]/_xlfn.MAXIFS(EvolucionIncidencia[Nuevos 14 dias],EvolucionIncidencia[Area_Sanitaria],EvolucionIncidencia[[#This Row],[Area_Sanitaria]]))</f>
        <v>0.96596030300124658</v>
      </c>
    </row>
    <row r="434" spans="1:28" hidden="1" x14ac:dyDescent="0.3">
      <c r="A434" s="1">
        <v>44224</v>
      </c>
      <c r="B434" s="2" t="s">
        <v>4</v>
      </c>
      <c r="C434" s="15">
        <v>21646</v>
      </c>
      <c r="D434" s="15">
        <v>5912</v>
      </c>
      <c r="E434" s="15">
        <v>15343</v>
      </c>
      <c r="F434">
        <v>321</v>
      </c>
      <c r="G434">
        <v>69</v>
      </c>
      <c r="H434" s="15">
        <v>284869</v>
      </c>
      <c r="I434" s="15">
        <v>400</v>
      </c>
      <c r="J434" s="15">
        <v>91501</v>
      </c>
      <c r="K434" s="15">
        <v>365</v>
      </c>
      <c r="L434">
        <v>57</v>
      </c>
      <c r="M434">
        <v>11</v>
      </c>
      <c r="N434">
        <v>10</v>
      </c>
      <c r="O434" s="15">
        <v>3101</v>
      </c>
      <c r="P434" s="15">
        <v>1864</v>
      </c>
      <c r="Q434" s="15">
        <v>4965</v>
      </c>
      <c r="R434">
        <v>1.0097352690008539</v>
      </c>
      <c r="S434" s="15">
        <v>300</v>
      </c>
      <c r="T434" t="s">
        <v>472</v>
      </c>
      <c r="U434" s="15" t="str">
        <f>TEXT(EvolucionIncidencia[[#This Row],[Fecha]],"DDDD")</f>
        <v>jueves</v>
      </c>
      <c r="V4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1.0169491525423728</v>
      </c>
      <c r="W4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272.23572141844136</v>
      </c>
      <c r="X434" s="2">
        <f>IF(EvolucionIncidencia[[#This Row],[Fecha]]&lt;=MIN(EvolucionIncidencia[Fecha])+14,"",EvolucionIncidencia[[#This Row],[NuevasAltas]]-EvolucionIncidencia[[#This Row],[Previsión Altas]])</f>
        <v>27.764278581558642</v>
      </c>
      <c r="Y4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2865</v>
      </c>
      <c r="Z4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5437</v>
      </c>
      <c r="AA434" s="2">
        <f>IF(LEN(EvolucionIncidencia[[#This Row],[Nuevos 7 dias]])=0,"",EvolucionIncidencia[[#This Row],[Nuevos 7 dias]]/_xlfn.MAXIFS(EvolucionIncidencia[Nuevos 7 dias],EvolucionIncidencia[Area_Sanitaria],EvolucionIncidencia[[#This Row],[Area_Sanitaria]]))</f>
        <v>0.96173212487411885</v>
      </c>
      <c r="AB434" s="2">
        <f>IF(LEN(EvolucionIncidencia[[#This Row],[Nuevos 14 dias]])=0,"",EvolucionIncidencia[[#This Row],[Nuevos 14 dias]]/_xlfn.MAXIFS(EvolucionIncidencia[Nuevos 14 dias],EvolucionIncidencia[Area_Sanitaria],EvolucionIncidencia[[#This Row],[Area_Sanitaria]]))</f>
        <v>1</v>
      </c>
    </row>
    <row r="435" spans="1:28" hidden="1" x14ac:dyDescent="0.3">
      <c r="A435" s="1">
        <v>44224</v>
      </c>
      <c r="B435" s="2" t="s">
        <v>5</v>
      </c>
      <c r="C435" s="15">
        <v>6375</v>
      </c>
      <c r="D435" s="15">
        <v>1796</v>
      </c>
      <c r="E435" s="15">
        <v>4454</v>
      </c>
      <c r="F435">
        <v>150</v>
      </c>
      <c r="G435">
        <v>25</v>
      </c>
      <c r="H435" s="15">
        <v>94932</v>
      </c>
      <c r="I435" s="15">
        <v>123</v>
      </c>
      <c r="J435" s="15">
        <v>32565</v>
      </c>
      <c r="K435" s="15">
        <v>145</v>
      </c>
      <c r="L435">
        <v>90</v>
      </c>
      <c r="M435">
        <v>15</v>
      </c>
      <c r="N435">
        <v>-5</v>
      </c>
      <c r="O435" s="15">
        <v>1156</v>
      </c>
      <c r="P435" s="15">
        <v>185</v>
      </c>
      <c r="Q435" s="15">
        <v>1341</v>
      </c>
      <c r="R435">
        <v>1.0527549824150058</v>
      </c>
      <c r="S435" s="15">
        <v>52</v>
      </c>
      <c r="T435" t="s">
        <v>472</v>
      </c>
      <c r="U435" s="15" t="str">
        <f>TEXT(EvolucionIncidencia[[#This Row],[Fecha]],"DDDD")</f>
        <v>jueves</v>
      </c>
      <c r="V4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0.46017699115044247</v>
      </c>
      <c r="W4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111.38713932912327</v>
      </c>
      <c r="X435" s="2">
        <f>IF(EvolucionIncidencia[[#This Row],[Fecha]]&lt;=MIN(EvolucionIncidencia[Fecha])+14,"",EvolucionIncidencia[[#This Row],[NuevasAltas]]-EvolucionIncidencia[[#This Row],[Previsión Altas]])</f>
        <v>-59.387139329123272</v>
      </c>
      <c r="Y4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823</v>
      </c>
      <c r="Z4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1624</v>
      </c>
      <c r="AA435" s="2">
        <f>IF(LEN(EvolucionIncidencia[[#This Row],[Nuevos 7 dias]])=0,"",EvolucionIncidencia[[#This Row],[Nuevos 7 dias]]/_xlfn.MAXIFS(EvolucionIncidencia[Nuevos 7 dias],EvolucionIncidencia[Area_Sanitaria],EvolucionIncidencia[[#This Row],[Area_Sanitaria]]))</f>
        <v>0.98562874251497001</v>
      </c>
      <c r="AB435" s="2">
        <f>IF(LEN(EvolucionIncidencia[[#This Row],[Nuevos 14 dias]])=0,"",EvolucionIncidencia[[#This Row],[Nuevos 14 dias]]/_xlfn.MAXIFS(EvolucionIncidencia[Nuevos 14 dias],EvolucionIncidencia[Area_Sanitaria],EvolucionIncidencia[[#This Row],[Area_Sanitaria]]))</f>
        <v>0.9908480780964003</v>
      </c>
    </row>
    <row r="436" spans="1:28" hidden="1" x14ac:dyDescent="0.3">
      <c r="A436" s="1">
        <v>44224</v>
      </c>
      <c r="B436" s="2" t="s">
        <v>8</v>
      </c>
      <c r="C436" s="15">
        <v>9937</v>
      </c>
      <c r="D436" s="15">
        <v>2009</v>
      </c>
      <c r="E436" s="15">
        <v>7752</v>
      </c>
      <c r="F436">
        <v>56</v>
      </c>
      <c r="G436">
        <v>16</v>
      </c>
      <c r="H436" s="15">
        <v>155706</v>
      </c>
      <c r="I436" s="15">
        <v>168</v>
      </c>
      <c r="J436" s="15">
        <v>81543</v>
      </c>
      <c r="K436" s="15">
        <v>123</v>
      </c>
      <c r="L436">
        <v>31</v>
      </c>
      <c r="M436">
        <v>-1</v>
      </c>
      <c r="N436">
        <v>1</v>
      </c>
      <c r="O436" s="15">
        <v>1504</v>
      </c>
      <c r="P436" s="15">
        <v>295</v>
      </c>
      <c r="Q436" s="15">
        <v>1799</v>
      </c>
      <c r="R436">
        <v>1.0156723963599597</v>
      </c>
      <c r="S436" s="15">
        <v>87</v>
      </c>
      <c r="T436" t="s">
        <v>472</v>
      </c>
      <c r="U436" s="15" t="str">
        <f>TEXT(EvolucionIncidencia[[#This Row],[Fecha]],"DDDD")</f>
        <v>jueves</v>
      </c>
      <c r="V4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1.0235294117647058</v>
      </c>
      <c r="W4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81.456408056045149</v>
      </c>
      <c r="X436" s="2">
        <f>IF(EvolucionIncidencia[[#This Row],[Fecha]]&lt;=MIN(EvolucionIncidencia[Fecha])+14,"",EvolucionIncidencia[[#This Row],[NuevasAltas]]-EvolucionIncidencia[[#This Row],[Previsión Altas]])</f>
        <v>5.5435919439548513</v>
      </c>
      <c r="Y4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1066</v>
      </c>
      <c r="Z4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1872</v>
      </c>
      <c r="AA436" s="2">
        <f>IF(LEN(EvolucionIncidencia[[#This Row],[Nuevos 7 dias]])=0,"",EvolucionIncidencia[[#This Row],[Nuevos 7 dias]]/_xlfn.MAXIFS(EvolucionIncidencia[Nuevos 7 dias],EvolucionIncidencia[Area_Sanitaria],EvolucionIncidencia[[#This Row],[Area_Sanitaria]]))</f>
        <v>0.96383363471971062</v>
      </c>
      <c r="AB436" s="2">
        <f>IF(LEN(EvolucionIncidencia[[#This Row],[Nuevos 14 dias]])=0,"",EvolucionIncidencia[[#This Row],[Nuevos 14 dias]]/_xlfn.MAXIFS(EvolucionIncidencia[Nuevos 14 dias],EvolucionIncidencia[Area_Sanitaria],EvolucionIncidencia[[#This Row],[Area_Sanitaria]]))</f>
        <v>0.94545454545454544</v>
      </c>
    </row>
    <row r="437" spans="1:28" hidden="1" x14ac:dyDescent="0.3">
      <c r="A437" s="1">
        <v>44224</v>
      </c>
      <c r="B437" s="2" t="s">
        <v>9</v>
      </c>
      <c r="C437" s="15">
        <v>12877</v>
      </c>
      <c r="D437" s="15">
        <v>2989</v>
      </c>
      <c r="E437" s="15">
        <v>9540</v>
      </c>
      <c r="F437">
        <v>178</v>
      </c>
      <c r="G437">
        <v>12</v>
      </c>
      <c r="H437" s="15">
        <v>173062</v>
      </c>
      <c r="I437" s="15">
        <v>347</v>
      </c>
      <c r="J437" s="15">
        <v>82186</v>
      </c>
      <c r="K437" s="15">
        <v>190</v>
      </c>
      <c r="L437">
        <v>21</v>
      </c>
      <c r="M437">
        <v>1</v>
      </c>
      <c r="N437">
        <v>-2</v>
      </c>
      <c r="O437" s="15">
        <v>1715</v>
      </c>
      <c r="P437" s="15">
        <v>1145</v>
      </c>
      <c r="Q437" s="15">
        <v>2860</v>
      </c>
      <c r="R437">
        <v>1.0070754716981132</v>
      </c>
      <c r="S437" s="15">
        <v>162</v>
      </c>
      <c r="T437" t="s">
        <v>472</v>
      </c>
      <c r="U437" s="15" t="str">
        <f>TEXT(EvolucionIncidencia[[#This Row],[Fecha]],"DDDD")</f>
        <v>jueves</v>
      </c>
      <c r="V4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0.83505154639175261</v>
      </c>
      <c r="W4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184.28939675812993</v>
      </c>
      <c r="X437" s="2">
        <f>IF(EvolucionIncidencia[[#This Row],[Fecha]]&lt;=MIN(EvolucionIncidencia[Fecha])+14,"",EvolucionIncidencia[[#This Row],[NuevasAltas]]-EvolucionIncidencia[[#This Row],[Previsión Altas]])</f>
        <v>-22.289396758129925</v>
      </c>
      <c r="Y4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1435</v>
      </c>
      <c r="Z4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2827</v>
      </c>
      <c r="AA437" s="2">
        <f>IF(LEN(EvolucionIncidencia[[#This Row],[Nuevos 7 dias]])=0,"",EvolucionIncidencia[[#This Row],[Nuevos 7 dias]]/_xlfn.MAXIFS(EvolucionIncidencia[Nuevos 7 dias],EvolucionIncidencia[Area_Sanitaria],EvolucionIncidencia[[#This Row],[Area_Sanitaria]]))</f>
        <v>0.9145952836201402</v>
      </c>
      <c r="AB437" s="2">
        <f>IF(LEN(EvolucionIncidencia[[#This Row],[Nuevos 14 dias]])=0,"",EvolucionIncidencia[[#This Row],[Nuevos 14 dias]]/_xlfn.MAXIFS(EvolucionIncidencia[Nuevos 14 dias],EvolucionIncidencia[Area_Sanitaria],EvolucionIncidencia[[#This Row],[Area_Sanitaria]]))</f>
        <v>0.99858707170611094</v>
      </c>
    </row>
    <row r="438" spans="1:28" x14ac:dyDescent="0.3">
      <c r="A438" s="1">
        <v>44224</v>
      </c>
      <c r="B438" s="2" t="s">
        <v>6</v>
      </c>
      <c r="C438" s="15">
        <v>9917</v>
      </c>
      <c r="D438" s="15">
        <v>2246</v>
      </c>
      <c r="E438" s="15">
        <v>7569</v>
      </c>
      <c r="F438">
        <v>119</v>
      </c>
      <c r="G438">
        <v>25</v>
      </c>
      <c r="H438" s="15">
        <v>138517</v>
      </c>
      <c r="I438" s="15">
        <v>105</v>
      </c>
      <c r="J438" s="15">
        <v>52471</v>
      </c>
      <c r="K438" s="15">
        <v>170</v>
      </c>
      <c r="L438">
        <v>92</v>
      </c>
      <c r="M438">
        <v>3</v>
      </c>
      <c r="N438">
        <v>8</v>
      </c>
      <c r="O438" s="15">
        <v>1227</v>
      </c>
      <c r="P438" s="15">
        <v>555</v>
      </c>
      <c r="Q438" s="15">
        <v>1782</v>
      </c>
      <c r="R438">
        <v>1.042711234911792</v>
      </c>
      <c r="S438" s="15">
        <v>78</v>
      </c>
      <c r="T438" t="s">
        <v>472</v>
      </c>
      <c r="U438" s="15" t="str">
        <f>TEXT(EvolucionIncidencia[[#This Row],[Fecha]],"DDDD")</f>
        <v>jueves</v>
      </c>
      <c r="V4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0.96296296296296291</v>
      </c>
      <c r="W4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80.253262666802485</v>
      </c>
      <c r="X438" s="2">
        <f>IF(EvolucionIncidencia[[#This Row],[Fecha]]&lt;=MIN(EvolucionIncidencia[Fecha])+14,"",EvolucionIncidencia[[#This Row],[NuevasAltas]]-EvolucionIncidencia[[#This Row],[Previsión Altas]])</f>
        <v>-2.2532626668024847</v>
      </c>
      <c r="Y4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1227</v>
      </c>
      <c r="Z4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2109</v>
      </c>
      <c r="AA438" s="2">
        <f>IF(LEN(EvolucionIncidencia[[#This Row],[Nuevos 7 dias]])=0,"",EvolucionIncidencia[[#This Row],[Nuevos 7 dias]]/_xlfn.MAXIFS(EvolucionIncidencia[Nuevos 7 dias],EvolucionIncidencia[Area_Sanitaria],EvolucionIncidencia[[#This Row],[Area_Sanitaria]]))</f>
        <v>0.93307984790874521</v>
      </c>
      <c r="AB438" s="2">
        <f>IF(LEN(EvolucionIncidencia[[#This Row],[Nuevos 14 dias]])=0,"",EvolucionIncidencia[[#This Row],[Nuevos 14 dias]]/_xlfn.MAXIFS(EvolucionIncidencia[Nuevos 14 dias],EvolucionIncidencia[Area_Sanitaria],EvolucionIncidencia[[#This Row],[Area_Sanitaria]]))</f>
        <v>0.86754422048539692</v>
      </c>
    </row>
    <row r="439" spans="1:28" hidden="1" x14ac:dyDescent="0.3">
      <c r="A439" s="1">
        <v>44224</v>
      </c>
      <c r="B439" s="2" t="s">
        <v>7</v>
      </c>
      <c r="C439" s="15">
        <v>15433</v>
      </c>
      <c r="D439" s="15">
        <v>3373</v>
      </c>
      <c r="E439" s="15">
        <v>11811</v>
      </c>
      <c r="F439">
        <v>133</v>
      </c>
      <c r="G439">
        <v>40</v>
      </c>
      <c r="H439" s="15">
        <v>240664</v>
      </c>
      <c r="I439" s="15">
        <v>257</v>
      </c>
      <c r="J439" s="15">
        <v>103391</v>
      </c>
      <c r="K439" s="15">
        <v>301</v>
      </c>
      <c r="L439">
        <v>102</v>
      </c>
      <c r="M439">
        <v>14</v>
      </c>
      <c r="N439">
        <v>5</v>
      </c>
      <c r="O439" s="15">
        <v>2022</v>
      </c>
      <c r="P439" s="15">
        <v>1279</v>
      </c>
      <c r="Q439" s="15">
        <v>3301</v>
      </c>
      <c r="R439">
        <v>1.0311831244267808</v>
      </c>
      <c r="S439" s="15">
        <v>195</v>
      </c>
      <c r="T439" t="s">
        <v>472</v>
      </c>
      <c r="U439" s="15" t="str">
        <f>TEXT(EvolucionIncidencia[[#This Row],[Fecha]],"DDDD")</f>
        <v>jueves</v>
      </c>
      <c r="V4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0.9285714285714286</v>
      </c>
      <c r="W4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202.05658283744401</v>
      </c>
      <c r="X439" s="2">
        <f>IF(EvolucionIncidencia[[#This Row],[Fecha]]&lt;=MIN(EvolucionIncidencia[Fecha])+14,"",EvolucionIncidencia[[#This Row],[NuevasAltas]]-EvolucionIncidencia[[#This Row],[Previsión Altas]])</f>
        <v>-7.0565828374440116</v>
      </c>
      <c r="Y4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1668</v>
      </c>
      <c r="Z4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3120</v>
      </c>
      <c r="AA439" s="2">
        <f>IF(LEN(EvolucionIncidencia[[#This Row],[Nuevos 7 dias]])=0,"",EvolucionIncidencia[[#This Row],[Nuevos 7 dias]]/_xlfn.MAXIFS(EvolucionIncidencia[Nuevos 7 dias],EvolucionIncidencia[Area_Sanitaria],EvolucionIncidencia[[#This Row],[Area_Sanitaria]]))</f>
        <v>0.98233215547703179</v>
      </c>
      <c r="AB439" s="2">
        <f>IF(LEN(EvolucionIncidencia[[#This Row],[Nuevos 14 dias]])=0,"",EvolucionIncidencia[[#This Row],[Nuevos 14 dias]]/_xlfn.MAXIFS(EvolucionIncidencia[Nuevos 14 dias],EvolucionIncidencia[Area_Sanitaria],EvolucionIncidencia[[#This Row],[Area_Sanitaria]]))</f>
        <v>0.98051539912005026</v>
      </c>
    </row>
    <row r="440" spans="1:28" hidden="1" x14ac:dyDescent="0.3">
      <c r="A440" s="1">
        <v>44224</v>
      </c>
      <c r="B440" s="2" t="s">
        <v>2</v>
      </c>
      <c r="C440" s="15">
        <v>18104</v>
      </c>
      <c r="D440" s="15">
        <v>3799</v>
      </c>
      <c r="E440" s="15">
        <v>13990</v>
      </c>
      <c r="F440">
        <v>164</v>
      </c>
      <c r="G440">
        <v>23</v>
      </c>
      <c r="H440" s="15">
        <v>296339</v>
      </c>
      <c r="I440" s="15">
        <v>318</v>
      </c>
      <c r="J440" s="15">
        <v>64512</v>
      </c>
      <c r="K440" s="15">
        <v>349</v>
      </c>
      <c r="L440">
        <v>118</v>
      </c>
      <c r="M440">
        <v>-8</v>
      </c>
      <c r="N440">
        <v>0</v>
      </c>
      <c r="O440" s="15">
        <v>2928</v>
      </c>
      <c r="P440" s="15">
        <v>383</v>
      </c>
      <c r="Q440" s="15">
        <v>3311</v>
      </c>
      <c r="R440">
        <v>1.0320565063841347</v>
      </c>
      <c r="S440" s="15">
        <v>229</v>
      </c>
      <c r="T440" t="s">
        <v>472</v>
      </c>
      <c r="U440" s="15" t="str">
        <f>TEXT(EvolucionIncidencia[[#This Row],[Fecha]],"DDDD")</f>
        <v>jueves</v>
      </c>
      <c r="V4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1.1989528795811519</v>
      </c>
      <c r="W4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191.74136279925975</v>
      </c>
      <c r="X440" s="2">
        <f>IF(EvolucionIncidencia[[#This Row],[Fecha]]&lt;=MIN(EvolucionIncidencia[Fecha])+14,"",EvolucionIncidencia[[#This Row],[NuevasAltas]]-EvolucionIncidencia[[#This Row],[Previsión Altas]])</f>
        <v>37.258637200740253</v>
      </c>
      <c r="Y4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1842</v>
      </c>
      <c r="Z4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3633</v>
      </c>
      <c r="AA440" s="2">
        <f>IF(LEN(EvolucionIncidencia[[#This Row],[Nuevos 7 dias]])=0,"",EvolucionIncidencia[[#This Row],[Nuevos 7 dias]]/_xlfn.MAXIFS(EvolucionIncidencia[Nuevos 7 dias],EvolucionIncidencia[Area_Sanitaria],EvolucionIncidencia[[#This Row],[Area_Sanitaria]]))</f>
        <v>0.94997421351211964</v>
      </c>
      <c r="AB440" s="2">
        <f>IF(LEN(EvolucionIncidencia[[#This Row],[Nuevos 14 dias]])=0,"",EvolucionIncidencia[[#This Row],[Nuevos 14 dias]]/_xlfn.MAXIFS(EvolucionIncidencia[Nuevos 14 dias],EvolucionIncidencia[Area_Sanitaria],EvolucionIncidencia[[#This Row],[Area_Sanitaria]]))</f>
        <v>1</v>
      </c>
    </row>
    <row r="441" spans="1:28" hidden="1" x14ac:dyDescent="0.3">
      <c r="A441" s="1">
        <v>44224</v>
      </c>
      <c r="B441" s="2" t="s">
        <v>3</v>
      </c>
      <c r="C441" s="15">
        <v>94289</v>
      </c>
      <c r="D441" s="15">
        <v>22124</v>
      </c>
      <c r="E441" s="15">
        <v>70459</v>
      </c>
      <c r="F441">
        <v>1121</v>
      </c>
      <c r="G441">
        <v>210</v>
      </c>
      <c r="H441" s="15">
        <v>1384089</v>
      </c>
      <c r="I441" s="15">
        <v>1718</v>
      </c>
      <c r="J441" s="15">
        <v>508169</v>
      </c>
      <c r="K441" s="15">
        <v>1643</v>
      </c>
      <c r="L441">
        <v>511</v>
      </c>
      <c r="M441">
        <v>35</v>
      </c>
      <c r="N441">
        <v>17</v>
      </c>
      <c r="O441" s="15">
        <v>13653</v>
      </c>
      <c r="P441" s="15">
        <v>5706</v>
      </c>
      <c r="Q441" s="15">
        <v>19359</v>
      </c>
      <c r="R441">
        <v>1.0236431777171147</v>
      </c>
      <c r="S441" s="15">
        <v>1103</v>
      </c>
      <c r="T441" t="s">
        <v>472</v>
      </c>
      <c r="U441" s="15" t="str">
        <f>TEXT(EvolucionIncidencia[[#This Row],[Fecha]],"DDDD")</f>
        <v>jueves</v>
      </c>
      <c r="V4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0.94354148845166808</v>
      </c>
      <c r="W4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1083.6936979964557</v>
      </c>
      <c r="X441" s="2">
        <f>IF(EvolucionIncidencia[[#This Row],[Fecha]]&lt;=MIN(EvolucionIncidencia[Fecha])+14,"",EvolucionIncidencia[[#This Row],[NuevasAltas]]-EvolucionIncidencia[[#This Row],[Previsión Altas]])</f>
        <v>19.306302003544261</v>
      </c>
      <c r="Y4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10926</v>
      </c>
      <c r="Z4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20622</v>
      </c>
      <c r="AA441" s="2">
        <f>IF(LEN(EvolucionIncidencia[[#This Row],[Nuevos 7 dias]])=0,"",EvolucionIncidencia[[#This Row],[Nuevos 7 dias]]/_xlfn.MAXIFS(EvolucionIncidencia[Nuevos 7 dias],EvolucionIncidencia[Area_Sanitaria],EvolucionIncidencia[[#This Row],[Area_Sanitaria]]))</f>
        <v>0.96315232722143862</v>
      </c>
      <c r="AB441" s="2">
        <f>IF(LEN(EvolucionIncidencia[[#This Row],[Nuevos 14 dias]])=0,"",EvolucionIncidencia[[#This Row],[Nuevos 14 dias]]/_xlfn.MAXIFS(EvolucionIncidencia[Nuevos 14 dias],EvolucionIncidencia[Area_Sanitaria],EvolucionIncidencia[[#This Row],[Area_Sanitaria]]))</f>
        <v>0.9886853964905552</v>
      </c>
    </row>
    <row r="442" spans="1:28" hidden="1" x14ac:dyDescent="0.3">
      <c r="A442" s="1">
        <v>44225</v>
      </c>
      <c r="B442" s="2" t="s">
        <v>4</v>
      </c>
      <c r="C442" s="15">
        <v>21966</v>
      </c>
      <c r="D442" s="15">
        <v>5984</v>
      </c>
      <c r="E442" s="15">
        <v>15580</v>
      </c>
      <c r="F442">
        <v>313</v>
      </c>
      <c r="G442">
        <v>79</v>
      </c>
      <c r="H442" s="15">
        <v>288049</v>
      </c>
      <c r="I442" s="15">
        <v>412</v>
      </c>
      <c r="J442" s="15">
        <v>93212</v>
      </c>
      <c r="K442" s="15">
        <v>320</v>
      </c>
      <c r="L442">
        <v>72</v>
      </c>
      <c r="M442">
        <v>-8</v>
      </c>
      <c r="N442">
        <v>10</v>
      </c>
      <c r="O442" s="15">
        <v>3180</v>
      </c>
      <c r="P442" s="15">
        <v>1711</v>
      </c>
      <c r="Q442" s="15">
        <v>4891</v>
      </c>
      <c r="R442">
        <v>1.0121786197564275</v>
      </c>
      <c r="S442" s="15">
        <v>237</v>
      </c>
      <c r="T442" t="s">
        <v>473</v>
      </c>
      <c r="U442" s="15" t="str">
        <f>TEXT(EvolucionIncidencia[[#This Row],[Fecha]],"DDDD")</f>
        <v>viernes</v>
      </c>
      <c r="V4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0.71818181818181814</v>
      </c>
      <c r="W4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300.08792859630307</v>
      </c>
      <c r="X442" s="2">
        <f>IF(EvolucionIncidencia[[#This Row],[Fecha]]&lt;=MIN(EvolucionIncidencia[Fecha])+14,"",EvolucionIncidencia[[#This Row],[NuevasAltas]]-EvolucionIncidencia[[#This Row],[Previsión Altas]])</f>
        <v>-63.087928596303072</v>
      </c>
      <c r="Y4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2636</v>
      </c>
      <c r="Z4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5427</v>
      </c>
      <c r="AA442" s="2">
        <f>IF(LEN(EvolucionIncidencia[[#This Row],[Nuevos 7 dias]])=0,"",EvolucionIncidencia[[#This Row],[Nuevos 7 dias]]/_xlfn.MAXIFS(EvolucionIncidencia[Nuevos 7 dias],EvolucionIncidencia[Area_Sanitaria],EvolucionIncidencia[[#This Row],[Area_Sanitaria]]))</f>
        <v>0.88486069150721713</v>
      </c>
      <c r="AB442" s="2">
        <f>IF(LEN(EvolucionIncidencia[[#This Row],[Nuevos 14 dias]])=0,"",EvolucionIncidencia[[#This Row],[Nuevos 14 dias]]/_xlfn.MAXIFS(EvolucionIncidencia[Nuevos 14 dias],EvolucionIncidencia[Area_Sanitaria],EvolucionIncidencia[[#This Row],[Area_Sanitaria]]))</f>
        <v>0.99816075041383112</v>
      </c>
    </row>
    <row r="443" spans="1:28" hidden="1" x14ac:dyDescent="0.3">
      <c r="A443" s="1">
        <v>44225</v>
      </c>
      <c r="B443" s="2" t="s">
        <v>5</v>
      </c>
      <c r="C443" s="15">
        <v>6507</v>
      </c>
      <c r="D443" s="15">
        <v>1787</v>
      </c>
      <c r="E443" s="15">
        <v>4592</v>
      </c>
      <c r="F443">
        <v>150</v>
      </c>
      <c r="G443">
        <v>24</v>
      </c>
      <c r="H443" s="15">
        <v>95845</v>
      </c>
      <c r="I443" s="15">
        <v>125</v>
      </c>
      <c r="J443" s="15">
        <v>32729</v>
      </c>
      <c r="K443" s="15">
        <v>132</v>
      </c>
      <c r="L443">
        <v>-9</v>
      </c>
      <c r="M443">
        <v>0</v>
      </c>
      <c r="N443">
        <v>-1</v>
      </c>
      <c r="O443" s="15">
        <v>913</v>
      </c>
      <c r="P443" s="15">
        <v>164</v>
      </c>
      <c r="Q443" s="15">
        <v>1077</v>
      </c>
      <c r="R443">
        <v>0.99498886414253895</v>
      </c>
      <c r="S443" s="15">
        <v>138</v>
      </c>
      <c r="T443" t="s">
        <v>473</v>
      </c>
      <c r="U443" s="15" t="str">
        <f>TEXT(EvolucionIncidencia[[#This Row],[Fecha]],"DDDD")</f>
        <v>viernes</v>
      </c>
      <c r="V4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0.9452054794520548</v>
      </c>
      <c r="W4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137.85202030471635</v>
      </c>
      <c r="X443" s="2">
        <f>IF(EvolucionIncidencia[[#This Row],[Fecha]]&lt;=MIN(EvolucionIncidencia[Fecha])+14,"",EvolucionIncidencia[[#This Row],[NuevasAltas]]-EvolucionIncidencia[[#This Row],[Previsión Altas]])</f>
        <v>0.14797969528365229</v>
      </c>
      <c r="Y4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806</v>
      </c>
      <c r="Z4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1610</v>
      </c>
      <c r="AA443" s="2">
        <f>IF(LEN(EvolucionIncidencia[[#This Row],[Nuevos 7 dias]])=0,"",EvolucionIncidencia[[#This Row],[Nuevos 7 dias]]/_xlfn.MAXIFS(EvolucionIncidencia[Nuevos 7 dias],EvolucionIncidencia[Area_Sanitaria],EvolucionIncidencia[[#This Row],[Area_Sanitaria]]))</f>
        <v>0.96526946107784428</v>
      </c>
      <c r="AB443" s="2">
        <f>IF(LEN(EvolucionIncidencia[[#This Row],[Nuevos 14 dias]])=0,"",EvolucionIncidencia[[#This Row],[Nuevos 14 dias]]/_xlfn.MAXIFS(EvolucionIncidencia[Nuevos 14 dias],EvolucionIncidencia[Area_Sanitaria],EvolucionIncidencia[[#This Row],[Area_Sanitaria]]))</f>
        <v>0.98230628431970712</v>
      </c>
    </row>
    <row r="444" spans="1:28" hidden="1" x14ac:dyDescent="0.3">
      <c r="A444" s="1">
        <v>44225</v>
      </c>
      <c r="B444" s="2" t="s">
        <v>8</v>
      </c>
      <c r="C444" s="15">
        <v>10116</v>
      </c>
      <c r="D444" s="15">
        <v>2121</v>
      </c>
      <c r="E444" s="15">
        <v>7818</v>
      </c>
      <c r="F444">
        <v>57</v>
      </c>
      <c r="G444">
        <v>21</v>
      </c>
      <c r="H444" s="15">
        <v>157105</v>
      </c>
      <c r="I444" s="15">
        <v>170</v>
      </c>
      <c r="J444" s="15">
        <v>82160</v>
      </c>
      <c r="K444" s="15">
        <v>179</v>
      </c>
      <c r="L444">
        <v>112</v>
      </c>
      <c r="M444">
        <v>1</v>
      </c>
      <c r="N444">
        <v>5</v>
      </c>
      <c r="O444" s="15">
        <v>1399</v>
      </c>
      <c r="P444" s="15">
        <v>617</v>
      </c>
      <c r="Q444" s="15">
        <v>2016</v>
      </c>
      <c r="R444">
        <v>1.0557491289198606</v>
      </c>
      <c r="S444" s="15">
        <v>66</v>
      </c>
      <c r="T444" t="s">
        <v>473</v>
      </c>
      <c r="U444" s="15" t="str">
        <f>TEXT(EvolucionIncidencia[[#This Row],[Fecha]],"DDDD")</f>
        <v>viernes</v>
      </c>
      <c r="V4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0.72527472527472525</v>
      </c>
      <c r="W4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88.742192053993762</v>
      </c>
      <c r="X444" s="2">
        <f>IF(EvolucionIncidencia[[#This Row],[Fecha]]&lt;=MIN(EvolucionIncidencia[Fecha])+14,"",EvolucionIncidencia[[#This Row],[NuevasAltas]]-EvolucionIncidencia[[#This Row],[Previsión Altas]])</f>
        <v>-22.742192053993762</v>
      </c>
      <c r="Y4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1057</v>
      </c>
      <c r="Z4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1960</v>
      </c>
      <c r="AA444" s="2">
        <f>IF(LEN(EvolucionIncidencia[[#This Row],[Nuevos 7 dias]])=0,"",EvolucionIncidencia[[#This Row],[Nuevos 7 dias]]/_xlfn.MAXIFS(EvolucionIncidencia[Nuevos 7 dias],EvolucionIncidencia[Area_Sanitaria],EvolucionIncidencia[[#This Row],[Area_Sanitaria]]))</f>
        <v>0.95569620253164556</v>
      </c>
      <c r="AB444" s="2">
        <f>IF(LEN(EvolucionIncidencia[[#This Row],[Nuevos 14 dias]])=0,"",EvolucionIncidencia[[#This Row],[Nuevos 14 dias]]/_xlfn.MAXIFS(EvolucionIncidencia[Nuevos 14 dias],EvolucionIncidencia[Area_Sanitaria],EvolucionIncidencia[[#This Row],[Area_Sanitaria]]))</f>
        <v>0.98989898989898994</v>
      </c>
    </row>
    <row r="445" spans="1:28" hidden="1" x14ac:dyDescent="0.3">
      <c r="A445" s="1">
        <v>44225</v>
      </c>
      <c r="B445" s="2" t="s">
        <v>9</v>
      </c>
      <c r="C445" s="15">
        <v>13013</v>
      </c>
      <c r="D445" s="15">
        <v>2963</v>
      </c>
      <c r="E445" s="15">
        <v>9699</v>
      </c>
      <c r="F445">
        <v>168</v>
      </c>
      <c r="G445">
        <v>14</v>
      </c>
      <c r="H445" s="15">
        <v>174659</v>
      </c>
      <c r="I445" s="15">
        <v>350</v>
      </c>
      <c r="J445" s="15">
        <v>83435</v>
      </c>
      <c r="K445" s="15">
        <v>136</v>
      </c>
      <c r="L445">
        <v>-26</v>
      </c>
      <c r="M445">
        <v>-10</v>
      </c>
      <c r="N445">
        <v>2</v>
      </c>
      <c r="O445" s="15">
        <v>1597</v>
      </c>
      <c r="P445" s="15">
        <v>1249</v>
      </c>
      <c r="Q445" s="15">
        <v>2846</v>
      </c>
      <c r="R445">
        <v>0.99130143860823017</v>
      </c>
      <c r="S445" s="15">
        <v>159</v>
      </c>
      <c r="T445" t="s">
        <v>473</v>
      </c>
      <c r="U445" s="15" t="str">
        <f>TEXT(EvolucionIncidencia[[#This Row],[Fecha]],"DDDD")</f>
        <v>viernes</v>
      </c>
      <c r="V4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0.85026737967914434</v>
      </c>
      <c r="W4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172.91997614342333</v>
      </c>
      <c r="X445" s="2">
        <f>IF(EvolucionIncidencia[[#This Row],[Fecha]]&lt;=MIN(EvolucionIncidencia[Fecha])+14,"",EvolucionIncidencia[[#This Row],[NuevasAltas]]-EvolucionIncidencia[[#This Row],[Previsión Altas]])</f>
        <v>-13.919976143423327</v>
      </c>
      <c r="Y4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1307</v>
      </c>
      <c r="Z4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2776</v>
      </c>
      <c r="AA445" s="2">
        <f>IF(LEN(EvolucionIncidencia[[#This Row],[Nuevos 7 dias]])=0,"",EvolucionIncidencia[[#This Row],[Nuevos 7 dias]]/_xlfn.MAXIFS(EvolucionIncidencia[Nuevos 7 dias],EvolucionIncidencia[Area_Sanitaria],EvolucionIncidencia[[#This Row],[Area_Sanitaria]]))</f>
        <v>0.83301465901848315</v>
      </c>
      <c r="AB445" s="2">
        <f>IF(LEN(EvolucionIncidencia[[#This Row],[Nuevos 14 dias]])=0,"",EvolucionIncidencia[[#This Row],[Nuevos 14 dias]]/_xlfn.MAXIFS(EvolucionIncidencia[Nuevos 14 dias],EvolucionIncidencia[Area_Sanitaria],EvolucionIncidencia[[#This Row],[Area_Sanitaria]]))</f>
        <v>0.9805722359590251</v>
      </c>
    </row>
    <row r="446" spans="1:28" x14ac:dyDescent="0.3">
      <c r="A446" s="1">
        <v>44225</v>
      </c>
      <c r="B446" s="2" t="s">
        <v>6</v>
      </c>
      <c r="C446" s="15">
        <v>10125</v>
      </c>
      <c r="D446" s="15">
        <v>2365</v>
      </c>
      <c r="E446" s="15">
        <v>7654</v>
      </c>
      <c r="F446">
        <v>112</v>
      </c>
      <c r="G446">
        <v>29</v>
      </c>
      <c r="H446" s="15">
        <v>140170</v>
      </c>
      <c r="I446" s="15">
        <v>109</v>
      </c>
      <c r="J446" s="15">
        <v>53271</v>
      </c>
      <c r="K446" s="15">
        <v>208</v>
      </c>
      <c r="L446">
        <v>119</v>
      </c>
      <c r="M446">
        <v>-7</v>
      </c>
      <c r="N446">
        <v>4</v>
      </c>
      <c r="O446" s="15">
        <v>1653</v>
      </c>
      <c r="P446" s="15">
        <v>800</v>
      </c>
      <c r="Q446" s="15">
        <v>2453</v>
      </c>
      <c r="R446">
        <v>1.0529830810329475</v>
      </c>
      <c r="S446" s="15">
        <v>85</v>
      </c>
      <c r="T446" t="s">
        <v>473</v>
      </c>
      <c r="U446" s="15" t="str">
        <f>TEXT(EvolucionIncidencia[[#This Row],[Fecha]],"DDDD")</f>
        <v>viernes</v>
      </c>
      <c r="V4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v>
      </c>
      <c r="W4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100.21411201732022</v>
      </c>
      <c r="X446" s="2">
        <f>IF(EvolucionIncidencia[[#This Row],[Fecha]]&lt;=MIN(EvolucionIncidencia[Fecha])+14,"",EvolucionIncidencia[[#This Row],[NuevasAltas]]-EvolucionIncidencia[[#This Row],[Previsión Altas]])</f>
        <v>-15.214112017320218</v>
      </c>
      <c r="Y4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1281</v>
      </c>
      <c r="Z4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2217</v>
      </c>
      <c r="AA446" s="2">
        <f>IF(LEN(EvolucionIncidencia[[#This Row],[Nuevos 7 dias]])=0,"",EvolucionIncidencia[[#This Row],[Nuevos 7 dias]]/_xlfn.MAXIFS(EvolucionIncidencia[Nuevos 7 dias],EvolucionIncidencia[Area_Sanitaria],EvolucionIncidencia[[#This Row],[Area_Sanitaria]]))</f>
        <v>0.97414448669201525</v>
      </c>
      <c r="AB446" s="2">
        <f>IF(LEN(EvolucionIncidencia[[#This Row],[Nuevos 14 dias]])=0,"",EvolucionIncidencia[[#This Row],[Nuevos 14 dias]]/_xlfn.MAXIFS(EvolucionIncidencia[Nuevos 14 dias],EvolucionIncidencia[Area_Sanitaria],EvolucionIncidencia[[#This Row],[Area_Sanitaria]]))</f>
        <v>0.91197038255861784</v>
      </c>
    </row>
    <row r="447" spans="1:28" hidden="1" x14ac:dyDescent="0.3">
      <c r="A447" s="1">
        <v>44225</v>
      </c>
      <c r="B447" s="2" t="s">
        <v>7</v>
      </c>
      <c r="C447" s="15">
        <v>15699</v>
      </c>
      <c r="D447" s="15">
        <v>3445</v>
      </c>
      <c r="E447" s="15">
        <v>12002</v>
      </c>
      <c r="F447">
        <v>131</v>
      </c>
      <c r="G447">
        <v>40</v>
      </c>
      <c r="H447" s="15">
        <v>243354</v>
      </c>
      <c r="I447" s="15">
        <v>260</v>
      </c>
      <c r="J447" s="15">
        <v>104827</v>
      </c>
      <c r="K447" s="15">
        <v>266</v>
      </c>
      <c r="L447">
        <v>72</v>
      </c>
      <c r="M447">
        <v>-2</v>
      </c>
      <c r="N447">
        <v>0</v>
      </c>
      <c r="O447" s="15">
        <v>2690</v>
      </c>
      <c r="P447" s="15">
        <v>1436</v>
      </c>
      <c r="Q447" s="15">
        <v>4126</v>
      </c>
      <c r="R447">
        <v>1.021345982804625</v>
      </c>
      <c r="S447" s="15">
        <v>191</v>
      </c>
      <c r="T447" t="s">
        <v>473</v>
      </c>
      <c r="U447" s="15" t="str">
        <f>TEXT(EvolucionIncidencia[[#This Row],[Fecha]],"DDDD")</f>
        <v>viernes</v>
      </c>
      <c r="V4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0.90521327014218012</v>
      </c>
      <c r="W4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200.77163003528958</v>
      </c>
      <c r="X447" s="2">
        <f>IF(EvolucionIncidencia[[#This Row],[Fecha]]&lt;=MIN(EvolucionIncidencia[Fecha])+14,"",EvolucionIncidencia[[#This Row],[NuevasAltas]]-EvolucionIncidencia[[#This Row],[Previsión Altas]])</f>
        <v>-9.7716300352895757</v>
      </c>
      <c r="Y4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1681</v>
      </c>
      <c r="Z4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3175</v>
      </c>
      <c r="AA447" s="2">
        <f>IF(LEN(EvolucionIncidencia[[#This Row],[Nuevos 7 dias]])=0,"",EvolucionIncidencia[[#This Row],[Nuevos 7 dias]]/_xlfn.MAXIFS(EvolucionIncidencia[Nuevos 7 dias],EvolucionIncidencia[Area_Sanitaria],EvolucionIncidencia[[#This Row],[Area_Sanitaria]]))</f>
        <v>0.98998822143698473</v>
      </c>
      <c r="AB447" s="2">
        <f>IF(LEN(EvolucionIncidencia[[#This Row],[Nuevos 14 dias]])=0,"",EvolucionIncidencia[[#This Row],[Nuevos 14 dias]]/_xlfn.MAXIFS(EvolucionIncidencia[Nuevos 14 dias],EvolucionIncidencia[Area_Sanitaria],EvolucionIncidencia[[#This Row],[Area_Sanitaria]]))</f>
        <v>0.99780012570710241</v>
      </c>
    </row>
    <row r="448" spans="1:28" hidden="1" x14ac:dyDescent="0.3">
      <c r="A448" s="1">
        <v>44225</v>
      </c>
      <c r="B448" s="2" t="s">
        <v>2</v>
      </c>
      <c r="C448" s="15">
        <v>18355</v>
      </c>
      <c r="D448" s="15">
        <v>3846</v>
      </c>
      <c r="E448" s="15">
        <v>14186</v>
      </c>
      <c r="F448">
        <v>153</v>
      </c>
      <c r="G448">
        <v>21</v>
      </c>
      <c r="H448" s="15">
        <v>298797</v>
      </c>
      <c r="I448" s="15">
        <v>326</v>
      </c>
      <c r="J448" s="15">
        <v>64928</v>
      </c>
      <c r="K448" s="15">
        <v>251</v>
      </c>
      <c r="L448">
        <v>47</v>
      </c>
      <c r="M448">
        <v>-11</v>
      </c>
      <c r="N448">
        <v>-2</v>
      </c>
      <c r="O448" s="15">
        <v>2458</v>
      </c>
      <c r="P448" s="15">
        <v>416</v>
      </c>
      <c r="Q448" s="15">
        <v>2874</v>
      </c>
      <c r="R448">
        <v>1.0123716767570414</v>
      </c>
      <c r="S448" s="15">
        <v>196</v>
      </c>
      <c r="T448" t="s">
        <v>473</v>
      </c>
      <c r="U448" s="15" t="str">
        <f>TEXT(EvolucionIncidencia[[#This Row],[Fecha]],"DDDD")</f>
        <v>viernes</v>
      </c>
      <c r="V4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0.70503597122302153</v>
      </c>
      <c r="W4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289.24451833582123</v>
      </c>
      <c r="X448" s="2">
        <f>IF(EvolucionIncidencia[[#This Row],[Fecha]]&lt;=MIN(EvolucionIncidencia[Fecha])+14,"",EvolucionIncidencia[[#This Row],[NuevasAltas]]-EvolucionIncidencia[[#This Row],[Previsión Altas]])</f>
        <v>-93.244518335821226</v>
      </c>
      <c r="Y4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1762</v>
      </c>
      <c r="Z4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3606</v>
      </c>
      <c r="AA448" s="2">
        <f>IF(LEN(EvolucionIncidencia[[#This Row],[Nuevos 7 dias]])=0,"",EvolucionIncidencia[[#This Row],[Nuevos 7 dias]]/_xlfn.MAXIFS(EvolucionIncidencia[Nuevos 7 dias],EvolucionIncidencia[Area_Sanitaria],EvolucionIncidencia[[#This Row],[Area_Sanitaria]]))</f>
        <v>0.90871583290355851</v>
      </c>
      <c r="AB448" s="2">
        <f>IF(LEN(EvolucionIncidencia[[#This Row],[Nuevos 14 dias]])=0,"",EvolucionIncidencia[[#This Row],[Nuevos 14 dias]]/_xlfn.MAXIFS(EvolucionIncidencia[Nuevos 14 dias],EvolucionIncidencia[Area_Sanitaria],EvolucionIncidencia[[#This Row],[Area_Sanitaria]]))</f>
        <v>0.99256812551610241</v>
      </c>
    </row>
    <row r="449" spans="1:28" hidden="1" x14ac:dyDescent="0.3">
      <c r="A449" s="1">
        <v>44225</v>
      </c>
      <c r="B449" s="2" t="s">
        <v>3</v>
      </c>
      <c r="C449" s="15">
        <v>95781</v>
      </c>
      <c r="D449" s="15">
        <v>22511</v>
      </c>
      <c r="E449" s="15">
        <v>71531</v>
      </c>
      <c r="F449">
        <v>1084</v>
      </c>
      <c r="G449">
        <v>228</v>
      </c>
      <c r="H449" s="15">
        <v>1397979</v>
      </c>
      <c r="I449" s="15">
        <v>1752</v>
      </c>
      <c r="J449" s="15">
        <v>514562</v>
      </c>
      <c r="K449" s="15">
        <v>1492</v>
      </c>
      <c r="L449">
        <v>387</v>
      </c>
      <c r="M449">
        <v>-37</v>
      </c>
      <c r="N449">
        <v>18</v>
      </c>
      <c r="O449" s="15">
        <v>13890</v>
      </c>
      <c r="P449" s="15">
        <v>6393</v>
      </c>
      <c r="Q449" s="15">
        <v>20283</v>
      </c>
      <c r="R449">
        <v>1.0174923160368829</v>
      </c>
      <c r="S449" s="15">
        <v>1072</v>
      </c>
      <c r="T449" t="s">
        <v>473</v>
      </c>
      <c r="U449" s="15" t="str">
        <f>TEXT(EvolucionIncidencia[[#This Row],[Fecha]],"DDDD")</f>
        <v>viernes</v>
      </c>
      <c r="V4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0.7982129560685034</v>
      </c>
      <c r="W4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1242.6456695680322</v>
      </c>
      <c r="X449" s="2">
        <f>IF(EvolucionIncidencia[[#This Row],[Fecha]]&lt;=MIN(EvolucionIncidencia[Fecha])+14,"",EvolucionIncidencia[[#This Row],[NuevasAltas]]-EvolucionIncidencia[[#This Row],[Previsión Altas]])</f>
        <v>-170.64566956803219</v>
      </c>
      <c r="Y4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10530</v>
      </c>
      <c r="Z4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20771</v>
      </c>
      <c r="AA449" s="2">
        <f>IF(LEN(EvolucionIncidencia[[#This Row],[Nuevos 7 dias]])=0,"",EvolucionIncidencia[[#This Row],[Nuevos 7 dias]]/_xlfn.MAXIFS(EvolucionIncidencia[Nuevos 7 dias],EvolucionIncidencia[Area_Sanitaria],EvolucionIncidencia[[#This Row],[Area_Sanitaria]]))</f>
        <v>0.92824400564174891</v>
      </c>
      <c r="AB449" s="2">
        <f>IF(LEN(EvolucionIncidencia[[#This Row],[Nuevos 14 dias]])=0,"",EvolucionIncidencia[[#This Row],[Nuevos 14 dias]]/_xlfn.MAXIFS(EvolucionIncidencia[Nuevos 14 dias],EvolucionIncidencia[Area_Sanitaria],EvolucionIncidencia[[#This Row],[Area_Sanitaria]]))</f>
        <v>0.99582893853677246</v>
      </c>
    </row>
    <row r="450" spans="1:28" hidden="1" x14ac:dyDescent="0.3">
      <c r="A450" s="1">
        <v>44226</v>
      </c>
      <c r="B450" s="2" t="s">
        <v>4</v>
      </c>
      <c r="C450" s="15">
        <v>22305</v>
      </c>
      <c r="D450" s="15">
        <v>6020</v>
      </c>
      <c r="E450" s="15">
        <v>15876</v>
      </c>
      <c r="F450">
        <v>326</v>
      </c>
      <c r="G450">
        <v>82</v>
      </c>
      <c r="H450" s="15">
        <v>290745</v>
      </c>
      <c r="I450" s="15">
        <v>419</v>
      </c>
      <c r="J450" s="15">
        <v>96962</v>
      </c>
      <c r="K450" s="15">
        <v>339</v>
      </c>
      <c r="L450">
        <v>36</v>
      </c>
      <c r="M450">
        <v>13</v>
      </c>
      <c r="N450">
        <v>3</v>
      </c>
      <c r="O450" s="15">
        <v>2696</v>
      </c>
      <c r="P450" s="15">
        <v>3750</v>
      </c>
      <c r="Q450" s="15">
        <v>6446</v>
      </c>
      <c r="R450">
        <v>1.0060160427807487</v>
      </c>
      <c r="S450" s="15">
        <v>296</v>
      </c>
      <c r="T450" t="s">
        <v>474</v>
      </c>
      <c r="U450" s="15" t="str">
        <f>TEXT(EvolucionIncidencia[[#This Row],[Fecha]],"DDDD")</f>
        <v>sábado</v>
      </c>
      <c r="V4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0.82222222222222219</v>
      </c>
      <c r="W4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320.12189613103197</v>
      </c>
      <c r="X450" s="2">
        <f>IF(EvolucionIncidencia[[#This Row],[Fecha]]&lt;=MIN(EvolucionIncidencia[Fecha])+14,"",EvolucionIncidencia[[#This Row],[NuevasAltas]]-EvolucionIncidencia[[#This Row],[Previsión Altas]])</f>
        <v>-24.121896131031974</v>
      </c>
      <c r="Y4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2526</v>
      </c>
      <c r="Z4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5406</v>
      </c>
      <c r="AA450" s="2">
        <f>IF(LEN(EvolucionIncidencia[[#This Row],[Nuevos 7 dias]])=0,"",EvolucionIncidencia[[#This Row],[Nuevos 7 dias]]/_xlfn.MAXIFS(EvolucionIncidencia[Nuevos 7 dias],EvolucionIncidencia[Area_Sanitaria],EvolucionIncidencia[[#This Row],[Area_Sanitaria]]))</f>
        <v>0.84793554884189326</v>
      </c>
      <c r="AB450" s="2">
        <f>IF(LEN(EvolucionIncidencia[[#This Row],[Nuevos 14 dias]])=0,"",EvolucionIncidencia[[#This Row],[Nuevos 14 dias]]/_xlfn.MAXIFS(EvolucionIncidencia[Nuevos 14 dias],EvolucionIncidencia[Area_Sanitaria],EvolucionIncidencia[[#This Row],[Area_Sanitaria]]))</f>
        <v>0.99429832628287662</v>
      </c>
    </row>
    <row r="451" spans="1:28" hidden="1" x14ac:dyDescent="0.3">
      <c r="A451" s="1">
        <v>44226</v>
      </c>
      <c r="B451" s="2" t="s">
        <v>5</v>
      </c>
      <c r="C451" s="15">
        <v>6598</v>
      </c>
      <c r="D451" s="15">
        <v>1779</v>
      </c>
      <c r="E451" s="15">
        <v>4691</v>
      </c>
      <c r="F451">
        <v>160</v>
      </c>
      <c r="G451">
        <v>25</v>
      </c>
      <c r="H451" s="15">
        <v>96615</v>
      </c>
      <c r="I451" s="15">
        <v>125</v>
      </c>
      <c r="J451" s="15">
        <v>32772</v>
      </c>
      <c r="K451" s="15">
        <v>91</v>
      </c>
      <c r="L451">
        <v>-8</v>
      </c>
      <c r="M451">
        <v>10</v>
      </c>
      <c r="N451">
        <v>1</v>
      </c>
      <c r="O451" s="15">
        <v>770</v>
      </c>
      <c r="P451" s="15">
        <v>43</v>
      </c>
      <c r="Q451" s="15">
        <v>813</v>
      </c>
      <c r="R451">
        <v>0.99552322327923892</v>
      </c>
      <c r="S451" s="15">
        <v>99</v>
      </c>
      <c r="T451" t="s">
        <v>474</v>
      </c>
      <c r="U451" s="15" t="str">
        <f>TEXT(EvolucionIncidencia[[#This Row],[Fecha]],"DDDD")</f>
        <v>sábado</v>
      </c>
      <c r="V4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1.1785714285714286</v>
      </c>
      <c r="W4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75.840497005061863</v>
      </c>
      <c r="X451" s="2">
        <f>IF(EvolucionIncidencia[[#This Row],[Fecha]]&lt;=MIN(EvolucionIncidencia[Fecha])+14,"",EvolucionIncidencia[[#This Row],[NuevasAltas]]-EvolucionIncidencia[[#This Row],[Previsión Altas]])</f>
        <v>23.159502994938137</v>
      </c>
      <c r="Y4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790</v>
      </c>
      <c r="Z4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1617</v>
      </c>
      <c r="AA451" s="2">
        <f>IF(LEN(EvolucionIncidencia[[#This Row],[Nuevos 7 dias]])=0,"",EvolucionIncidencia[[#This Row],[Nuevos 7 dias]]/_xlfn.MAXIFS(EvolucionIncidencia[Nuevos 7 dias],EvolucionIncidencia[Area_Sanitaria],EvolucionIncidencia[[#This Row],[Area_Sanitaria]]))</f>
        <v>0.94610778443113774</v>
      </c>
      <c r="AB451" s="2">
        <f>IF(LEN(EvolucionIncidencia[[#This Row],[Nuevos 14 dias]])=0,"",EvolucionIncidencia[[#This Row],[Nuevos 14 dias]]/_xlfn.MAXIFS(EvolucionIncidencia[Nuevos 14 dias],EvolucionIncidencia[Area_Sanitaria],EvolucionIncidencia[[#This Row],[Area_Sanitaria]]))</f>
        <v>0.98657718120805371</v>
      </c>
    </row>
    <row r="452" spans="1:28" hidden="1" x14ac:dyDescent="0.3">
      <c r="A452" s="1">
        <v>44226</v>
      </c>
      <c r="B452" s="2" t="s">
        <v>8</v>
      </c>
      <c r="C452" s="15">
        <v>10240</v>
      </c>
      <c r="D452" s="15">
        <v>2129</v>
      </c>
      <c r="E452" s="15">
        <v>7933</v>
      </c>
      <c r="F452">
        <v>54</v>
      </c>
      <c r="G452">
        <v>19</v>
      </c>
      <c r="H452" s="15">
        <v>158618</v>
      </c>
      <c r="I452" s="15">
        <v>171</v>
      </c>
      <c r="J452" s="15">
        <v>82578</v>
      </c>
      <c r="K452" s="15">
        <v>124</v>
      </c>
      <c r="L452">
        <v>8</v>
      </c>
      <c r="M452">
        <v>-3</v>
      </c>
      <c r="N452">
        <v>-2</v>
      </c>
      <c r="O452" s="15">
        <v>1513</v>
      </c>
      <c r="P452" s="15">
        <v>418</v>
      </c>
      <c r="Q452" s="15">
        <v>1931</v>
      </c>
      <c r="R452">
        <v>1.0037718057520038</v>
      </c>
      <c r="S452" s="15">
        <v>115</v>
      </c>
      <c r="T452" t="s">
        <v>474</v>
      </c>
      <c r="U452" s="15" t="str">
        <f>TEXT(EvolucionIncidencia[[#This Row],[Fecha]],"DDDD")</f>
        <v>sábado</v>
      </c>
      <c r="V4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1.0648148148148149</v>
      </c>
      <c r="W4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99.894972045242199</v>
      </c>
      <c r="X452" s="2">
        <f>IF(EvolucionIncidencia[[#This Row],[Fecha]]&lt;=MIN(EvolucionIncidencia[Fecha])+14,"",EvolucionIncidencia[[#This Row],[NuevasAltas]]-EvolucionIncidencia[[#This Row],[Previsión Altas]])</f>
        <v>15.105027954757801</v>
      </c>
      <c r="Y4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1008</v>
      </c>
      <c r="Z4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1976</v>
      </c>
      <c r="AA452" s="2">
        <f>IF(LEN(EvolucionIncidencia[[#This Row],[Nuevos 7 dias]])=0,"",EvolucionIncidencia[[#This Row],[Nuevos 7 dias]]/_xlfn.MAXIFS(EvolucionIncidencia[Nuevos 7 dias],EvolucionIncidencia[Area_Sanitaria],EvolucionIncidencia[[#This Row],[Area_Sanitaria]]))</f>
        <v>0.91139240506329111</v>
      </c>
      <c r="AB452" s="2">
        <f>IF(LEN(EvolucionIncidencia[[#This Row],[Nuevos 14 dias]])=0,"",EvolucionIncidencia[[#This Row],[Nuevos 14 dias]]/_xlfn.MAXIFS(EvolucionIncidencia[Nuevos 14 dias],EvolucionIncidencia[Area_Sanitaria],EvolucionIncidencia[[#This Row],[Area_Sanitaria]]))</f>
        <v>0.99797979797979797</v>
      </c>
    </row>
    <row r="453" spans="1:28" hidden="1" x14ac:dyDescent="0.3">
      <c r="A453" s="1">
        <v>44226</v>
      </c>
      <c r="B453" s="2" t="s">
        <v>9</v>
      </c>
      <c r="C453" s="15">
        <v>13169</v>
      </c>
      <c r="D453" s="15">
        <v>2949</v>
      </c>
      <c r="E453" s="15">
        <v>9869</v>
      </c>
      <c r="F453">
        <v>171</v>
      </c>
      <c r="G453">
        <v>13</v>
      </c>
      <c r="H453" s="15">
        <v>176168</v>
      </c>
      <c r="I453" s="15">
        <v>351</v>
      </c>
      <c r="J453" s="15">
        <v>83816</v>
      </c>
      <c r="K453" s="15">
        <v>156</v>
      </c>
      <c r="L453">
        <v>-14</v>
      </c>
      <c r="M453">
        <v>3</v>
      </c>
      <c r="N453">
        <v>-1</v>
      </c>
      <c r="O453" s="15">
        <v>1509</v>
      </c>
      <c r="P453" s="15">
        <v>381</v>
      </c>
      <c r="Q453" s="15">
        <v>1890</v>
      </c>
      <c r="R453">
        <v>0.99527505906176172</v>
      </c>
      <c r="S453" s="15">
        <v>170</v>
      </c>
      <c r="T453" t="s">
        <v>474</v>
      </c>
      <c r="U453" s="15" t="str">
        <f>TEXT(EvolucionIncidencia[[#This Row],[Fecha]],"DDDD")</f>
        <v>sábado</v>
      </c>
      <c r="V4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1.0179640718562875</v>
      </c>
      <c r="W4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149.17663115063255</v>
      </c>
      <c r="X453" s="2">
        <f>IF(EvolucionIncidencia[[#This Row],[Fecha]]&lt;=MIN(EvolucionIncidencia[Fecha])+14,"",EvolucionIncidencia[[#This Row],[NuevasAltas]]-EvolucionIncidencia[[#This Row],[Previsión Altas]])</f>
        <v>20.823368849367455</v>
      </c>
      <c r="Y4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1232</v>
      </c>
      <c r="Z4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2765</v>
      </c>
      <c r="AA453" s="2">
        <f>IF(LEN(EvolucionIncidencia[[#This Row],[Nuevos 7 dias]])=0,"",EvolucionIncidencia[[#This Row],[Nuevos 7 dias]]/_xlfn.MAXIFS(EvolucionIncidencia[Nuevos 7 dias],EvolucionIncidencia[Area_Sanitaria],EvolucionIncidencia[[#This Row],[Area_Sanitaria]]))</f>
        <v>0.78521351179094967</v>
      </c>
      <c r="AB453" s="2">
        <f>IF(LEN(EvolucionIncidencia[[#This Row],[Nuevos 14 dias]])=0,"",EvolucionIncidencia[[#This Row],[Nuevos 14 dias]]/_xlfn.MAXIFS(EvolucionIncidencia[Nuevos 14 dias],EvolucionIncidencia[Area_Sanitaria],EvolucionIncidencia[[#This Row],[Area_Sanitaria]]))</f>
        <v>0.97668668315083007</v>
      </c>
    </row>
    <row r="454" spans="1:28" x14ac:dyDescent="0.3">
      <c r="A454" s="1">
        <v>44226</v>
      </c>
      <c r="B454" s="2" t="s">
        <v>6</v>
      </c>
      <c r="C454" s="15">
        <v>10293</v>
      </c>
      <c r="D454" s="15">
        <v>2455</v>
      </c>
      <c r="E454" s="15">
        <v>7732</v>
      </c>
      <c r="F454">
        <v>124</v>
      </c>
      <c r="G454">
        <v>30</v>
      </c>
      <c r="H454" s="15">
        <v>141439</v>
      </c>
      <c r="I454" s="15">
        <v>109</v>
      </c>
      <c r="J454" s="15">
        <v>54250</v>
      </c>
      <c r="K454" s="15">
        <v>168</v>
      </c>
      <c r="L454">
        <v>90</v>
      </c>
      <c r="M454">
        <v>12</v>
      </c>
      <c r="N454">
        <v>1</v>
      </c>
      <c r="O454" s="15">
        <v>1269</v>
      </c>
      <c r="P454" s="15">
        <v>979</v>
      </c>
      <c r="Q454" s="15">
        <v>2248</v>
      </c>
      <c r="R454">
        <v>1.0380549682875264</v>
      </c>
      <c r="S454" s="15">
        <v>78</v>
      </c>
      <c r="T454" t="s">
        <v>474</v>
      </c>
      <c r="U454" s="15" t="str">
        <f>TEXT(EvolucionIncidencia[[#This Row],[Fecha]],"DDDD")</f>
        <v>sábado</v>
      </c>
      <c r="V4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0.84782608695652173</v>
      </c>
      <c r="W4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90.211268770220315</v>
      </c>
      <c r="X454" s="2">
        <f>IF(EvolucionIncidencia[[#This Row],[Fecha]]&lt;=MIN(EvolucionIncidencia[Fecha])+14,"",EvolucionIncidencia[[#This Row],[NuevasAltas]]-EvolucionIncidencia[[#This Row],[Previsión Altas]])</f>
        <v>-12.211268770220315</v>
      </c>
      <c r="Y4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1315</v>
      </c>
      <c r="Z4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2293</v>
      </c>
      <c r="AA454" s="2">
        <f>IF(LEN(EvolucionIncidencia[[#This Row],[Nuevos 7 dias]])=0,"",EvolucionIncidencia[[#This Row],[Nuevos 7 dias]]/_xlfn.MAXIFS(EvolucionIncidencia[Nuevos 7 dias],EvolucionIncidencia[Area_Sanitaria],EvolucionIncidencia[[#This Row],[Area_Sanitaria]]))</f>
        <v>1</v>
      </c>
      <c r="AB454" s="2">
        <f>IF(LEN(EvolucionIncidencia[[#This Row],[Nuevos 14 dias]])=0,"",EvolucionIncidencia[[#This Row],[Nuevos 14 dias]]/_xlfn.MAXIFS(EvolucionIncidencia[Nuevos 14 dias],EvolucionIncidencia[Area_Sanitaria],EvolucionIncidencia[[#This Row],[Area_Sanitaria]]))</f>
        <v>0.94323323735088438</v>
      </c>
    </row>
    <row r="455" spans="1:28" hidden="1" x14ac:dyDescent="0.3">
      <c r="A455" s="1">
        <v>44226</v>
      </c>
      <c r="B455" s="2" t="s">
        <v>7</v>
      </c>
      <c r="C455" s="15">
        <v>15875</v>
      </c>
      <c r="D455" s="15">
        <v>3425</v>
      </c>
      <c r="E455" s="15">
        <v>12198</v>
      </c>
      <c r="F455">
        <v>141</v>
      </c>
      <c r="G455">
        <v>42</v>
      </c>
      <c r="H455" s="15">
        <v>245624</v>
      </c>
      <c r="I455" s="15">
        <v>260</v>
      </c>
      <c r="J455" s="15">
        <v>106409</v>
      </c>
      <c r="K455" s="15">
        <v>176</v>
      </c>
      <c r="L455">
        <v>-20</v>
      </c>
      <c r="M455">
        <v>10</v>
      </c>
      <c r="N455">
        <v>2</v>
      </c>
      <c r="O455" s="15">
        <v>2270</v>
      </c>
      <c r="P455" s="15">
        <v>1582</v>
      </c>
      <c r="Q455" s="15">
        <v>3852</v>
      </c>
      <c r="R455">
        <v>0.99419448476052252</v>
      </c>
      <c r="S455" s="15">
        <v>196</v>
      </c>
      <c r="T455" t="s">
        <v>474</v>
      </c>
      <c r="U455" s="15" t="str">
        <f>TEXT(EvolucionIncidencia[[#This Row],[Fecha]],"DDDD")</f>
        <v>sábado</v>
      </c>
      <c r="V4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1.1073446327683616</v>
      </c>
      <c r="W4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166.18512854409303</v>
      </c>
      <c r="X455" s="2">
        <f>IF(EvolucionIncidencia[[#This Row],[Fecha]]&lt;=MIN(EvolucionIncidencia[Fecha])+14,"",EvolucionIncidencia[[#This Row],[NuevasAltas]]-EvolucionIncidencia[[#This Row],[Previsión Altas]])</f>
        <v>29.814871455906967</v>
      </c>
      <c r="Y4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1698</v>
      </c>
      <c r="Z4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3174</v>
      </c>
      <c r="AA455" s="2">
        <f>IF(LEN(EvolucionIncidencia[[#This Row],[Nuevos 7 dias]])=0,"",EvolucionIncidencia[[#This Row],[Nuevos 7 dias]]/_xlfn.MAXIFS(EvolucionIncidencia[Nuevos 7 dias],EvolucionIncidencia[Area_Sanitaria],EvolucionIncidencia[[#This Row],[Area_Sanitaria]]))</f>
        <v>1</v>
      </c>
      <c r="AB455" s="2">
        <f>IF(LEN(EvolucionIncidencia[[#This Row],[Nuevos 14 dias]])=0,"",EvolucionIncidencia[[#This Row],[Nuevos 14 dias]]/_xlfn.MAXIFS(EvolucionIncidencia[Nuevos 14 dias],EvolucionIncidencia[Area_Sanitaria],EvolucionIncidencia[[#This Row],[Area_Sanitaria]]))</f>
        <v>0.99748585795097422</v>
      </c>
    </row>
    <row r="456" spans="1:28" hidden="1" x14ac:dyDescent="0.3">
      <c r="A456" s="1">
        <v>44226</v>
      </c>
      <c r="B456" s="2" t="s">
        <v>2</v>
      </c>
      <c r="C456" s="15">
        <v>18632</v>
      </c>
      <c r="D456" s="15">
        <v>3851</v>
      </c>
      <c r="E456" s="15">
        <v>14457</v>
      </c>
      <c r="F456">
        <v>154</v>
      </c>
      <c r="G456">
        <v>21</v>
      </c>
      <c r="H456" s="15">
        <v>301350</v>
      </c>
      <c r="I456" s="15">
        <v>326</v>
      </c>
      <c r="J456" s="15">
        <v>65642</v>
      </c>
      <c r="K456" s="15">
        <v>277</v>
      </c>
      <c r="L456">
        <v>5</v>
      </c>
      <c r="M456">
        <v>1</v>
      </c>
      <c r="N456">
        <v>0</v>
      </c>
      <c r="O456" s="15">
        <v>2553</v>
      </c>
      <c r="P456" s="15">
        <v>714</v>
      </c>
      <c r="Q456" s="15">
        <v>3267</v>
      </c>
      <c r="R456">
        <v>1.0013000520020801</v>
      </c>
      <c r="S456" s="15">
        <v>271</v>
      </c>
      <c r="T456" t="s">
        <v>474</v>
      </c>
      <c r="U456" s="15" t="str">
        <f>TEXT(EvolucionIncidencia[[#This Row],[Fecha]],"DDDD")</f>
        <v>sábado</v>
      </c>
      <c r="V4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1.05859375</v>
      </c>
      <c r="W4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252.9771329914972</v>
      </c>
      <c r="X456" s="2">
        <f>IF(EvolucionIncidencia[[#This Row],[Fecha]]&lt;=MIN(EvolucionIncidencia[Fecha])+14,"",EvolucionIncidencia[[#This Row],[NuevasAltas]]-EvolucionIncidencia[[#This Row],[Previsión Altas]])</f>
        <v>18.0228670085028</v>
      </c>
      <c r="Y4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1764</v>
      </c>
      <c r="Z4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3627</v>
      </c>
      <c r="AA456" s="2">
        <f>IF(LEN(EvolucionIncidencia[[#This Row],[Nuevos 7 dias]])=0,"",EvolucionIncidencia[[#This Row],[Nuevos 7 dias]]/_xlfn.MAXIFS(EvolucionIncidencia[Nuevos 7 dias],EvolucionIncidencia[Area_Sanitaria],EvolucionIncidencia[[#This Row],[Area_Sanitaria]]))</f>
        <v>0.90974729241877261</v>
      </c>
      <c r="AB456" s="2">
        <f>IF(LEN(EvolucionIncidencia[[#This Row],[Nuevos 14 dias]])=0,"",EvolucionIncidencia[[#This Row],[Nuevos 14 dias]]/_xlfn.MAXIFS(EvolucionIncidencia[Nuevos 14 dias],EvolucionIncidencia[Area_Sanitaria],EvolucionIncidencia[[#This Row],[Area_Sanitaria]]))</f>
        <v>0.9983484723369116</v>
      </c>
    </row>
    <row r="457" spans="1:28" hidden="1" x14ac:dyDescent="0.3">
      <c r="A457" s="1">
        <v>44226</v>
      </c>
      <c r="B457" s="2" t="s">
        <v>3</v>
      </c>
      <c r="C457" s="15">
        <v>97112</v>
      </c>
      <c r="D457" s="15">
        <v>22608</v>
      </c>
      <c r="E457" s="15">
        <v>72756</v>
      </c>
      <c r="F457">
        <v>1130</v>
      </c>
      <c r="G457">
        <v>232</v>
      </c>
      <c r="H457" s="15">
        <v>1410559</v>
      </c>
      <c r="I457" s="15">
        <v>1761</v>
      </c>
      <c r="J457" s="15">
        <v>522429</v>
      </c>
      <c r="K457" s="15">
        <v>1331</v>
      </c>
      <c r="L457">
        <v>97</v>
      </c>
      <c r="M457">
        <v>46</v>
      </c>
      <c r="N457">
        <v>4</v>
      </c>
      <c r="O457" s="15">
        <v>12580</v>
      </c>
      <c r="P457" s="15">
        <v>7867</v>
      </c>
      <c r="Q457" s="15">
        <v>20447</v>
      </c>
      <c r="R457">
        <v>1.0043090044866954</v>
      </c>
      <c r="S457" s="15">
        <v>1225</v>
      </c>
      <c r="T457" t="s">
        <v>474</v>
      </c>
      <c r="U457" s="15" t="str">
        <f>TEXT(EvolucionIncidencia[[#This Row],[Fecha]],"DDDD")</f>
        <v>sábado</v>
      </c>
      <c r="V4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0.98472668810289388</v>
      </c>
      <c r="W4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1116.50244315242</v>
      </c>
      <c r="X457" s="2">
        <f>IF(EvolucionIncidencia[[#This Row],[Fecha]]&lt;=MIN(EvolucionIncidencia[Fecha])+14,"",EvolucionIncidencia[[#This Row],[NuevasAltas]]-EvolucionIncidencia[[#This Row],[Previsión Altas]])</f>
        <v>108.49755684757997</v>
      </c>
      <c r="Y4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10333</v>
      </c>
      <c r="Z4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20858</v>
      </c>
      <c r="AA457" s="2">
        <f>IF(LEN(EvolucionIncidencia[[#This Row],[Nuevos 7 dias]])=0,"",EvolucionIncidencia[[#This Row],[Nuevos 7 dias]]/_xlfn.MAXIFS(EvolucionIncidencia[Nuevos 7 dias],EvolucionIncidencia[Area_Sanitaria],EvolucionIncidencia[[#This Row],[Area_Sanitaria]]))</f>
        <v>0.91087799717912554</v>
      </c>
      <c r="AB457" s="2">
        <f>IF(LEN(EvolucionIncidencia[[#This Row],[Nuevos 14 dias]])=0,"",EvolucionIncidencia[[#This Row],[Nuevos 14 dias]]/_xlfn.MAXIFS(EvolucionIncidencia[Nuevos 14 dias],EvolucionIncidencia[Area_Sanitaria],EvolucionIncidencia[[#This Row],[Area_Sanitaria]]))</f>
        <v>1</v>
      </c>
    </row>
    <row r="458" spans="1:28" hidden="1" x14ac:dyDescent="0.3">
      <c r="A458" s="1">
        <v>44227</v>
      </c>
      <c r="B458" s="2" t="s">
        <v>4</v>
      </c>
      <c r="C458" s="15">
        <v>22519</v>
      </c>
      <c r="D458" s="15">
        <v>5934</v>
      </c>
      <c r="E458" s="15">
        <v>16175</v>
      </c>
      <c r="F458">
        <v>341</v>
      </c>
      <c r="G458">
        <v>86</v>
      </c>
      <c r="H458" s="15">
        <v>293160</v>
      </c>
      <c r="I458" s="15">
        <v>420</v>
      </c>
      <c r="J458" s="15">
        <v>100476</v>
      </c>
      <c r="K458" s="15">
        <v>214</v>
      </c>
      <c r="L458">
        <v>-86</v>
      </c>
      <c r="M458">
        <v>15</v>
      </c>
      <c r="N458">
        <v>4</v>
      </c>
      <c r="O458" s="15">
        <v>2415</v>
      </c>
      <c r="P458" s="15">
        <v>3514</v>
      </c>
      <c r="Q458" s="15">
        <v>5929</v>
      </c>
      <c r="R458">
        <v>0.98571428571428577</v>
      </c>
      <c r="S458" s="15">
        <v>299</v>
      </c>
      <c r="T458" t="s">
        <v>475</v>
      </c>
      <c r="U458" s="15" t="str">
        <f>TEXT(EvolucionIncidencia[[#This Row],[Fecha]],"DDDD")</f>
        <v>domingo</v>
      </c>
      <c r="V4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1.0602836879432624</v>
      </c>
      <c r="W4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234.92033002313852</v>
      </c>
      <c r="X458" s="2">
        <f>IF(EvolucionIncidencia[[#This Row],[Fecha]]&lt;=MIN(EvolucionIncidencia[Fecha])+14,"",EvolucionIncidencia[[#This Row],[NuevasAltas]]-EvolucionIncidencia[[#This Row],[Previsión Altas]])</f>
        <v>64.079669976861481</v>
      </c>
      <c r="Y4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2440</v>
      </c>
      <c r="Z4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5338</v>
      </c>
      <c r="AA458" s="2">
        <f>IF(LEN(EvolucionIncidencia[[#This Row],[Nuevos 7 dias]])=0,"",EvolucionIncidencia[[#This Row],[Nuevos 7 dias]]/_xlfn.MAXIFS(EvolucionIncidencia[Nuevos 7 dias],EvolucionIncidencia[Area_Sanitaria],EvolucionIncidencia[[#This Row],[Area_Sanitaria]]))</f>
        <v>0.81906680093991269</v>
      </c>
      <c r="AB458" s="2">
        <f>IF(LEN(EvolucionIncidencia[[#This Row],[Nuevos 14 dias]])=0,"",EvolucionIncidencia[[#This Row],[Nuevos 14 dias]]/_xlfn.MAXIFS(EvolucionIncidencia[Nuevos 14 dias],EvolucionIncidencia[Area_Sanitaria],EvolucionIncidencia[[#This Row],[Area_Sanitaria]]))</f>
        <v>0.9817914290969284</v>
      </c>
    </row>
    <row r="459" spans="1:28" hidden="1" x14ac:dyDescent="0.3">
      <c r="A459" s="1">
        <v>44227</v>
      </c>
      <c r="B459" s="2" t="s">
        <v>5</v>
      </c>
      <c r="C459" s="15">
        <v>6698</v>
      </c>
      <c r="D459" s="15">
        <v>1788</v>
      </c>
      <c r="E459" s="15">
        <v>4778</v>
      </c>
      <c r="F459">
        <v>164</v>
      </c>
      <c r="G459">
        <v>24</v>
      </c>
      <c r="H459" s="15">
        <v>97293</v>
      </c>
      <c r="I459" s="15">
        <v>129</v>
      </c>
      <c r="J459" s="15">
        <v>32833</v>
      </c>
      <c r="K459" s="15">
        <v>100</v>
      </c>
      <c r="L459">
        <v>9</v>
      </c>
      <c r="M459">
        <v>4</v>
      </c>
      <c r="N459">
        <v>-1</v>
      </c>
      <c r="O459" s="15">
        <v>678</v>
      </c>
      <c r="P459" s="15">
        <v>61</v>
      </c>
      <c r="Q459" s="15">
        <v>739</v>
      </c>
      <c r="R459">
        <v>1.0050590219224282</v>
      </c>
      <c r="S459" s="15">
        <v>87</v>
      </c>
      <c r="T459" t="s">
        <v>475</v>
      </c>
      <c r="U459" s="15" t="str">
        <f>TEXT(EvolucionIncidencia[[#This Row],[Fecha]],"DDDD")</f>
        <v>domingo</v>
      </c>
      <c r="V4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0.87878787878787878</v>
      </c>
      <c r="W4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90.003340858006581</v>
      </c>
      <c r="X459" s="2">
        <f>IF(EvolucionIncidencia[[#This Row],[Fecha]]&lt;=MIN(EvolucionIncidencia[Fecha])+14,"",EvolucionIncidencia[[#This Row],[NuevasAltas]]-EvolucionIncidencia[[#This Row],[Previsión Altas]])</f>
        <v>-3.003340858006581</v>
      </c>
      <c r="Y4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784</v>
      </c>
      <c r="Z4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1618</v>
      </c>
      <c r="AA459" s="2">
        <f>IF(LEN(EvolucionIncidencia[[#This Row],[Nuevos 7 dias]])=0,"",EvolucionIncidencia[[#This Row],[Nuevos 7 dias]]/_xlfn.MAXIFS(EvolucionIncidencia[Nuevos 7 dias],EvolucionIncidencia[Area_Sanitaria],EvolucionIncidencia[[#This Row],[Area_Sanitaria]]))</f>
        <v>0.93892215568862281</v>
      </c>
      <c r="AB459" s="2">
        <f>IF(LEN(EvolucionIncidencia[[#This Row],[Nuevos 14 dias]])=0,"",EvolucionIncidencia[[#This Row],[Nuevos 14 dias]]/_xlfn.MAXIFS(EvolucionIncidencia[Nuevos 14 dias],EvolucionIncidencia[Area_Sanitaria],EvolucionIncidencia[[#This Row],[Area_Sanitaria]]))</f>
        <v>0.98718730933496035</v>
      </c>
    </row>
    <row r="460" spans="1:28" hidden="1" x14ac:dyDescent="0.3">
      <c r="A460" s="1">
        <v>44227</v>
      </c>
      <c r="B460" s="2" t="s">
        <v>8</v>
      </c>
      <c r="C460" s="15">
        <v>10337</v>
      </c>
      <c r="D460" s="15">
        <v>2130</v>
      </c>
      <c r="E460" s="15">
        <v>8028</v>
      </c>
      <c r="F460">
        <v>67</v>
      </c>
      <c r="G460">
        <v>20</v>
      </c>
      <c r="H460" s="15">
        <v>159793</v>
      </c>
      <c r="I460" s="15">
        <v>172</v>
      </c>
      <c r="J460" s="15">
        <v>82694</v>
      </c>
      <c r="K460" s="15">
        <v>97</v>
      </c>
      <c r="L460">
        <v>1</v>
      </c>
      <c r="M460">
        <v>13</v>
      </c>
      <c r="N460">
        <v>1</v>
      </c>
      <c r="O460" s="15">
        <v>1175</v>
      </c>
      <c r="P460" s="15">
        <v>116</v>
      </c>
      <c r="Q460" s="15">
        <v>1291</v>
      </c>
      <c r="R460">
        <v>1.0004697040864257</v>
      </c>
      <c r="S460" s="15">
        <v>95</v>
      </c>
      <c r="T460" t="s">
        <v>475</v>
      </c>
      <c r="U460" s="15" t="str">
        <f>TEXT(EvolucionIncidencia[[#This Row],[Fecha]],"DDDD")</f>
        <v>domingo</v>
      </c>
      <c r="V4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1.021505376344086</v>
      </c>
      <c r="W4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84.840836317457843</v>
      </c>
      <c r="X460" s="2">
        <f>IF(EvolucionIncidencia[[#This Row],[Fecha]]&lt;=MIN(EvolucionIncidencia[Fecha])+14,"",EvolucionIncidencia[[#This Row],[NuevasAltas]]-EvolucionIncidencia[[#This Row],[Previsión Altas]])</f>
        <v>10.159163682542157</v>
      </c>
      <c r="Y4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984</v>
      </c>
      <c r="Z4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1980</v>
      </c>
      <c r="AA460" s="2">
        <f>IF(LEN(EvolucionIncidencia[[#This Row],[Nuevos 7 dias]])=0,"",EvolucionIncidencia[[#This Row],[Nuevos 7 dias]]/_xlfn.MAXIFS(EvolucionIncidencia[Nuevos 7 dias],EvolucionIncidencia[Area_Sanitaria],EvolucionIncidencia[[#This Row],[Area_Sanitaria]]))</f>
        <v>0.88969258589511757</v>
      </c>
      <c r="AB460" s="2">
        <f>IF(LEN(EvolucionIncidencia[[#This Row],[Nuevos 14 dias]])=0,"",EvolucionIncidencia[[#This Row],[Nuevos 14 dias]]/_xlfn.MAXIFS(EvolucionIncidencia[Nuevos 14 dias],EvolucionIncidencia[Area_Sanitaria],EvolucionIncidencia[[#This Row],[Area_Sanitaria]]))</f>
        <v>1</v>
      </c>
    </row>
    <row r="461" spans="1:28" hidden="1" x14ac:dyDescent="0.3">
      <c r="A461" s="1">
        <v>44227</v>
      </c>
      <c r="B461" s="2" t="s">
        <v>9</v>
      </c>
      <c r="C461" s="15">
        <v>13301</v>
      </c>
      <c r="D461" s="15">
        <v>2883</v>
      </c>
      <c r="E461" s="15">
        <v>10065</v>
      </c>
      <c r="F461">
        <v>185</v>
      </c>
      <c r="G461">
        <v>13</v>
      </c>
      <c r="H461" s="15">
        <v>177486</v>
      </c>
      <c r="I461" s="15">
        <v>353</v>
      </c>
      <c r="J461" s="15">
        <v>84223</v>
      </c>
      <c r="K461" s="15">
        <v>132</v>
      </c>
      <c r="L461">
        <v>-66</v>
      </c>
      <c r="M461">
        <v>14</v>
      </c>
      <c r="N461">
        <v>0</v>
      </c>
      <c r="O461" s="15">
        <v>1318</v>
      </c>
      <c r="P461" s="15">
        <v>407</v>
      </c>
      <c r="Q461" s="15">
        <v>1725</v>
      </c>
      <c r="R461">
        <v>0.97761953204476093</v>
      </c>
      <c r="S461" s="15">
        <v>196</v>
      </c>
      <c r="T461" t="s">
        <v>475</v>
      </c>
      <c r="U461" s="15" t="str">
        <f>TEXT(EvolucionIncidencia[[#This Row],[Fecha]],"DDDD")</f>
        <v>domingo</v>
      </c>
      <c r="V4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1.4961832061068703</v>
      </c>
      <c r="W4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116.5630773582521</v>
      </c>
      <c r="X461" s="2">
        <f>IF(EvolucionIncidencia[[#This Row],[Fecha]]&lt;=MIN(EvolucionIncidencia[Fecha])+14,"",EvolucionIncidencia[[#This Row],[NuevasAltas]]-EvolucionIncidencia[[#This Row],[Previsión Altas]])</f>
        <v>79.436922641747898</v>
      </c>
      <c r="Y4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1214</v>
      </c>
      <c r="Z4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2766</v>
      </c>
      <c r="AA461" s="2">
        <f>IF(LEN(EvolucionIncidencia[[#This Row],[Nuevos 7 dias]])=0,"",EvolucionIncidencia[[#This Row],[Nuevos 7 dias]]/_xlfn.MAXIFS(EvolucionIncidencia[Nuevos 7 dias],EvolucionIncidencia[Area_Sanitaria],EvolucionIncidencia[[#This Row],[Area_Sanitaria]]))</f>
        <v>0.77374123645634163</v>
      </c>
      <c r="AB461" s="2">
        <f>IF(LEN(EvolucionIncidencia[[#This Row],[Nuevos 14 dias]])=0,"",EvolucionIncidencia[[#This Row],[Nuevos 14 dias]]/_xlfn.MAXIFS(EvolucionIncidencia[Nuevos 14 dias],EvolucionIncidencia[Area_Sanitaria],EvolucionIncidencia[[#This Row],[Area_Sanitaria]]))</f>
        <v>0.97703991522430234</v>
      </c>
    </row>
    <row r="462" spans="1:28" x14ac:dyDescent="0.3">
      <c r="A462" s="1">
        <v>44227</v>
      </c>
      <c r="B462" s="2" t="s">
        <v>6</v>
      </c>
      <c r="C462" s="15">
        <v>10412</v>
      </c>
      <c r="D462" s="15">
        <v>2469</v>
      </c>
      <c r="E462" s="15">
        <v>7834</v>
      </c>
      <c r="F462">
        <v>131</v>
      </c>
      <c r="G462">
        <v>31</v>
      </c>
      <c r="H462" s="15">
        <v>142327</v>
      </c>
      <c r="I462" s="15">
        <v>112</v>
      </c>
      <c r="J462" s="15">
        <v>54491</v>
      </c>
      <c r="K462" s="15">
        <v>119</v>
      </c>
      <c r="L462">
        <v>14</v>
      </c>
      <c r="M462">
        <v>7</v>
      </c>
      <c r="N462">
        <v>1</v>
      </c>
      <c r="O462" s="15">
        <v>888</v>
      </c>
      <c r="P462" s="15">
        <v>241</v>
      </c>
      <c r="Q462" s="15">
        <v>1129</v>
      </c>
      <c r="R462">
        <v>1.0057026476578412</v>
      </c>
      <c r="S462" s="15">
        <v>102</v>
      </c>
      <c r="T462" t="s">
        <v>475</v>
      </c>
      <c r="U462" s="15" t="str">
        <f>TEXT(EvolucionIncidencia[[#This Row],[Fecha]],"DDDD")</f>
        <v>domingo</v>
      </c>
      <c r="V4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0.80952380952380953</v>
      </c>
      <c r="W4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109.7191122455024</v>
      </c>
      <c r="X462" s="2">
        <f>IF(EvolucionIncidencia[[#This Row],[Fecha]]&lt;=MIN(EvolucionIncidencia[Fecha])+14,"",EvolucionIncidencia[[#This Row],[NuevasAltas]]-EvolucionIncidencia[[#This Row],[Previsión Altas]])</f>
        <v>-7.7191122455024015</v>
      </c>
      <c r="Y4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1233</v>
      </c>
      <c r="Z4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2286</v>
      </c>
      <c r="AA462" s="2">
        <f>IF(LEN(EvolucionIncidencia[[#This Row],[Nuevos 7 dias]])=0,"",EvolucionIncidencia[[#This Row],[Nuevos 7 dias]]/_xlfn.MAXIFS(EvolucionIncidencia[Nuevos 7 dias],EvolucionIncidencia[Area_Sanitaria],EvolucionIncidencia[[#This Row],[Area_Sanitaria]]))</f>
        <v>0.93764258555133084</v>
      </c>
      <c r="AB462" s="2">
        <f>IF(LEN(EvolucionIncidencia[[#This Row],[Nuevos 14 dias]])=0,"",EvolucionIncidencia[[#This Row],[Nuevos 14 dias]]/_xlfn.MAXIFS(EvolucionIncidencia[Nuevos 14 dias],EvolucionIncidencia[Area_Sanitaria],EvolucionIncidencia[[#This Row],[Area_Sanitaria]]))</f>
        <v>0.9403537638831756</v>
      </c>
    </row>
    <row r="463" spans="1:28" hidden="1" x14ac:dyDescent="0.3">
      <c r="A463" s="1">
        <v>44227</v>
      </c>
      <c r="B463" s="2" t="s">
        <v>7</v>
      </c>
      <c r="C463" s="15">
        <v>16023</v>
      </c>
      <c r="D463" s="15">
        <v>3418</v>
      </c>
      <c r="E463" s="15">
        <v>12351</v>
      </c>
      <c r="F463">
        <v>156</v>
      </c>
      <c r="G463">
        <v>44</v>
      </c>
      <c r="H463" s="15">
        <v>249355</v>
      </c>
      <c r="I463" s="15">
        <v>262</v>
      </c>
      <c r="J463" s="15">
        <v>106702</v>
      </c>
      <c r="K463" s="15">
        <v>148</v>
      </c>
      <c r="L463">
        <v>-7</v>
      </c>
      <c r="M463">
        <v>15</v>
      </c>
      <c r="N463">
        <v>2</v>
      </c>
      <c r="O463" s="15">
        <v>3731</v>
      </c>
      <c r="P463" s="15">
        <v>293</v>
      </c>
      <c r="Q463" s="15">
        <v>4024</v>
      </c>
      <c r="R463">
        <v>0.99795620437956201</v>
      </c>
      <c r="S463" s="15">
        <v>153</v>
      </c>
      <c r="T463" t="s">
        <v>475</v>
      </c>
      <c r="U463" s="15" t="str">
        <f>TEXT(EvolucionIncidencia[[#This Row],[Fecha]],"DDDD")</f>
        <v>domingo</v>
      </c>
      <c r="V4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1.0928571428571427</v>
      </c>
      <c r="W4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129.33749253102377</v>
      </c>
      <c r="X463" s="2">
        <f>IF(EvolucionIncidencia[[#This Row],[Fecha]]&lt;=MIN(EvolucionIncidencia[Fecha])+14,"",EvolucionIncidencia[[#This Row],[NuevasAltas]]-EvolucionIncidencia[[#This Row],[Previsión Altas]])</f>
        <v>23.66250746897623</v>
      </c>
      <c r="Y4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1552</v>
      </c>
      <c r="Z4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3182</v>
      </c>
      <c r="AA463" s="2">
        <f>IF(LEN(EvolucionIncidencia[[#This Row],[Nuevos 7 dias]])=0,"",EvolucionIncidencia[[#This Row],[Nuevos 7 dias]]/_xlfn.MAXIFS(EvolucionIncidencia[Nuevos 7 dias],EvolucionIncidencia[Area_Sanitaria],EvolucionIncidencia[[#This Row],[Area_Sanitaria]]))</f>
        <v>0.91401648998822149</v>
      </c>
      <c r="AB463" s="2">
        <f>IF(LEN(EvolucionIncidencia[[#This Row],[Nuevos 14 dias]])=0,"",EvolucionIncidencia[[#This Row],[Nuevos 14 dias]]/_xlfn.MAXIFS(EvolucionIncidencia[Nuevos 14 dias],EvolucionIncidencia[Area_Sanitaria],EvolucionIncidencia[[#This Row],[Area_Sanitaria]]))</f>
        <v>1</v>
      </c>
    </row>
    <row r="464" spans="1:28" hidden="1" x14ac:dyDescent="0.3">
      <c r="A464" s="1">
        <v>44227</v>
      </c>
      <c r="B464" s="2" t="s">
        <v>2</v>
      </c>
      <c r="C464" s="15">
        <v>18785</v>
      </c>
      <c r="D464" s="15">
        <v>3798</v>
      </c>
      <c r="E464" s="15">
        <v>14662</v>
      </c>
      <c r="F464">
        <v>166</v>
      </c>
      <c r="G464">
        <v>24</v>
      </c>
      <c r="H464" s="15">
        <v>303993</v>
      </c>
      <c r="I464" s="15">
        <v>327</v>
      </c>
      <c r="J464" s="15">
        <v>69617</v>
      </c>
      <c r="K464" s="15">
        <v>153</v>
      </c>
      <c r="L464">
        <v>-53</v>
      </c>
      <c r="M464">
        <v>12</v>
      </c>
      <c r="N464">
        <v>3</v>
      </c>
      <c r="O464" s="15">
        <v>2643</v>
      </c>
      <c r="P464" s="15">
        <v>3975</v>
      </c>
      <c r="Q464" s="15">
        <v>6618</v>
      </c>
      <c r="R464">
        <v>0.9862373409504025</v>
      </c>
      <c r="S464" s="15">
        <v>205</v>
      </c>
      <c r="T464" t="s">
        <v>475</v>
      </c>
      <c r="U464" s="15" t="str">
        <f>TEXT(EvolucionIncidencia[[#This Row],[Fecha]],"DDDD")</f>
        <v>domingo</v>
      </c>
      <c r="V4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1.3311688311688312</v>
      </c>
      <c r="W4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152.1790289916681</v>
      </c>
      <c r="X464" s="2">
        <f>IF(EvolucionIncidencia[[#This Row],[Fecha]]&lt;=MIN(EvolucionIncidencia[Fecha])+14,"",EvolucionIncidencia[[#This Row],[NuevasAltas]]-EvolucionIncidencia[[#This Row],[Previsión Altas]])</f>
        <v>52.820971008331895</v>
      </c>
      <c r="Y4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1687</v>
      </c>
      <c r="Z4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3626</v>
      </c>
      <c r="AA464" s="2">
        <f>IF(LEN(EvolucionIncidencia[[#This Row],[Nuevos 7 dias]])=0,"",EvolucionIncidencia[[#This Row],[Nuevos 7 dias]]/_xlfn.MAXIFS(EvolucionIncidencia[Nuevos 7 dias],EvolucionIncidencia[Area_Sanitaria],EvolucionIncidencia[[#This Row],[Area_Sanitaria]]))</f>
        <v>0.87003610108303253</v>
      </c>
      <c r="AB464" s="2">
        <f>IF(LEN(EvolucionIncidencia[[#This Row],[Nuevos 14 dias]])=0,"",EvolucionIncidencia[[#This Row],[Nuevos 14 dias]]/_xlfn.MAXIFS(EvolucionIncidencia[Nuevos 14 dias],EvolucionIncidencia[Area_Sanitaria],EvolucionIncidencia[[#This Row],[Area_Sanitaria]]))</f>
        <v>0.9980732177263969</v>
      </c>
    </row>
    <row r="465" spans="1:28" hidden="1" x14ac:dyDescent="0.3">
      <c r="A465" s="1">
        <v>44227</v>
      </c>
      <c r="B465" s="2" t="s">
        <v>3</v>
      </c>
      <c r="C465" s="15">
        <v>98075</v>
      </c>
      <c r="D465" s="15">
        <v>22420</v>
      </c>
      <c r="E465" s="15">
        <v>73893</v>
      </c>
      <c r="F465">
        <v>1210</v>
      </c>
      <c r="G465">
        <v>242</v>
      </c>
      <c r="H465" s="15">
        <v>1423407</v>
      </c>
      <c r="I465" s="15">
        <v>1775</v>
      </c>
      <c r="J465" s="15">
        <v>531036</v>
      </c>
      <c r="K465" s="15">
        <v>963</v>
      </c>
      <c r="L465">
        <v>-188</v>
      </c>
      <c r="M465">
        <v>80</v>
      </c>
      <c r="N465">
        <v>10</v>
      </c>
      <c r="O465" s="15">
        <v>12848</v>
      </c>
      <c r="P465" s="15">
        <v>8607</v>
      </c>
      <c r="Q465" s="15">
        <v>21455</v>
      </c>
      <c r="R465">
        <v>0.99168435951875444</v>
      </c>
      <c r="S465" s="15">
        <v>1137</v>
      </c>
      <c r="T465" t="s">
        <v>475</v>
      </c>
      <c r="U465" s="15" t="str">
        <f>TEXT(EvolucionIncidencia[[#This Row],[Fecha]],"DDDD")</f>
        <v>domingo</v>
      </c>
      <c r="V4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1.1092682926829269</v>
      </c>
      <c r="W4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893.93174057862666</v>
      </c>
      <c r="X465" s="2">
        <f>IF(EvolucionIncidencia[[#This Row],[Fecha]]&lt;=MIN(EvolucionIncidencia[Fecha])+14,"",EvolucionIncidencia[[#This Row],[NuevasAltas]]-EvolucionIncidencia[[#This Row],[Previsión Altas]])</f>
        <v>243.06825942137334</v>
      </c>
      <c r="Y4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9894</v>
      </c>
      <c r="Z4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20796</v>
      </c>
      <c r="AA465" s="2">
        <f>IF(LEN(EvolucionIncidencia[[#This Row],[Nuevos 7 dias]])=0,"",EvolucionIncidencia[[#This Row],[Nuevos 7 dias]]/_xlfn.MAXIFS(EvolucionIncidencia[Nuevos 7 dias],EvolucionIncidencia[Area_Sanitaria],EvolucionIncidencia[[#This Row],[Area_Sanitaria]]))</f>
        <v>0.87217912552891397</v>
      </c>
      <c r="AB465" s="2">
        <f>IF(LEN(EvolucionIncidencia[[#This Row],[Nuevos 14 dias]])=0,"",EvolucionIncidencia[[#This Row],[Nuevos 14 dias]]/_xlfn.MAXIFS(EvolucionIncidencia[Nuevos 14 dias],EvolucionIncidencia[Area_Sanitaria],EvolucionIncidencia[[#This Row],[Area_Sanitaria]]))</f>
        <v>0.99702751941701029</v>
      </c>
    </row>
    <row r="466" spans="1:28" hidden="1" x14ac:dyDescent="0.3">
      <c r="A466" s="1">
        <v>44228</v>
      </c>
      <c r="B466" s="2" t="s">
        <v>4</v>
      </c>
      <c r="C466" s="15">
        <v>22751</v>
      </c>
      <c r="D466" s="15">
        <v>5883</v>
      </c>
      <c r="E466" s="15">
        <v>16443</v>
      </c>
      <c r="F466">
        <v>323</v>
      </c>
      <c r="G466">
        <v>93</v>
      </c>
      <c r="H466" s="15">
        <v>294574</v>
      </c>
      <c r="I466" s="15">
        <v>435</v>
      </c>
      <c r="J466" s="15">
        <v>103932</v>
      </c>
      <c r="K466" s="15">
        <v>232</v>
      </c>
      <c r="L466">
        <v>-51</v>
      </c>
      <c r="M466">
        <v>-18</v>
      </c>
      <c r="N466">
        <v>7</v>
      </c>
      <c r="O466" s="15">
        <v>1414</v>
      </c>
      <c r="P466" s="15">
        <v>3456</v>
      </c>
      <c r="Q466" s="15">
        <v>4870</v>
      </c>
      <c r="R466">
        <v>0.99140546006066732</v>
      </c>
      <c r="S466" s="15">
        <v>268</v>
      </c>
      <c r="T466" t="s">
        <v>479</v>
      </c>
      <c r="U466" s="15" t="str">
        <f>TEXT(EvolucionIncidencia[[#This Row],[Fecha]],"DDDD")</f>
        <v>lunes</v>
      </c>
      <c r="V4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0.96750902527075811</v>
      </c>
      <c r="W4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241.33766227892323</v>
      </c>
      <c r="X466" s="2">
        <f>IF(EvolucionIncidencia[[#This Row],[Fecha]]&lt;=MIN(EvolucionIncidencia[Fecha])+14,"",EvolucionIncidencia[[#This Row],[NuevasAltas]]-EvolucionIncidencia[[#This Row],[Previsión Altas]])</f>
        <v>26.662337721076767</v>
      </c>
      <c r="Y4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2325</v>
      </c>
      <c r="Z4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5293</v>
      </c>
      <c r="AA466" s="2">
        <f>IF(LEN(EvolucionIncidencia[[#This Row],[Nuevos 7 dias]])=0,"",EvolucionIncidencia[[#This Row],[Nuevos 7 dias]]/_xlfn.MAXIFS(EvolucionIncidencia[Nuevos 7 dias],EvolucionIncidencia[Area_Sanitaria],EvolucionIncidencia[[#This Row],[Area_Sanitaria]]))</f>
        <v>0.78046324269889222</v>
      </c>
      <c r="AB466" s="2">
        <f>IF(LEN(EvolucionIncidencia[[#This Row],[Nuevos 14 dias]])=0,"",EvolucionIncidencia[[#This Row],[Nuevos 14 dias]]/_xlfn.MAXIFS(EvolucionIncidencia[Nuevos 14 dias],EvolucionIncidencia[Area_Sanitaria],EvolucionIncidencia[[#This Row],[Area_Sanitaria]]))</f>
        <v>0.97351480595916862</v>
      </c>
    </row>
    <row r="467" spans="1:28" hidden="1" x14ac:dyDescent="0.3">
      <c r="A467" s="1">
        <v>44228</v>
      </c>
      <c r="B467" s="2" t="s">
        <v>5</v>
      </c>
      <c r="C467" s="15">
        <v>6812</v>
      </c>
      <c r="D467" s="15">
        <v>1824</v>
      </c>
      <c r="E467" s="15">
        <v>4851</v>
      </c>
      <c r="F467">
        <v>166</v>
      </c>
      <c r="G467">
        <v>23</v>
      </c>
      <c r="H467" s="15">
        <v>98028</v>
      </c>
      <c r="I467" s="15">
        <v>134</v>
      </c>
      <c r="J467" s="15">
        <v>33039</v>
      </c>
      <c r="K467" s="15">
        <v>114</v>
      </c>
      <c r="L467">
        <v>36</v>
      </c>
      <c r="M467">
        <v>2</v>
      </c>
      <c r="N467">
        <v>-1</v>
      </c>
      <c r="O467" s="15">
        <v>735</v>
      </c>
      <c r="P467" s="15">
        <v>206</v>
      </c>
      <c r="Q467" s="15">
        <v>941</v>
      </c>
      <c r="R467">
        <v>1.0201342281879195</v>
      </c>
      <c r="S467" s="15">
        <v>73</v>
      </c>
      <c r="T467" t="s">
        <v>479</v>
      </c>
      <c r="U467" s="15" t="str">
        <f>TEXT(EvolucionIncidencia[[#This Row],[Fecha]],"DDDD")</f>
        <v>lunes</v>
      </c>
      <c r="V4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0.70192307692307687</v>
      </c>
      <c r="W4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97.087684672384015</v>
      </c>
      <c r="X467" s="2">
        <f>IF(EvolucionIncidencia[[#This Row],[Fecha]]&lt;=MIN(EvolucionIncidencia[Fecha])+14,"",EvolucionIncidencia[[#This Row],[NuevasAltas]]-EvolucionIncidencia[[#This Row],[Previsión Altas]])</f>
        <v>-24.087684672384015</v>
      </c>
      <c r="Y4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793</v>
      </c>
      <c r="Z4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1628</v>
      </c>
      <c r="AA467" s="2">
        <f>IF(LEN(EvolucionIncidencia[[#This Row],[Nuevos 7 dias]])=0,"",EvolucionIncidencia[[#This Row],[Nuevos 7 dias]]/_xlfn.MAXIFS(EvolucionIncidencia[Nuevos 7 dias],EvolucionIncidencia[Area_Sanitaria],EvolucionIncidencia[[#This Row],[Area_Sanitaria]]))</f>
        <v>0.94970059880239521</v>
      </c>
      <c r="AB467" s="2">
        <f>IF(LEN(EvolucionIncidencia[[#This Row],[Nuevos 14 dias]])=0,"",EvolucionIncidencia[[#This Row],[Nuevos 14 dias]]/_xlfn.MAXIFS(EvolucionIncidencia[Nuevos 14 dias],EvolucionIncidencia[Area_Sanitaria],EvolucionIncidencia[[#This Row],[Area_Sanitaria]]))</f>
        <v>0.99328859060402686</v>
      </c>
    </row>
    <row r="468" spans="1:28" hidden="1" x14ac:dyDescent="0.3">
      <c r="A468" s="1">
        <v>44228</v>
      </c>
      <c r="B468" s="2" t="s">
        <v>8</v>
      </c>
      <c r="C468" s="15">
        <v>10415</v>
      </c>
      <c r="D468" s="15">
        <v>2135</v>
      </c>
      <c r="E468" s="15">
        <v>8101</v>
      </c>
      <c r="F468">
        <v>70</v>
      </c>
      <c r="G468">
        <v>22</v>
      </c>
      <c r="H468" s="15">
        <v>160818</v>
      </c>
      <c r="I468" s="15">
        <v>172</v>
      </c>
      <c r="J468" s="15">
        <v>83303</v>
      </c>
      <c r="K468" s="15">
        <v>78</v>
      </c>
      <c r="L468">
        <v>5</v>
      </c>
      <c r="M468">
        <v>3</v>
      </c>
      <c r="N468">
        <v>2</v>
      </c>
      <c r="O468" s="15">
        <v>1025</v>
      </c>
      <c r="P468" s="15">
        <v>609</v>
      </c>
      <c r="Q468" s="15">
        <v>1634</v>
      </c>
      <c r="R468">
        <v>1.0023474178403755</v>
      </c>
      <c r="S468" s="15">
        <v>73</v>
      </c>
      <c r="T468" t="s">
        <v>479</v>
      </c>
      <c r="U468" s="15" t="str">
        <f>TEXT(EvolucionIncidencia[[#This Row],[Fecha]],"DDDD")</f>
        <v>lunes</v>
      </c>
      <c r="V4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0.71568627450980393</v>
      </c>
      <c r="W4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95.029350431128876</v>
      </c>
      <c r="X468" s="2">
        <f>IF(EvolucionIncidencia[[#This Row],[Fecha]]&lt;=MIN(EvolucionIncidencia[Fecha])+14,"",EvolucionIncidencia[[#This Row],[NuevasAltas]]-EvolucionIncidencia[[#This Row],[Previsión Altas]])</f>
        <v>-22.029350431128876</v>
      </c>
      <c r="Y4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946</v>
      </c>
      <c r="Z4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1956</v>
      </c>
      <c r="AA468" s="2">
        <f>IF(LEN(EvolucionIncidencia[[#This Row],[Nuevos 7 dias]])=0,"",EvolucionIncidencia[[#This Row],[Nuevos 7 dias]]/_xlfn.MAXIFS(EvolucionIncidencia[Nuevos 7 dias],EvolucionIncidencia[Area_Sanitaria],EvolucionIncidencia[[#This Row],[Area_Sanitaria]]))</f>
        <v>0.8553345388788427</v>
      </c>
      <c r="AB468" s="2">
        <f>IF(LEN(EvolucionIncidencia[[#This Row],[Nuevos 14 dias]])=0,"",EvolucionIncidencia[[#This Row],[Nuevos 14 dias]]/_xlfn.MAXIFS(EvolucionIncidencia[Nuevos 14 dias],EvolucionIncidencia[Area_Sanitaria],EvolucionIncidencia[[#This Row],[Area_Sanitaria]]))</f>
        <v>0.98787878787878791</v>
      </c>
    </row>
    <row r="469" spans="1:28" hidden="1" x14ac:dyDescent="0.3">
      <c r="A469" s="1">
        <v>44228</v>
      </c>
      <c r="B469" s="2" t="s">
        <v>9</v>
      </c>
      <c r="C469" s="15">
        <v>13420</v>
      </c>
      <c r="D469" s="15">
        <v>2874</v>
      </c>
      <c r="E469" s="15">
        <v>10189</v>
      </c>
      <c r="F469">
        <v>184</v>
      </c>
      <c r="G469">
        <v>13</v>
      </c>
      <c r="H469" s="15">
        <v>179140</v>
      </c>
      <c r="I469" s="15">
        <v>357</v>
      </c>
      <c r="J469" s="15">
        <v>84832</v>
      </c>
      <c r="K469" s="15">
        <v>119</v>
      </c>
      <c r="L469">
        <v>-9</v>
      </c>
      <c r="M469">
        <v>-1</v>
      </c>
      <c r="N469">
        <v>0</v>
      </c>
      <c r="O469" s="15">
        <v>1654</v>
      </c>
      <c r="P469" s="15">
        <v>609</v>
      </c>
      <c r="Q469" s="15">
        <v>2263</v>
      </c>
      <c r="R469">
        <v>0.99687825182101975</v>
      </c>
      <c r="S469" s="15">
        <v>124</v>
      </c>
      <c r="T469" t="s">
        <v>479</v>
      </c>
      <c r="U469" s="15" t="str">
        <f>TEXT(EvolucionIncidencia[[#This Row],[Fecha]],"DDDD")</f>
        <v>lunes</v>
      </c>
      <c r="V4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0.59903381642512077</v>
      </c>
      <c r="W4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199.51156596364123</v>
      </c>
      <c r="X469" s="2">
        <f>IF(EvolucionIncidencia[[#This Row],[Fecha]]&lt;=MIN(EvolucionIncidencia[Fecha])+14,"",EvolucionIncidencia[[#This Row],[NuevasAltas]]-EvolucionIncidencia[[#This Row],[Previsión Altas]])</f>
        <v>-75.511565963641232</v>
      </c>
      <c r="Y4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1122</v>
      </c>
      <c r="Z4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2678</v>
      </c>
      <c r="AA469" s="2">
        <f>IF(LEN(EvolucionIncidencia[[#This Row],[Nuevos 7 dias]])=0,"",EvolucionIncidencia[[#This Row],[Nuevos 7 dias]]/_xlfn.MAXIFS(EvolucionIncidencia[Nuevos 7 dias],EvolucionIncidencia[Area_Sanitaria],EvolucionIncidencia[[#This Row],[Area_Sanitaria]]))</f>
        <v>0.71510516252390055</v>
      </c>
      <c r="AB469" s="2">
        <f>IF(LEN(EvolucionIncidencia[[#This Row],[Nuevos 14 dias]])=0,"",EvolucionIncidencia[[#This Row],[Nuevos 14 dias]]/_xlfn.MAXIFS(EvolucionIncidencia[Nuevos 14 dias],EvolucionIncidencia[Area_Sanitaria],EvolucionIncidencia[[#This Row],[Area_Sanitaria]]))</f>
        <v>0.94595549275874247</v>
      </c>
    </row>
    <row r="470" spans="1:28" x14ac:dyDescent="0.3">
      <c r="A470" s="1">
        <v>44228</v>
      </c>
      <c r="B470" s="2" t="s">
        <v>6</v>
      </c>
      <c r="C470" s="15">
        <v>10566</v>
      </c>
      <c r="D470" s="15">
        <v>2503</v>
      </c>
      <c r="E470" s="15">
        <v>7951</v>
      </c>
      <c r="F470">
        <v>130</v>
      </c>
      <c r="G470">
        <v>30</v>
      </c>
      <c r="H470" s="15">
        <v>143207</v>
      </c>
      <c r="I470" s="15">
        <v>115</v>
      </c>
      <c r="J470" s="15">
        <v>54919</v>
      </c>
      <c r="K470" s="15">
        <v>154</v>
      </c>
      <c r="L470">
        <v>34</v>
      </c>
      <c r="M470">
        <v>-1</v>
      </c>
      <c r="N470">
        <v>-1</v>
      </c>
      <c r="O470" s="15">
        <v>880</v>
      </c>
      <c r="P470" s="15">
        <v>428</v>
      </c>
      <c r="Q470" s="15">
        <v>1308</v>
      </c>
      <c r="R470">
        <v>1.0137707573916566</v>
      </c>
      <c r="S470" s="15">
        <v>117</v>
      </c>
      <c r="T470" t="s">
        <v>479</v>
      </c>
      <c r="U470" s="15" t="str">
        <f>TEXT(EvolucionIncidencia[[#This Row],[Fecha]],"DDDD")</f>
        <v>lunes</v>
      </c>
      <c r="V4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v>
      </c>
      <c r="W4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90.439665931420294</v>
      </c>
      <c r="X470" s="2">
        <f>IF(EvolucionIncidencia[[#This Row],[Fecha]]&lt;=MIN(EvolucionIncidencia[Fecha])+14,"",EvolucionIncidencia[[#This Row],[NuevasAltas]]-EvolucionIncidencia[[#This Row],[Previsión Altas]])</f>
        <v>26.560334068579706</v>
      </c>
      <c r="Y4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1171</v>
      </c>
      <c r="Z4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2340</v>
      </c>
      <c r="AA470" s="2">
        <f>IF(LEN(EvolucionIncidencia[[#This Row],[Nuevos 7 dias]])=0,"",EvolucionIncidencia[[#This Row],[Nuevos 7 dias]]/_xlfn.MAXIFS(EvolucionIncidencia[Nuevos 7 dias],EvolucionIncidencia[Area_Sanitaria],EvolucionIncidencia[[#This Row],[Area_Sanitaria]]))</f>
        <v>0.89049429657794676</v>
      </c>
      <c r="AB470" s="2">
        <f>IF(LEN(EvolucionIncidencia[[#This Row],[Nuevos 14 dias]])=0,"",EvolucionIncidencia[[#This Row],[Nuevos 14 dias]]/_xlfn.MAXIFS(EvolucionIncidencia[Nuevos 14 dias],EvolucionIncidencia[Area_Sanitaria],EvolucionIncidencia[[#This Row],[Area_Sanitaria]]))</f>
        <v>0.96256684491978606</v>
      </c>
    </row>
    <row r="471" spans="1:28" hidden="1" x14ac:dyDescent="0.3">
      <c r="A471" s="1">
        <v>44228</v>
      </c>
      <c r="B471" s="2" t="s">
        <v>7</v>
      </c>
      <c r="C471" s="15">
        <v>16192</v>
      </c>
      <c r="D471" s="15">
        <v>3442</v>
      </c>
      <c r="E471" s="15">
        <v>12489</v>
      </c>
      <c r="F471">
        <v>141</v>
      </c>
      <c r="G471">
        <v>47</v>
      </c>
      <c r="H471" s="15">
        <v>253142</v>
      </c>
      <c r="I471" s="15">
        <v>269</v>
      </c>
      <c r="J471" s="15">
        <v>107349</v>
      </c>
      <c r="K471" s="15">
        <v>169</v>
      </c>
      <c r="L471">
        <v>24</v>
      </c>
      <c r="M471">
        <v>-15</v>
      </c>
      <c r="N471">
        <v>3</v>
      </c>
      <c r="O471" s="15">
        <v>3787</v>
      </c>
      <c r="P471" s="15">
        <v>647</v>
      </c>
      <c r="Q471" s="15">
        <v>4434</v>
      </c>
      <c r="R471">
        <v>1.0070216500877707</v>
      </c>
      <c r="S471" s="15">
        <v>138</v>
      </c>
      <c r="T471" t="s">
        <v>479</v>
      </c>
      <c r="U471" s="15" t="str">
        <f>TEXT(EvolucionIncidencia[[#This Row],[Fecha]],"DDDD")</f>
        <v>lunes</v>
      </c>
      <c r="V4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0.66990291262135926</v>
      </c>
      <c r="W4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194.73111675348522</v>
      </c>
      <c r="X471" s="2">
        <f>IF(EvolucionIncidencia[[#This Row],[Fecha]]&lt;=MIN(EvolucionIncidencia[Fecha])+14,"",EvolucionIncidencia[[#This Row],[NuevasAltas]]-EvolucionIncidencia[[#This Row],[Previsión Altas]])</f>
        <v>-56.731116753485225</v>
      </c>
      <c r="Y4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1482</v>
      </c>
      <c r="Z4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3145</v>
      </c>
      <c r="AA471" s="2">
        <f>IF(LEN(EvolucionIncidencia[[#This Row],[Nuevos 7 dias]])=0,"",EvolucionIncidencia[[#This Row],[Nuevos 7 dias]]/_xlfn.MAXIFS(EvolucionIncidencia[Nuevos 7 dias],EvolucionIncidencia[Area_Sanitaria],EvolucionIncidencia[[#This Row],[Area_Sanitaria]]))</f>
        <v>0.87279151943462896</v>
      </c>
      <c r="AB471" s="2">
        <f>IF(LEN(EvolucionIncidencia[[#This Row],[Nuevos 14 dias]])=0,"",EvolucionIncidencia[[#This Row],[Nuevos 14 dias]]/_xlfn.MAXIFS(EvolucionIncidencia[Nuevos 14 dias],EvolucionIncidencia[Area_Sanitaria],EvolucionIncidencia[[#This Row],[Area_Sanitaria]]))</f>
        <v>0.98837209302325579</v>
      </c>
    </row>
    <row r="472" spans="1:28" hidden="1" x14ac:dyDescent="0.3">
      <c r="A472" s="1">
        <v>44228</v>
      </c>
      <c r="B472" s="2" t="s">
        <v>2</v>
      </c>
      <c r="C472" s="15">
        <v>18920</v>
      </c>
      <c r="D472" s="15">
        <v>3861</v>
      </c>
      <c r="E472" s="15">
        <v>14728</v>
      </c>
      <c r="F472">
        <v>172</v>
      </c>
      <c r="G472">
        <v>25</v>
      </c>
      <c r="H472" s="15">
        <v>305578</v>
      </c>
      <c r="I472" s="15">
        <v>333</v>
      </c>
      <c r="J472" s="15">
        <v>74091</v>
      </c>
      <c r="K472" s="15">
        <v>135</v>
      </c>
      <c r="L472">
        <v>63</v>
      </c>
      <c r="M472">
        <v>6</v>
      </c>
      <c r="N472">
        <v>1</v>
      </c>
      <c r="O472" s="15">
        <v>1585</v>
      </c>
      <c r="P472" s="15">
        <v>4474</v>
      </c>
      <c r="Q472" s="15">
        <v>6059</v>
      </c>
      <c r="R472">
        <v>1.0165876777251184</v>
      </c>
      <c r="S472" s="15">
        <v>66</v>
      </c>
      <c r="T472" t="s">
        <v>479</v>
      </c>
      <c r="U472" s="15" t="str">
        <f>TEXT(EvolucionIncidencia[[#This Row],[Fecha]],"DDDD")</f>
        <v>lunes</v>
      </c>
      <c r="V4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0.35294117647058826</v>
      </c>
      <c r="W4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188.80752840144734</v>
      </c>
      <c r="X472" s="2">
        <f>IF(EvolucionIncidencia[[#This Row],[Fecha]]&lt;=MIN(EvolucionIncidencia[Fecha])+14,"",EvolucionIncidencia[[#This Row],[NuevasAltas]]-EvolucionIncidencia[[#This Row],[Previsión Altas]])</f>
        <v>-122.80752840144734</v>
      </c>
      <c r="Y4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1645</v>
      </c>
      <c r="Z4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3574</v>
      </c>
      <c r="AA472" s="2">
        <f>IF(LEN(EvolucionIncidencia[[#This Row],[Nuevos 7 dias]])=0,"",EvolucionIncidencia[[#This Row],[Nuevos 7 dias]]/_xlfn.MAXIFS(EvolucionIncidencia[Nuevos 7 dias],EvolucionIncidencia[Area_Sanitaria],EvolucionIncidencia[[#This Row],[Area_Sanitaria]]))</f>
        <v>0.84837545126353786</v>
      </c>
      <c r="AB472" s="2">
        <f>IF(LEN(EvolucionIncidencia[[#This Row],[Nuevos 14 dias]])=0,"",EvolucionIncidencia[[#This Row],[Nuevos 14 dias]]/_xlfn.MAXIFS(EvolucionIncidencia[Nuevos 14 dias],EvolucionIncidencia[Area_Sanitaria],EvolucionIncidencia[[#This Row],[Area_Sanitaria]]))</f>
        <v>0.98375997797963111</v>
      </c>
    </row>
    <row r="473" spans="1:28" hidden="1" x14ac:dyDescent="0.3">
      <c r="A473" s="1">
        <v>44228</v>
      </c>
      <c r="B473" s="2" t="s">
        <v>3</v>
      </c>
      <c r="C473" s="15">
        <v>99076</v>
      </c>
      <c r="D473" s="15">
        <v>22522</v>
      </c>
      <c r="E473" s="15">
        <v>74752</v>
      </c>
      <c r="F473">
        <v>1186</v>
      </c>
      <c r="G473">
        <v>253</v>
      </c>
      <c r="H473" s="15">
        <v>1434487</v>
      </c>
      <c r="I473" s="15">
        <v>1815</v>
      </c>
      <c r="J473" s="15">
        <v>541465</v>
      </c>
      <c r="K473" s="15">
        <v>1001</v>
      </c>
      <c r="L473">
        <v>102</v>
      </c>
      <c r="M473">
        <v>-24</v>
      </c>
      <c r="N473">
        <v>11</v>
      </c>
      <c r="O473" s="15">
        <v>11080</v>
      </c>
      <c r="P473" s="15">
        <v>10429</v>
      </c>
      <c r="Q473" s="15">
        <v>21509</v>
      </c>
      <c r="R473">
        <v>1.004549509366637</v>
      </c>
      <c r="S473" s="15">
        <v>859</v>
      </c>
      <c r="T473" t="s">
        <v>479</v>
      </c>
      <c r="U473" s="15" t="str">
        <f>TEXT(EvolucionIncidencia[[#This Row],[Fecha]],"DDDD")</f>
        <v>lunes</v>
      </c>
      <c r="V4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0.72612003381234147</v>
      </c>
      <c r="W4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1075.9267358799307</v>
      </c>
      <c r="X473" s="2">
        <f>IF(EvolucionIncidencia[[#This Row],[Fecha]]&lt;=MIN(EvolucionIncidencia[Fecha])+14,"",EvolucionIncidencia[[#This Row],[NuevasAltas]]-EvolucionIncidencia[[#This Row],[Previsión Altas]])</f>
        <v>-216.92673587993067</v>
      </c>
      <c r="Y4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9484</v>
      </c>
      <c r="Z4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20614</v>
      </c>
      <c r="AA473" s="2">
        <f>IF(LEN(EvolucionIncidencia[[#This Row],[Nuevos 7 dias]])=0,"",EvolucionIncidencia[[#This Row],[Nuevos 7 dias]]/_xlfn.MAXIFS(EvolucionIncidencia[Nuevos 7 dias],EvolucionIncidencia[Area_Sanitaria],EvolucionIncidencia[[#This Row],[Area_Sanitaria]]))</f>
        <v>0.8360366713681241</v>
      </c>
      <c r="AB473" s="2">
        <f>IF(LEN(EvolucionIncidencia[[#This Row],[Nuevos 14 dias]])=0,"",EvolucionIncidencia[[#This Row],[Nuevos 14 dias]]/_xlfn.MAXIFS(EvolucionIncidencia[Nuevos 14 dias],EvolucionIncidencia[Area_Sanitaria],EvolucionIncidencia[[#This Row],[Area_Sanitaria]]))</f>
        <v>0.9883018506088791</v>
      </c>
    </row>
    <row r="474" spans="1:28" hidden="1" x14ac:dyDescent="0.3">
      <c r="A474" s="1">
        <v>44229</v>
      </c>
      <c r="B474" s="2" t="s">
        <v>4</v>
      </c>
      <c r="C474" s="15">
        <v>23044</v>
      </c>
      <c r="D474" s="15">
        <v>5889</v>
      </c>
      <c r="E474" s="15">
        <v>16721</v>
      </c>
      <c r="F474">
        <v>306</v>
      </c>
      <c r="G474">
        <v>85</v>
      </c>
      <c r="H474" s="15">
        <v>296696</v>
      </c>
      <c r="I474" s="15">
        <v>444</v>
      </c>
      <c r="J474" s="15">
        <v>108037</v>
      </c>
      <c r="K474" s="15">
        <v>293</v>
      </c>
      <c r="L474">
        <v>6</v>
      </c>
      <c r="M474">
        <v>-17</v>
      </c>
      <c r="N474">
        <v>-8</v>
      </c>
      <c r="O474" s="15">
        <v>2122</v>
      </c>
      <c r="P474" s="15">
        <v>4105</v>
      </c>
      <c r="Q474" s="15">
        <v>6227</v>
      </c>
      <c r="R474">
        <v>1.0010198878123406</v>
      </c>
      <c r="S474" s="15">
        <v>278</v>
      </c>
      <c r="T474" t="s">
        <v>480</v>
      </c>
      <c r="U474" s="15" t="str">
        <f>TEXT(EvolucionIncidencia[[#This Row],[Fecha]],"DDDD")</f>
        <v>martes</v>
      </c>
      <c r="V4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0.63908045977011496</v>
      </c>
      <c r="W4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379.43160956247903</v>
      </c>
      <c r="X474" s="2">
        <f>IF(EvolucionIncidencia[[#This Row],[Fecha]]&lt;=MIN(EvolucionIncidencia[Fecha])+14,"",EvolucionIncidencia[[#This Row],[NuevasAltas]]-EvolucionIncidencia[[#This Row],[Previsión Altas]])</f>
        <v>-101.43160956247903</v>
      </c>
      <c r="Y4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2172</v>
      </c>
      <c r="Z4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5151</v>
      </c>
      <c r="AA474" s="2">
        <f>IF(LEN(EvolucionIncidencia[[#This Row],[Nuevos 7 dias]])=0,"",EvolucionIncidencia[[#This Row],[Nuevos 7 dias]]/_xlfn.MAXIFS(EvolucionIncidencia[Nuevos 7 dias],EvolucionIncidencia[Area_Sanitaria],EvolucionIncidencia[[#This Row],[Area_Sanitaria]]))</f>
        <v>0.72910372608257801</v>
      </c>
      <c r="AB474" s="2">
        <f>IF(LEN(EvolucionIncidencia[[#This Row],[Nuevos 14 dias]])=0,"",EvolucionIncidencia[[#This Row],[Nuevos 14 dias]]/_xlfn.MAXIFS(EvolucionIncidencia[Nuevos 14 dias],EvolucionIncidencia[Area_Sanitaria],EvolucionIncidencia[[#This Row],[Area_Sanitaria]]))</f>
        <v>0.94739746183557105</v>
      </c>
    </row>
    <row r="475" spans="1:28" hidden="1" x14ac:dyDescent="0.3">
      <c r="A475" s="1">
        <v>44229</v>
      </c>
      <c r="B475" s="2" t="s">
        <v>5</v>
      </c>
      <c r="C475" s="15">
        <v>6921</v>
      </c>
      <c r="D475" s="15">
        <v>1832</v>
      </c>
      <c r="E475" s="15">
        <v>4948</v>
      </c>
      <c r="F475">
        <v>166</v>
      </c>
      <c r="G475">
        <v>27</v>
      </c>
      <c r="H475" s="15">
        <v>98915</v>
      </c>
      <c r="I475" s="15">
        <v>136</v>
      </c>
      <c r="J475" s="15">
        <v>33439</v>
      </c>
      <c r="K475" s="15">
        <v>109</v>
      </c>
      <c r="L475">
        <v>8</v>
      </c>
      <c r="M475">
        <v>0</v>
      </c>
      <c r="N475">
        <v>4</v>
      </c>
      <c r="O475" s="15">
        <v>887</v>
      </c>
      <c r="P475" s="15">
        <v>400</v>
      </c>
      <c r="Q475" s="15">
        <v>1287</v>
      </c>
      <c r="R475">
        <v>1.0043859649122806</v>
      </c>
      <c r="S475" s="15">
        <v>97</v>
      </c>
      <c r="T475" t="s">
        <v>480</v>
      </c>
      <c r="U475" s="15" t="str">
        <f>TEXT(EvolucionIncidencia[[#This Row],[Fecha]],"DDDD")</f>
        <v>martes</v>
      </c>
      <c r="V4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0.98979591836734693</v>
      </c>
      <c r="W4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88.445388179047185</v>
      </c>
      <c r="X475" s="2">
        <f>IF(EvolucionIncidencia[[#This Row],[Fecha]]&lt;=MIN(EvolucionIncidencia[Fecha])+14,"",EvolucionIncidencia[[#This Row],[NuevasAltas]]-EvolucionIncidencia[[#This Row],[Previsión Altas]])</f>
        <v>8.5546118209528146</v>
      </c>
      <c r="Y4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806</v>
      </c>
      <c r="Z4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1639</v>
      </c>
      <c r="AA475" s="2">
        <f>IF(LEN(EvolucionIncidencia[[#This Row],[Nuevos 7 dias]])=0,"",EvolucionIncidencia[[#This Row],[Nuevos 7 dias]]/_xlfn.MAXIFS(EvolucionIncidencia[Nuevos 7 dias],EvolucionIncidencia[Area_Sanitaria],EvolucionIncidencia[[#This Row],[Area_Sanitaria]]))</f>
        <v>0.96526946107784428</v>
      </c>
      <c r="AB475" s="2">
        <f>IF(LEN(EvolucionIncidencia[[#This Row],[Nuevos 14 dias]])=0,"",EvolucionIncidencia[[#This Row],[Nuevos 14 dias]]/_xlfn.MAXIFS(EvolucionIncidencia[Nuevos 14 dias],EvolucionIncidencia[Area_Sanitaria],EvolucionIncidencia[[#This Row],[Area_Sanitaria]]))</f>
        <v>1</v>
      </c>
    </row>
    <row r="476" spans="1:28" hidden="1" x14ac:dyDescent="0.3">
      <c r="A476" s="1">
        <v>44229</v>
      </c>
      <c r="B476" s="2" t="s">
        <v>8</v>
      </c>
      <c r="C476" s="15">
        <v>10492</v>
      </c>
      <c r="D476" s="15">
        <v>2093</v>
      </c>
      <c r="E476" s="15">
        <v>8219</v>
      </c>
      <c r="F476">
        <v>70</v>
      </c>
      <c r="G476">
        <v>25</v>
      </c>
      <c r="H476" s="15">
        <v>162145</v>
      </c>
      <c r="I476" s="15">
        <v>174</v>
      </c>
      <c r="J476" s="15">
        <v>83903</v>
      </c>
      <c r="K476" s="15">
        <v>77</v>
      </c>
      <c r="L476">
        <v>-42</v>
      </c>
      <c r="M476">
        <v>0</v>
      </c>
      <c r="N476">
        <v>3</v>
      </c>
      <c r="O476" s="15">
        <v>1327</v>
      </c>
      <c r="P476" s="15">
        <v>600</v>
      </c>
      <c r="Q476" s="15">
        <v>1927</v>
      </c>
      <c r="R476">
        <v>0.98032786885245904</v>
      </c>
      <c r="S476" s="15">
        <v>118</v>
      </c>
      <c r="T476" t="s">
        <v>480</v>
      </c>
      <c r="U476" s="15" t="str">
        <f>TEXT(EvolucionIncidencia[[#This Row],[Fecha]],"DDDD")</f>
        <v>martes</v>
      </c>
      <c r="V4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1.0085470085470085</v>
      </c>
      <c r="W4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108.2996330575554</v>
      </c>
      <c r="X476" s="2">
        <f>IF(EvolucionIncidencia[[#This Row],[Fecha]]&lt;=MIN(EvolucionIncidencia[Fecha])+14,"",EvolucionIncidencia[[#This Row],[NuevasAltas]]-EvolucionIncidencia[[#This Row],[Previsión Altas]])</f>
        <v>9.7003669424446031</v>
      </c>
      <c r="Y4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812</v>
      </c>
      <c r="Z4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1916</v>
      </c>
      <c r="AA476" s="2">
        <f>IF(LEN(EvolucionIncidencia[[#This Row],[Nuevos 7 dias]])=0,"",EvolucionIncidencia[[#This Row],[Nuevos 7 dias]]/_xlfn.MAXIFS(EvolucionIncidencia[Nuevos 7 dias],EvolucionIncidencia[Area_Sanitaria],EvolucionIncidencia[[#This Row],[Area_Sanitaria]]))</f>
        <v>0.73417721518987344</v>
      </c>
      <c r="AB476" s="2">
        <f>IF(LEN(EvolucionIncidencia[[#This Row],[Nuevos 14 dias]])=0,"",EvolucionIncidencia[[#This Row],[Nuevos 14 dias]]/_xlfn.MAXIFS(EvolucionIncidencia[Nuevos 14 dias],EvolucionIncidencia[Area_Sanitaria],EvolucionIncidencia[[#This Row],[Area_Sanitaria]]))</f>
        <v>0.96767676767676769</v>
      </c>
    </row>
    <row r="477" spans="1:28" hidden="1" x14ac:dyDescent="0.3">
      <c r="A477" s="1">
        <v>44229</v>
      </c>
      <c r="B477" s="2" t="s">
        <v>9</v>
      </c>
      <c r="C477" s="15">
        <v>13534</v>
      </c>
      <c r="D477" s="15">
        <v>2815</v>
      </c>
      <c r="E477" s="15">
        <v>10358</v>
      </c>
      <c r="F477">
        <v>176</v>
      </c>
      <c r="G477">
        <v>14</v>
      </c>
      <c r="H477" s="15">
        <v>180652</v>
      </c>
      <c r="I477" s="15">
        <v>363</v>
      </c>
      <c r="J477" s="15">
        <v>85394</v>
      </c>
      <c r="K477" s="15">
        <v>114</v>
      </c>
      <c r="L477">
        <v>-59</v>
      </c>
      <c r="M477">
        <v>-8</v>
      </c>
      <c r="N477">
        <v>1</v>
      </c>
      <c r="O477" s="15">
        <v>1512</v>
      </c>
      <c r="P477" s="15">
        <v>562</v>
      </c>
      <c r="Q477" s="15">
        <v>2074</v>
      </c>
      <c r="R477">
        <v>0.97947112038970074</v>
      </c>
      <c r="S477" s="15">
        <v>169</v>
      </c>
      <c r="T477" t="s">
        <v>480</v>
      </c>
      <c r="U477" s="15" t="str">
        <f>TEXT(EvolucionIncidencia[[#This Row],[Fecha]],"DDDD")</f>
        <v>martes</v>
      </c>
      <c r="V4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0.82439024390243898</v>
      </c>
      <c r="W4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188.4061758252094</v>
      </c>
      <c r="X477" s="2">
        <f>IF(EvolucionIncidencia[[#This Row],[Fecha]]&lt;=MIN(EvolucionIncidencia[Fecha])+14,"",EvolucionIncidencia[[#This Row],[NuevasAltas]]-EvolucionIncidencia[[#This Row],[Previsión Altas]])</f>
        <v>-19.406175825209402</v>
      </c>
      <c r="Y4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1018</v>
      </c>
      <c r="Z4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2587</v>
      </c>
      <c r="AA477" s="2">
        <f>IF(LEN(EvolucionIncidencia[[#This Row],[Nuevos 7 dias]])=0,"",EvolucionIncidencia[[#This Row],[Nuevos 7 dias]]/_xlfn.MAXIFS(EvolucionIncidencia[Nuevos 7 dias],EvolucionIncidencia[Area_Sanitaria],EvolucionIncidencia[[#This Row],[Area_Sanitaria]]))</f>
        <v>0.64882090503505419</v>
      </c>
      <c r="AB477" s="2">
        <f>IF(LEN(EvolucionIncidencia[[#This Row],[Nuevos 14 dias]])=0,"",EvolucionIncidencia[[#This Row],[Nuevos 14 dias]]/_xlfn.MAXIFS(EvolucionIncidencia[Nuevos 14 dias],EvolucionIncidencia[Area_Sanitaria],EvolucionIncidencia[[#This Row],[Area_Sanitaria]]))</f>
        <v>0.9138113740727658</v>
      </c>
    </row>
    <row r="478" spans="1:28" x14ac:dyDescent="0.3">
      <c r="A478" s="1">
        <v>44229</v>
      </c>
      <c r="B478" s="2" t="s">
        <v>6</v>
      </c>
      <c r="C478" s="15">
        <v>10745</v>
      </c>
      <c r="D478" s="15">
        <v>2578</v>
      </c>
      <c r="E478" s="15">
        <v>8053</v>
      </c>
      <c r="F478">
        <v>117</v>
      </c>
      <c r="G478">
        <v>29</v>
      </c>
      <c r="H478" s="15">
        <v>144328</v>
      </c>
      <c r="I478" s="15">
        <v>117</v>
      </c>
      <c r="J478" s="15">
        <v>55479</v>
      </c>
      <c r="K478" s="15">
        <v>179</v>
      </c>
      <c r="L478">
        <v>75</v>
      </c>
      <c r="M478">
        <v>-13</v>
      </c>
      <c r="N478">
        <v>-1</v>
      </c>
      <c r="O478" s="15">
        <v>1121</v>
      </c>
      <c r="P478" s="15">
        <v>560</v>
      </c>
      <c r="Q478" s="15">
        <v>1681</v>
      </c>
      <c r="R478">
        <v>1.0299640431482222</v>
      </c>
      <c r="S478" s="15">
        <v>102</v>
      </c>
      <c r="T478" t="s">
        <v>480</v>
      </c>
      <c r="U478" s="15" t="str">
        <f>TEXT(EvolucionIncidencia[[#This Row],[Fecha]],"DDDD")</f>
        <v>martes</v>
      </c>
      <c r="V4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1.1590909090909092</v>
      </c>
      <c r="W4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80.941191733935582</v>
      </c>
      <c r="X478" s="2">
        <f>IF(EvolucionIncidencia[[#This Row],[Fecha]]&lt;=MIN(EvolucionIncidencia[Fecha])+14,"",EvolucionIncidencia[[#This Row],[NuevasAltas]]-EvolucionIncidencia[[#This Row],[Previsión Altas]])</f>
        <v>21.058808266064418</v>
      </c>
      <c r="Y4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1185</v>
      </c>
      <c r="Z4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2431</v>
      </c>
      <c r="AA478" s="2">
        <f>IF(LEN(EvolucionIncidencia[[#This Row],[Nuevos 7 dias]])=0,"",EvolucionIncidencia[[#This Row],[Nuevos 7 dias]]/_xlfn.MAXIFS(EvolucionIncidencia[Nuevos 7 dias],EvolucionIncidencia[Area_Sanitaria],EvolucionIncidencia[[#This Row],[Area_Sanitaria]]))</f>
        <v>0.90114068441064643</v>
      </c>
      <c r="AB478" s="2">
        <f>IF(LEN(EvolucionIncidencia[[#This Row],[Nuevos 14 dias]])=0,"",EvolucionIncidencia[[#This Row],[Nuevos 14 dias]]/_xlfn.MAXIFS(EvolucionIncidencia[Nuevos 14 dias],EvolucionIncidencia[Area_Sanitaria],EvolucionIncidencia[[#This Row],[Area_Sanitaria]]))</f>
        <v>1</v>
      </c>
    </row>
    <row r="479" spans="1:28" hidden="1" x14ac:dyDescent="0.3">
      <c r="A479" s="1">
        <v>44229</v>
      </c>
      <c r="B479" s="2" t="s">
        <v>7</v>
      </c>
      <c r="C479" s="15">
        <v>16321</v>
      </c>
      <c r="D479" s="15">
        <v>3366</v>
      </c>
      <c r="E479" s="15">
        <v>12690</v>
      </c>
      <c r="F479">
        <v>125</v>
      </c>
      <c r="G479">
        <v>43</v>
      </c>
      <c r="H479" s="15">
        <v>257114</v>
      </c>
      <c r="I479" s="15">
        <v>273</v>
      </c>
      <c r="J479" s="15">
        <v>108550</v>
      </c>
      <c r="K479" s="15">
        <v>129</v>
      </c>
      <c r="L479">
        <v>-76</v>
      </c>
      <c r="M479">
        <v>-16</v>
      </c>
      <c r="N479">
        <v>-4</v>
      </c>
      <c r="O479" s="15">
        <v>3972</v>
      </c>
      <c r="P479" s="15">
        <v>1201</v>
      </c>
      <c r="Q479" s="15">
        <v>5173</v>
      </c>
      <c r="R479">
        <v>0.97791981406159212</v>
      </c>
      <c r="S479" s="15">
        <v>201</v>
      </c>
      <c r="T479" t="s">
        <v>480</v>
      </c>
      <c r="U479" s="15" t="str">
        <f>TEXT(EvolucionIncidencia[[#This Row],[Fecha]],"DDDD")</f>
        <v>martes</v>
      </c>
      <c r="V4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1.0578947368421052</v>
      </c>
      <c r="W4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180.55505220675124</v>
      </c>
      <c r="X479" s="2">
        <f>IF(EvolucionIncidencia[[#This Row],[Fecha]]&lt;=MIN(EvolucionIncidencia[Fecha])+14,"",EvolucionIncidencia[[#This Row],[NuevasAltas]]-EvolucionIncidencia[[#This Row],[Previsión Altas]])</f>
        <v>20.444947793248758</v>
      </c>
      <c r="Y4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1386</v>
      </c>
      <c r="Z4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3084</v>
      </c>
      <c r="AA479" s="2">
        <f>IF(LEN(EvolucionIncidencia[[#This Row],[Nuevos 7 dias]])=0,"",EvolucionIncidencia[[#This Row],[Nuevos 7 dias]]/_xlfn.MAXIFS(EvolucionIncidencia[Nuevos 7 dias],EvolucionIncidencia[Area_Sanitaria],EvolucionIncidencia[[#This Row],[Area_Sanitaria]]))</f>
        <v>0.81625441696113077</v>
      </c>
      <c r="AB479" s="2">
        <f>IF(LEN(EvolucionIncidencia[[#This Row],[Nuevos 14 dias]])=0,"",EvolucionIncidencia[[#This Row],[Nuevos 14 dias]]/_xlfn.MAXIFS(EvolucionIncidencia[Nuevos 14 dias],EvolucionIncidencia[Area_Sanitaria],EvolucionIncidencia[[#This Row],[Area_Sanitaria]]))</f>
        <v>0.96920175989943436</v>
      </c>
    </row>
    <row r="480" spans="1:28" hidden="1" x14ac:dyDescent="0.3">
      <c r="A480" s="1">
        <v>44229</v>
      </c>
      <c r="B480" s="2" t="s">
        <v>2</v>
      </c>
      <c r="C480" s="15">
        <v>19159</v>
      </c>
      <c r="D480" s="15">
        <v>3867</v>
      </c>
      <c r="E480" s="15">
        <v>14958</v>
      </c>
      <c r="F480">
        <v>165</v>
      </c>
      <c r="G480">
        <v>24</v>
      </c>
      <c r="H480" s="15">
        <v>308102</v>
      </c>
      <c r="I480" s="15">
        <v>336</v>
      </c>
      <c r="J480" s="15">
        <v>78664</v>
      </c>
      <c r="K480" s="15">
        <v>239</v>
      </c>
      <c r="L480">
        <v>6</v>
      </c>
      <c r="M480">
        <v>-7</v>
      </c>
      <c r="N480">
        <v>-1</v>
      </c>
      <c r="O480" s="15">
        <v>2524</v>
      </c>
      <c r="P480" s="15">
        <v>4573</v>
      </c>
      <c r="Q480" s="15">
        <v>7097</v>
      </c>
      <c r="R480">
        <v>1.0015540015540016</v>
      </c>
      <c r="S480" s="15">
        <v>230</v>
      </c>
      <c r="T480" t="s">
        <v>480</v>
      </c>
      <c r="U480" s="15" t="str">
        <f>TEXT(EvolucionIncidencia[[#This Row],[Fecha]],"DDDD")</f>
        <v>martes</v>
      </c>
      <c r="V4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0.96234309623430958</v>
      </c>
      <c r="W4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226.52956313263667</v>
      </c>
      <c r="X480" s="2">
        <f>IF(EvolucionIncidencia[[#This Row],[Fecha]]&lt;=MIN(EvolucionIncidencia[Fecha])+14,"",EvolucionIncidencia[[#This Row],[NuevasAltas]]-EvolucionIncidencia[[#This Row],[Previsión Altas]])</f>
        <v>3.4704368673633326</v>
      </c>
      <c r="Y4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1659</v>
      </c>
      <c r="Z4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3574</v>
      </c>
      <c r="AA480" s="2">
        <f>IF(LEN(EvolucionIncidencia[[#This Row],[Nuevos 7 dias]])=0,"",EvolucionIncidencia[[#This Row],[Nuevos 7 dias]]/_xlfn.MAXIFS(EvolucionIncidencia[Nuevos 7 dias],EvolucionIncidencia[Area_Sanitaria],EvolucionIncidencia[[#This Row],[Area_Sanitaria]]))</f>
        <v>0.85559566787003605</v>
      </c>
      <c r="AB480" s="2">
        <f>IF(LEN(EvolucionIncidencia[[#This Row],[Nuevos 14 dias]])=0,"",EvolucionIncidencia[[#This Row],[Nuevos 14 dias]]/_xlfn.MAXIFS(EvolucionIncidencia[Nuevos 14 dias],EvolucionIncidencia[Area_Sanitaria],EvolucionIncidencia[[#This Row],[Area_Sanitaria]]))</f>
        <v>0.98375997797963111</v>
      </c>
    </row>
    <row r="481" spans="1:28" hidden="1" x14ac:dyDescent="0.3">
      <c r="A481" s="1">
        <v>44229</v>
      </c>
      <c r="B481" s="2" t="s">
        <v>3</v>
      </c>
      <c r="C481" s="15">
        <v>100216</v>
      </c>
      <c r="D481" s="15">
        <v>22440</v>
      </c>
      <c r="E481" s="15">
        <v>75947</v>
      </c>
      <c r="F481">
        <v>1125</v>
      </c>
      <c r="G481">
        <v>247</v>
      </c>
      <c r="H481" s="15">
        <v>1447952</v>
      </c>
      <c r="I481" s="15">
        <v>1843</v>
      </c>
      <c r="J481" s="15">
        <v>553466</v>
      </c>
      <c r="K481" s="15">
        <v>1140</v>
      </c>
      <c r="L481">
        <v>-82</v>
      </c>
      <c r="M481">
        <v>-61</v>
      </c>
      <c r="N481">
        <v>-6</v>
      </c>
      <c r="O481" s="15">
        <v>13465</v>
      </c>
      <c r="P481" s="15">
        <v>12001</v>
      </c>
      <c r="Q481" s="15">
        <v>25466</v>
      </c>
      <c r="R481">
        <v>0.99635911553148038</v>
      </c>
      <c r="S481" s="15">
        <v>1195</v>
      </c>
      <c r="T481" t="s">
        <v>480</v>
      </c>
      <c r="U481" s="15" t="str">
        <f>TEXT(EvolucionIncidencia[[#This Row],[Fecha]],"DDDD")</f>
        <v>martes</v>
      </c>
      <c r="V4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0.87099125364431484</v>
      </c>
      <c r="W4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1225.1681539067704</v>
      </c>
      <c r="X481" s="2">
        <f>IF(EvolucionIncidencia[[#This Row],[Fecha]]&lt;=MIN(EvolucionIncidencia[Fecha])+14,"",EvolucionIncidencia[[#This Row],[NuevasAltas]]-EvolucionIncidencia[[#This Row],[Previsión Altas]])</f>
        <v>-30.168153906770385</v>
      </c>
      <c r="Y4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9038</v>
      </c>
      <c r="Z4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20382</v>
      </c>
      <c r="AA481" s="2">
        <f>IF(LEN(EvolucionIncidencia[[#This Row],[Nuevos 7 dias]])=0,"",EvolucionIncidencia[[#This Row],[Nuevos 7 dias]]/_xlfn.MAXIFS(EvolucionIncidencia[Nuevos 7 dias],EvolucionIncidencia[Area_Sanitaria],EvolucionIncidencia[[#This Row],[Area_Sanitaria]]))</f>
        <v>0.79672073342736249</v>
      </c>
      <c r="AB481" s="2">
        <f>IF(LEN(EvolucionIncidencia[[#This Row],[Nuevos 14 dias]])=0,"",EvolucionIncidencia[[#This Row],[Nuevos 14 dias]]/_xlfn.MAXIFS(EvolucionIncidencia[Nuevos 14 dias],EvolucionIncidencia[Area_Sanitaria],EvolucionIncidencia[[#This Row],[Area_Sanitaria]]))</f>
        <v>0.97717902004027235</v>
      </c>
    </row>
    <row r="482" spans="1:28" hidden="1" x14ac:dyDescent="0.3">
      <c r="A482" s="1">
        <v>44230</v>
      </c>
      <c r="B482" s="2" t="s">
        <v>4</v>
      </c>
      <c r="C482" s="15">
        <v>23341</v>
      </c>
      <c r="D482" s="15">
        <v>5845</v>
      </c>
      <c r="E482" s="15">
        <v>17052</v>
      </c>
      <c r="F482">
        <v>282</v>
      </c>
      <c r="G482">
        <v>87</v>
      </c>
      <c r="H482" s="15">
        <v>299577</v>
      </c>
      <c r="I482" s="15">
        <v>455</v>
      </c>
      <c r="J482" s="15">
        <v>112289</v>
      </c>
      <c r="K482" s="15">
        <v>297</v>
      </c>
      <c r="L482">
        <v>-44</v>
      </c>
      <c r="M482">
        <v>-24</v>
      </c>
      <c r="N482">
        <v>2</v>
      </c>
      <c r="O482" s="15">
        <v>2881</v>
      </c>
      <c r="P482" s="15">
        <v>4252</v>
      </c>
      <c r="Q482" s="15">
        <v>7133</v>
      </c>
      <c r="R482">
        <v>0.99252844285956865</v>
      </c>
      <c r="S482" s="15">
        <v>331</v>
      </c>
      <c r="T482" t="s">
        <v>481</v>
      </c>
      <c r="U482" s="15" t="str">
        <f>TEXT(EvolucionIncidencia[[#This Row],[Fecha]],"DDDD")</f>
        <v>miércoles</v>
      </c>
      <c r="V4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0.74886877828054299</v>
      </c>
      <c r="W4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384.27253022389652</v>
      </c>
      <c r="X482" s="2">
        <f>IF(EvolucionIncidencia[[#This Row],[Fecha]]&lt;=MIN(EvolucionIncidencia[Fecha])+14,"",EvolucionIncidencia[[#This Row],[NuevasAltas]]-EvolucionIncidencia[[#This Row],[Previsión Altas]])</f>
        <v>-53.272530223896524</v>
      </c>
      <c r="Y4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2060</v>
      </c>
      <c r="Z4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5006</v>
      </c>
      <c r="AA482" s="2">
        <f>IF(LEN(EvolucionIncidencia[[#This Row],[Nuevos 7 dias]])=0,"",EvolucionIncidencia[[#This Row],[Nuevos 7 dias]]/_xlfn.MAXIFS(EvolucionIncidencia[Nuevos 7 dias],EvolucionIncidencia[Area_Sanitaria],EvolucionIncidencia[[#This Row],[Area_Sanitaria]]))</f>
        <v>0.6915072171869755</v>
      </c>
      <c r="AB482" s="2">
        <f>IF(LEN(EvolucionIncidencia[[#This Row],[Nuevos 14 dias]])=0,"",EvolucionIncidencia[[#This Row],[Nuevos 14 dias]]/_xlfn.MAXIFS(EvolucionIncidencia[Nuevos 14 dias],EvolucionIncidencia[Area_Sanitaria],EvolucionIncidencia[[#This Row],[Area_Sanitaria]]))</f>
        <v>0.92072834283612282</v>
      </c>
    </row>
    <row r="483" spans="1:28" hidden="1" x14ac:dyDescent="0.3">
      <c r="A483" s="1">
        <v>44230</v>
      </c>
      <c r="B483" s="2" t="s">
        <v>5</v>
      </c>
      <c r="C483" s="15">
        <v>7018</v>
      </c>
      <c r="D483" s="15">
        <v>1858</v>
      </c>
      <c r="E483" s="15">
        <v>5013</v>
      </c>
      <c r="F483">
        <v>173</v>
      </c>
      <c r="G483">
        <v>25</v>
      </c>
      <c r="H483" s="15">
        <v>99882</v>
      </c>
      <c r="I483" s="15">
        <v>142</v>
      </c>
      <c r="J483" s="15">
        <v>33835</v>
      </c>
      <c r="K483" s="15">
        <v>97</v>
      </c>
      <c r="L483">
        <v>26</v>
      </c>
      <c r="M483">
        <v>7</v>
      </c>
      <c r="N483">
        <v>-2</v>
      </c>
      <c r="O483" s="15">
        <v>967</v>
      </c>
      <c r="P483" s="15">
        <v>396</v>
      </c>
      <c r="Q483" s="15">
        <v>1363</v>
      </c>
      <c r="R483">
        <v>1.0141921397379912</v>
      </c>
      <c r="S483" s="15">
        <v>65</v>
      </c>
      <c r="T483" t="s">
        <v>481</v>
      </c>
      <c r="U483" s="15" t="str">
        <f>TEXT(EvolucionIncidencia[[#This Row],[Fecha]],"DDDD")</f>
        <v>miércoles</v>
      </c>
      <c r="V4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0.46099290780141844</v>
      </c>
      <c r="W4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131.91132778424532</v>
      </c>
      <c r="X483" s="2">
        <f>IF(EvolucionIncidencia[[#This Row],[Fecha]]&lt;=MIN(EvolucionIncidencia[Fecha])+14,"",EvolucionIncidencia[[#This Row],[NuevasAltas]]-EvolucionIncidencia[[#This Row],[Previsión Altas]])</f>
        <v>-66.911327784245316</v>
      </c>
      <c r="Y4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788</v>
      </c>
      <c r="Z4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1595</v>
      </c>
      <c r="AA483" s="2">
        <f>IF(LEN(EvolucionIncidencia[[#This Row],[Nuevos 7 dias]])=0,"",EvolucionIncidencia[[#This Row],[Nuevos 7 dias]]/_xlfn.MAXIFS(EvolucionIncidencia[Nuevos 7 dias],EvolucionIncidencia[Area_Sanitaria],EvolucionIncidencia[[#This Row],[Area_Sanitaria]]))</f>
        <v>0.94371257485029936</v>
      </c>
      <c r="AB483" s="2">
        <f>IF(LEN(EvolucionIncidencia[[#This Row],[Nuevos 14 dias]])=0,"",EvolucionIncidencia[[#This Row],[Nuevos 14 dias]]/_xlfn.MAXIFS(EvolucionIncidencia[Nuevos 14 dias],EvolucionIncidencia[Area_Sanitaria],EvolucionIncidencia[[#This Row],[Area_Sanitaria]]))</f>
        <v>0.97315436241610742</v>
      </c>
    </row>
    <row r="484" spans="1:28" hidden="1" x14ac:dyDescent="0.3">
      <c r="A484" s="1">
        <v>44230</v>
      </c>
      <c r="B484" s="2" t="s">
        <v>8</v>
      </c>
      <c r="C484" s="15">
        <v>10599</v>
      </c>
      <c r="D484" s="15">
        <v>2105</v>
      </c>
      <c r="E484" s="15">
        <v>8311</v>
      </c>
      <c r="F484">
        <v>65</v>
      </c>
      <c r="G484">
        <v>26</v>
      </c>
      <c r="H484" s="15">
        <v>163474</v>
      </c>
      <c r="I484" s="15">
        <v>177</v>
      </c>
      <c r="J484" s="15">
        <v>84526</v>
      </c>
      <c r="K484" s="15">
        <v>107</v>
      </c>
      <c r="L484">
        <v>12</v>
      </c>
      <c r="M484">
        <v>-5</v>
      </c>
      <c r="N484">
        <v>1</v>
      </c>
      <c r="O484" s="15">
        <v>1329</v>
      </c>
      <c r="P484" s="15">
        <v>623</v>
      </c>
      <c r="Q484" s="15">
        <v>1952</v>
      </c>
      <c r="R484">
        <v>1.0057333970377449</v>
      </c>
      <c r="S484" s="15">
        <v>92</v>
      </c>
      <c r="T484" t="s">
        <v>481</v>
      </c>
      <c r="U484" s="15" t="str">
        <f>TEXT(EvolucionIncidencia[[#This Row],[Fecha]],"DDDD")</f>
        <v>miércoles</v>
      </c>
      <c r="V4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0.69696969696969702</v>
      </c>
      <c r="W4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124.50968543803739</v>
      </c>
      <c r="X484" s="2">
        <f>IF(EvolucionIncidencia[[#This Row],[Fecha]]&lt;=MIN(EvolucionIncidencia[Fecha])+14,"",EvolucionIncidencia[[#This Row],[NuevasAltas]]-EvolucionIncidencia[[#This Row],[Previsión Altas]])</f>
        <v>-32.509685438037394</v>
      </c>
      <c r="Y4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785</v>
      </c>
      <c r="Z4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1891</v>
      </c>
      <c r="AA484" s="2">
        <f>IF(LEN(EvolucionIncidencia[[#This Row],[Nuevos 7 dias]])=0,"",EvolucionIncidencia[[#This Row],[Nuevos 7 dias]]/_xlfn.MAXIFS(EvolucionIncidencia[Nuevos 7 dias],EvolucionIncidencia[Area_Sanitaria],EvolucionIncidencia[[#This Row],[Area_Sanitaria]]))</f>
        <v>0.70976491862567814</v>
      </c>
      <c r="AB484" s="2">
        <f>IF(LEN(EvolucionIncidencia[[#This Row],[Nuevos 14 dias]])=0,"",EvolucionIncidencia[[#This Row],[Nuevos 14 dias]]/_xlfn.MAXIFS(EvolucionIncidencia[Nuevos 14 dias],EvolucionIncidencia[Area_Sanitaria],EvolucionIncidencia[[#This Row],[Area_Sanitaria]]))</f>
        <v>0.95505050505050504</v>
      </c>
    </row>
    <row r="485" spans="1:28" hidden="1" x14ac:dyDescent="0.3">
      <c r="A485" s="1">
        <v>44230</v>
      </c>
      <c r="B485" s="2" t="s">
        <v>9</v>
      </c>
      <c r="C485" s="15">
        <v>13655</v>
      </c>
      <c r="D485" s="15">
        <v>2730</v>
      </c>
      <c r="E485" s="15">
        <v>10558</v>
      </c>
      <c r="F485">
        <v>156</v>
      </c>
      <c r="G485">
        <v>15</v>
      </c>
      <c r="H485" s="15">
        <v>181740</v>
      </c>
      <c r="I485" s="15">
        <v>369</v>
      </c>
      <c r="J485" s="15">
        <v>86155</v>
      </c>
      <c r="K485" s="15">
        <v>121</v>
      </c>
      <c r="L485">
        <v>-85</v>
      </c>
      <c r="M485">
        <v>-20</v>
      </c>
      <c r="N485">
        <v>1</v>
      </c>
      <c r="O485" s="15">
        <v>1088</v>
      </c>
      <c r="P485" s="15">
        <v>761</v>
      </c>
      <c r="Q485" s="15">
        <v>1849</v>
      </c>
      <c r="R485">
        <v>0.96980461811722918</v>
      </c>
      <c r="S485" s="15">
        <v>200</v>
      </c>
      <c r="T485" t="s">
        <v>481</v>
      </c>
      <c r="U485" s="15" t="str">
        <f>TEXT(EvolucionIncidencia[[#This Row],[Fecha]],"DDDD")</f>
        <v>miércoles</v>
      </c>
      <c r="V4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0.82644628099173556</v>
      </c>
      <c r="W4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226.10798368275039</v>
      </c>
      <c r="X485" s="2">
        <f>IF(EvolucionIncidencia[[#This Row],[Fecha]]&lt;=MIN(EvolucionIncidencia[Fecha])+14,"",EvolucionIncidencia[[#This Row],[NuevasAltas]]-EvolucionIncidencia[[#This Row],[Previsión Altas]])</f>
        <v>-26.107983682750387</v>
      </c>
      <c r="Y4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968</v>
      </c>
      <c r="Z4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2466</v>
      </c>
      <c r="AA485" s="2">
        <f>IF(LEN(EvolucionIncidencia[[#This Row],[Nuevos 7 dias]])=0,"",EvolucionIncidencia[[#This Row],[Nuevos 7 dias]]/_xlfn.MAXIFS(EvolucionIncidencia[Nuevos 7 dias],EvolucionIncidencia[Area_Sanitaria],EvolucionIncidencia[[#This Row],[Area_Sanitaria]]))</f>
        <v>0.61695347355003183</v>
      </c>
      <c r="AB485" s="2">
        <f>IF(LEN(EvolucionIncidencia[[#This Row],[Nuevos 14 dias]])=0,"",EvolucionIncidencia[[#This Row],[Nuevos 14 dias]]/_xlfn.MAXIFS(EvolucionIncidencia[Nuevos 14 dias],EvolucionIncidencia[Area_Sanitaria],EvolucionIncidencia[[#This Row],[Area_Sanitaria]]))</f>
        <v>0.87107029318262097</v>
      </c>
    </row>
    <row r="486" spans="1:28" x14ac:dyDescent="0.3">
      <c r="A486" s="1">
        <v>44230</v>
      </c>
      <c r="B486" s="2" t="s">
        <v>6</v>
      </c>
      <c r="C486" s="15">
        <v>10860</v>
      </c>
      <c r="D486" s="15">
        <v>2613</v>
      </c>
      <c r="E486" s="15">
        <v>8131</v>
      </c>
      <c r="F486">
        <v>113</v>
      </c>
      <c r="G486">
        <v>27</v>
      </c>
      <c r="H486" s="15">
        <v>145580</v>
      </c>
      <c r="I486" s="15">
        <v>119</v>
      </c>
      <c r="J486" s="15">
        <v>56919</v>
      </c>
      <c r="K486" s="15">
        <v>115</v>
      </c>
      <c r="L486">
        <v>35</v>
      </c>
      <c r="M486">
        <v>-4</v>
      </c>
      <c r="N486">
        <v>-2</v>
      </c>
      <c r="O486" s="15">
        <v>1252</v>
      </c>
      <c r="P486" s="15">
        <v>1440</v>
      </c>
      <c r="Q486" s="15">
        <v>2692</v>
      </c>
      <c r="R486">
        <v>1.0135764158262219</v>
      </c>
      <c r="S486" s="15">
        <v>78</v>
      </c>
      <c r="T486" t="s">
        <v>481</v>
      </c>
      <c r="U486" s="15" t="str">
        <f>TEXT(EvolucionIncidencia[[#This Row],[Fecha]],"DDDD")</f>
        <v>miércoles</v>
      </c>
      <c r="V4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0.3644859813084112</v>
      </c>
      <c r="W4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196.9500625824169</v>
      </c>
      <c r="X486" s="2">
        <f>IF(EvolucionIncidencia[[#This Row],[Fecha]]&lt;=MIN(EvolucionIncidencia[Fecha])+14,"",EvolucionIncidencia[[#This Row],[NuevasAltas]]-EvolucionIncidencia[[#This Row],[Previsión Altas]])</f>
        <v>-118.9500625824169</v>
      </c>
      <c r="Y4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1113</v>
      </c>
      <c r="Z4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2332</v>
      </c>
      <c r="AA486" s="2">
        <f>IF(LEN(EvolucionIncidencia[[#This Row],[Nuevos 7 dias]])=0,"",EvolucionIncidencia[[#This Row],[Nuevos 7 dias]]/_xlfn.MAXIFS(EvolucionIncidencia[Nuevos 7 dias],EvolucionIncidencia[Area_Sanitaria],EvolucionIncidencia[[#This Row],[Area_Sanitaria]]))</f>
        <v>0.84638783269961981</v>
      </c>
      <c r="AB486" s="2">
        <f>IF(LEN(EvolucionIncidencia[[#This Row],[Nuevos 14 dias]])=0,"",EvolucionIncidencia[[#This Row],[Nuevos 14 dias]]/_xlfn.MAXIFS(EvolucionIncidencia[Nuevos 14 dias],EvolucionIncidencia[Area_Sanitaria],EvolucionIncidencia[[#This Row],[Area_Sanitaria]]))</f>
        <v>0.95927601809954754</v>
      </c>
    </row>
    <row r="487" spans="1:28" hidden="1" x14ac:dyDescent="0.3">
      <c r="A487" s="1">
        <v>44230</v>
      </c>
      <c r="B487" s="2" t="s">
        <v>7</v>
      </c>
      <c r="C487" s="15">
        <v>16563</v>
      </c>
      <c r="D487" s="15">
        <v>3418</v>
      </c>
      <c r="E487" s="15">
        <v>12875</v>
      </c>
      <c r="F487">
        <v>128</v>
      </c>
      <c r="G487">
        <v>42</v>
      </c>
      <c r="H487" s="15">
        <v>259775</v>
      </c>
      <c r="I487" s="15">
        <v>278</v>
      </c>
      <c r="J487" s="15">
        <v>110155</v>
      </c>
      <c r="K487" s="15">
        <v>242</v>
      </c>
      <c r="L487">
        <v>52</v>
      </c>
      <c r="M487">
        <v>3</v>
      </c>
      <c r="N487">
        <v>-1</v>
      </c>
      <c r="O487" s="15">
        <v>2661</v>
      </c>
      <c r="P487" s="15">
        <v>1605</v>
      </c>
      <c r="Q487" s="15">
        <v>4266</v>
      </c>
      <c r="R487">
        <v>1.0154486036838979</v>
      </c>
      <c r="S487" s="15">
        <v>185</v>
      </c>
      <c r="T487" t="s">
        <v>481</v>
      </c>
      <c r="U487" s="15" t="str">
        <f>TEXT(EvolucionIncidencia[[#This Row],[Fecha]],"DDDD")</f>
        <v>miércoles</v>
      </c>
      <c r="V4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0.79399141630901282</v>
      </c>
      <c r="W4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228.24871921764489</v>
      </c>
      <c r="X487" s="2">
        <f>IF(EvolucionIncidencia[[#This Row],[Fecha]]&lt;=MIN(EvolucionIncidencia[Fecha])+14,"",EvolucionIncidencia[[#This Row],[NuevasAltas]]-EvolucionIncidencia[[#This Row],[Previsión Altas]])</f>
        <v>-43.24871921764489</v>
      </c>
      <c r="Y4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1431</v>
      </c>
      <c r="Z4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3093</v>
      </c>
      <c r="AA487" s="2">
        <f>IF(LEN(EvolucionIncidencia[[#This Row],[Nuevos 7 dias]])=0,"",EvolucionIncidencia[[#This Row],[Nuevos 7 dias]]/_xlfn.MAXIFS(EvolucionIncidencia[Nuevos 7 dias],EvolucionIncidencia[Area_Sanitaria],EvolucionIncidencia[[#This Row],[Area_Sanitaria]]))</f>
        <v>0.84275618374558303</v>
      </c>
      <c r="AB487" s="2">
        <f>IF(LEN(EvolucionIncidencia[[#This Row],[Nuevos 14 dias]])=0,"",EvolucionIncidencia[[#This Row],[Nuevos 14 dias]]/_xlfn.MAXIFS(EvolucionIncidencia[Nuevos 14 dias],EvolucionIncidencia[Area_Sanitaria],EvolucionIncidencia[[#This Row],[Area_Sanitaria]]))</f>
        <v>0.97203016970458833</v>
      </c>
    </row>
    <row r="488" spans="1:28" hidden="1" x14ac:dyDescent="0.3">
      <c r="A488" s="1">
        <v>44230</v>
      </c>
      <c r="B488" s="2" t="s">
        <v>2</v>
      </c>
      <c r="C488" s="15">
        <v>19363</v>
      </c>
      <c r="D488" s="15">
        <v>3830</v>
      </c>
      <c r="E488" s="15">
        <v>15195</v>
      </c>
      <c r="F488">
        <v>153</v>
      </c>
      <c r="G488">
        <v>25</v>
      </c>
      <c r="H488" s="15">
        <v>310923</v>
      </c>
      <c r="I488" s="15">
        <v>340</v>
      </c>
      <c r="J488" s="15">
        <v>82973</v>
      </c>
      <c r="K488" s="15">
        <v>204</v>
      </c>
      <c r="L488">
        <v>-37</v>
      </c>
      <c r="M488">
        <v>-12</v>
      </c>
      <c r="N488">
        <v>1</v>
      </c>
      <c r="O488" s="15">
        <v>2821</v>
      </c>
      <c r="P488" s="15">
        <v>4309</v>
      </c>
      <c r="Q488" s="15">
        <v>7130</v>
      </c>
      <c r="R488">
        <v>0.99043185932247224</v>
      </c>
      <c r="S488" s="15">
        <v>237</v>
      </c>
      <c r="T488" t="s">
        <v>481</v>
      </c>
      <c r="U488" s="15" t="str">
        <f>TEXT(EvolucionIncidencia[[#This Row],[Fecha]],"DDDD")</f>
        <v>miércoles</v>
      </c>
      <c r="V4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0.73374613003095979</v>
      </c>
      <c r="W4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314.5064209461396</v>
      </c>
      <c r="X488" s="2">
        <f>IF(EvolucionIncidencia[[#This Row],[Fecha]]&lt;=MIN(EvolucionIncidencia[Fecha])+14,"",EvolucionIncidencia[[#This Row],[NuevasAltas]]-EvolucionIncidencia[[#This Row],[Previsión Altas]])</f>
        <v>-77.506420946139599</v>
      </c>
      <c r="Y4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1608</v>
      </c>
      <c r="Z4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3455</v>
      </c>
      <c r="AA488" s="2">
        <f>IF(LEN(EvolucionIncidencia[[#This Row],[Nuevos 7 dias]])=0,"",EvolucionIncidencia[[#This Row],[Nuevos 7 dias]]/_xlfn.MAXIFS(EvolucionIncidencia[Nuevos 7 dias],EvolucionIncidencia[Area_Sanitaria],EvolucionIncidencia[[#This Row],[Area_Sanitaria]]))</f>
        <v>0.82929345023207834</v>
      </c>
      <c r="AB488" s="2">
        <f>IF(LEN(EvolucionIncidencia[[#This Row],[Nuevos 14 dias]])=0,"",EvolucionIncidencia[[#This Row],[Nuevos 14 dias]]/_xlfn.MAXIFS(EvolucionIncidencia[Nuevos 14 dias],EvolucionIncidencia[Area_Sanitaria],EvolucionIncidencia[[#This Row],[Area_Sanitaria]]))</f>
        <v>0.95100467932837873</v>
      </c>
    </row>
    <row r="489" spans="1:28" hidden="1" x14ac:dyDescent="0.3">
      <c r="A489" s="1">
        <v>44230</v>
      </c>
      <c r="B489" s="2" t="s">
        <v>3</v>
      </c>
      <c r="C489" s="15">
        <v>101399</v>
      </c>
      <c r="D489" s="15">
        <v>22399</v>
      </c>
      <c r="E489" s="15">
        <v>77135</v>
      </c>
      <c r="F489">
        <v>1070</v>
      </c>
      <c r="G489">
        <v>247</v>
      </c>
      <c r="H489" s="15">
        <v>1460951</v>
      </c>
      <c r="I489" s="15">
        <v>1880</v>
      </c>
      <c r="J489" s="15">
        <v>566852</v>
      </c>
      <c r="K489" s="15">
        <v>1183</v>
      </c>
      <c r="L489">
        <v>-41</v>
      </c>
      <c r="M489">
        <v>-55</v>
      </c>
      <c r="N489">
        <v>0</v>
      </c>
      <c r="O489" s="15">
        <v>12999</v>
      </c>
      <c r="P489" s="15">
        <v>13386</v>
      </c>
      <c r="Q489" s="15">
        <v>26385</v>
      </c>
      <c r="R489">
        <v>0.9981729055258467</v>
      </c>
      <c r="S489" s="15">
        <v>1188</v>
      </c>
      <c r="T489" t="s">
        <v>481</v>
      </c>
      <c r="U489" s="15" t="str">
        <f>TEXT(EvolucionIncidencia[[#This Row],[Fecha]],"DDDD")</f>
        <v>miércoles</v>
      </c>
      <c r="V4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0.68789808917197448</v>
      </c>
      <c r="W4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1567.0201526964886</v>
      </c>
      <c r="X489" s="2">
        <f>IF(EvolucionIncidencia[[#This Row],[Fecha]]&lt;=MIN(EvolucionIncidencia[Fecha])+14,"",EvolucionIncidencia[[#This Row],[NuevasAltas]]-EvolucionIncidencia[[#This Row],[Previsión Altas]])</f>
        <v>-379.02015269648859</v>
      </c>
      <c r="Y4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8753</v>
      </c>
      <c r="Z4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19838</v>
      </c>
      <c r="AA489" s="2">
        <f>IF(LEN(EvolucionIncidencia[[#This Row],[Nuevos 7 dias]])=0,"",EvolucionIncidencia[[#This Row],[Nuevos 7 dias]]/_xlfn.MAXIFS(EvolucionIncidencia[Nuevos 7 dias],EvolucionIncidencia[Area_Sanitaria],EvolucionIncidencia[[#This Row],[Area_Sanitaria]]))</f>
        <v>0.77159732016925242</v>
      </c>
      <c r="AB489" s="2">
        <f>IF(LEN(EvolucionIncidencia[[#This Row],[Nuevos 14 dias]])=0,"",EvolucionIncidencia[[#This Row],[Nuevos 14 dias]]/_xlfn.MAXIFS(EvolucionIncidencia[Nuevos 14 dias],EvolucionIncidencia[Area_Sanitaria],EvolucionIncidencia[[#This Row],[Area_Sanitaria]]))</f>
        <v>0.9510979000862978</v>
      </c>
    </row>
    <row r="490" spans="1:28" hidden="1" x14ac:dyDescent="0.3">
      <c r="A490" s="1">
        <v>44231</v>
      </c>
      <c r="B490" s="2" t="s">
        <v>4</v>
      </c>
      <c r="C490" s="15">
        <v>23600</v>
      </c>
      <c r="D490" s="15">
        <v>5713</v>
      </c>
      <c r="E490" s="15">
        <v>17438</v>
      </c>
      <c r="F490">
        <v>276</v>
      </c>
      <c r="G490">
        <v>85</v>
      </c>
      <c r="H490" s="15">
        <v>302122</v>
      </c>
      <c r="I490" s="15">
        <v>459</v>
      </c>
      <c r="J490" s="15">
        <v>116496</v>
      </c>
      <c r="K490" s="15">
        <v>259</v>
      </c>
      <c r="L490">
        <v>-132</v>
      </c>
      <c r="M490">
        <v>-6</v>
      </c>
      <c r="N490">
        <v>-2</v>
      </c>
      <c r="O490" s="15">
        <v>2545</v>
      </c>
      <c r="P490" s="15">
        <v>4207</v>
      </c>
      <c r="Q490" s="15">
        <v>6752</v>
      </c>
      <c r="R490">
        <v>0.97741659538066727</v>
      </c>
      <c r="S490" s="15">
        <v>386</v>
      </c>
      <c r="T490" t="s">
        <v>482</v>
      </c>
      <c r="U490" s="15" t="str">
        <f>TEXT(EvolucionIncidencia[[#This Row],[Fecha]],"DDDD")</f>
        <v>jueves</v>
      </c>
      <c r="V4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0.86547085201793716</v>
      </c>
      <c r="W4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380.15304144960595</v>
      </c>
      <c r="X490" s="2">
        <f>IF(EvolucionIncidencia[[#This Row],[Fecha]]&lt;=MIN(EvolucionIncidencia[Fecha])+14,"",EvolucionIncidencia[[#This Row],[NuevasAltas]]-EvolucionIncidencia[[#This Row],[Previsión Altas]])</f>
        <v>5.8469585503940493</v>
      </c>
      <c r="Y4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1954</v>
      </c>
      <c r="Z4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4819</v>
      </c>
      <c r="AA490" s="2">
        <f>IF(LEN(EvolucionIncidencia[[#This Row],[Nuevos 7 dias]])=0,"",EvolucionIncidencia[[#This Row],[Nuevos 7 dias]]/_xlfn.MAXIFS(EvolucionIncidencia[Nuevos 7 dias],EvolucionIncidencia[Area_Sanitaria],EvolucionIncidencia[[#This Row],[Area_Sanitaria]]))</f>
        <v>0.65592480698220879</v>
      </c>
      <c r="AB490" s="2">
        <f>IF(LEN(EvolucionIncidencia[[#This Row],[Nuevos 14 dias]])=0,"",EvolucionIncidencia[[#This Row],[Nuevos 14 dias]]/_xlfn.MAXIFS(EvolucionIncidencia[Nuevos 14 dias],EvolucionIncidencia[Area_Sanitaria],EvolucionIncidencia[[#This Row],[Area_Sanitaria]]))</f>
        <v>0.88633437557476547</v>
      </c>
    </row>
    <row r="491" spans="1:28" hidden="1" x14ac:dyDescent="0.3">
      <c r="A491" s="1">
        <v>44231</v>
      </c>
      <c r="B491" s="2" t="s">
        <v>5</v>
      </c>
      <c r="C491" s="15">
        <v>7120</v>
      </c>
      <c r="D491" s="15">
        <v>1810</v>
      </c>
      <c r="E491" s="15">
        <v>5156</v>
      </c>
      <c r="F491">
        <v>165</v>
      </c>
      <c r="G491">
        <v>25</v>
      </c>
      <c r="H491" s="15">
        <v>100847</v>
      </c>
      <c r="I491" s="15">
        <v>149</v>
      </c>
      <c r="J491" s="15">
        <v>34591</v>
      </c>
      <c r="K491" s="15">
        <v>102</v>
      </c>
      <c r="L491">
        <v>-48</v>
      </c>
      <c r="M491">
        <v>-8</v>
      </c>
      <c r="N491">
        <v>0</v>
      </c>
      <c r="O491" s="15">
        <v>965</v>
      </c>
      <c r="P491" s="15">
        <v>756</v>
      </c>
      <c r="Q491" s="15">
        <v>1721</v>
      </c>
      <c r="R491">
        <v>0.9741657696447793</v>
      </c>
      <c r="S491" s="15">
        <v>143</v>
      </c>
      <c r="T491" t="s">
        <v>482</v>
      </c>
      <c r="U491" s="15" t="str">
        <f>TEXT(EvolucionIncidencia[[#This Row],[Fecha]],"DDDD")</f>
        <v>jueves</v>
      </c>
      <c r="V4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1.1085271317829457</v>
      </c>
      <c r="W4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110.36803603831683</v>
      </c>
      <c r="X491" s="2">
        <f>IF(EvolucionIncidencia[[#This Row],[Fecha]]&lt;=MIN(EvolucionIncidencia[Fecha])+14,"",EvolucionIncidencia[[#This Row],[NuevasAltas]]-EvolucionIncidencia[[#This Row],[Previsión Altas]])</f>
        <v>32.631963961683169</v>
      </c>
      <c r="Y4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745</v>
      </c>
      <c r="Z4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1568</v>
      </c>
      <c r="AA491" s="2">
        <f>IF(LEN(EvolucionIncidencia[[#This Row],[Nuevos 7 dias]])=0,"",EvolucionIncidencia[[#This Row],[Nuevos 7 dias]]/_xlfn.MAXIFS(EvolucionIncidencia[Nuevos 7 dias],EvolucionIncidencia[Area_Sanitaria],EvolucionIncidencia[[#This Row],[Area_Sanitaria]]))</f>
        <v>0.89221556886227549</v>
      </c>
      <c r="AB491" s="2">
        <f>IF(LEN(EvolucionIncidencia[[#This Row],[Nuevos 14 dias]])=0,"",EvolucionIncidencia[[#This Row],[Nuevos 14 dias]]/_xlfn.MAXIFS(EvolucionIncidencia[Nuevos 14 dias],EvolucionIncidencia[Area_Sanitaria],EvolucionIncidencia[[#This Row],[Area_Sanitaria]]))</f>
        <v>0.95668090298962782</v>
      </c>
    </row>
    <row r="492" spans="1:28" hidden="1" x14ac:dyDescent="0.3">
      <c r="A492" s="1">
        <v>44231</v>
      </c>
      <c r="B492" s="2" t="s">
        <v>8</v>
      </c>
      <c r="C492" s="15">
        <v>10681</v>
      </c>
      <c r="D492" s="15">
        <v>2023</v>
      </c>
      <c r="E492" s="15">
        <v>8474</v>
      </c>
      <c r="F492">
        <v>64</v>
      </c>
      <c r="G492">
        <v>27</v>
      </c>
      <c r="H492" s="15">
        <v>164911</v>
      </c>
      <c r="I492" s="15">
        <v>178</v>
      </c>
      <c r="J492" s="15">
        <v>85122</v>
      </c>
      <c r="K492" s="15">
        <v>82</v>
      </c>
      <c r="L492">
        <v>-82</v>
      </c>
      <c r="M492">
        <v>-1</v>
      </c>
      <c r="N492">
        <v>1</v>
      </c>
      <c r="O492" s="15">
        <v>1437</v>
      </c>
      <c r="P492" s="15">
        <v>596</v>
      </c>
      <c r="Q492" s="15">
        <v>2033</v>
      </c>
      <c r="R492">
        <v>0.96104513064133013</v>
      </c>
      <c r="S492" s="15">
        <v>163</v>
      </c>
      <c r="T492" t="s">
        <v>482</v>
      </c>
      <c r="U492" s="15" t="str">
        <f>TEXT(EvolucionIncidencia[[#This Row],[Fecha]],"DDDD")</f>
        <v>jueves</v>
      </c>
      <c r="V4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154.60962144506001</v>
      </c>
      <c r="X492" s="2">
        <f>IF(EvolucionIncidencia[[#This Row],[Fecha]]&lt;=MIN(EvolucionIncidencia[Fecha])+14,"",EvolucionIncidencia[[#This Row],[NuevasAltas]]-EvolucionIncidencia[[#This Row],[Previsión Altas]])</f>
        <v>8.3903785549399856</v>
      </c>
      <c r="Y4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744</v>
      </c>
      <c r="Z4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1810</v>
      </c>
      <c r="AA492" s="2">
        <f>IF(LEN(EvolucionIncidencia[[#This Row],[Nuevos 7 dias]])=0,"",EvolucionIncidencia[[#This Row],[Nuevos 7 dias]]/_xlfn.MAXIFS(EvolucionIncidencia[Nuevos 7 dias],EvolucionIncidencia[Area_Sanitaria],EvolucionIncidencia[[#This Row],[Area_Sanitaria]]))</f>
        <v>0.67269439421338151</v>
      </c>
      <c r="AB492" s="2">
        <f>IF(LEN(EvolucionIncidencia[[#This Row],[Nuevos 14 dias]])=0,"",EvolucionIncidencia[[#This Row],[Nuevos 14 dias]]/_xlfn.MAXIFS(EvolucionIncidencia[Nuevos 14 dias],EvolucionIncidencia[Area_Sanitaria],EvolucionIncidencia[[#This Row],[Area_Sanitaria]]))</f>
        <v>0.91414141414141414</v>
      </c>
    </row>
    <row r="493" spans="1:28" hidden="1" x14ac:dyDescent="0.3">
      <c r="A493" s="1">
        <v>44231</v>
      </c>
      <c r="B493" s="2" t="s">
        <v>9</v>
      </c>
      <c r="C493" s="15">
        <v>13767</v>
      </c>
      <c r="D493" s="15">
        <v>2578</v>
      </c>
      <c r="E493" s="15">
        <v>10819</v>
      </c>
      <c r="F493">
        <v>154</v>
      </c>
      <c r="G493">
        <v>18</v>
      </c>
      <c r="H493" s="15">
        <v>182913</v>
      </c>
      <c r="I493" s="15">
        <v>372</v>
      </c>
      <c r="J493" s="15">
        <v>86979</v>
      </c>
      <c r="K493" s="15">
        <v>112</v>
      </c>
      <c r="L493">
        <v>-152</v>
      </c>
      <c r="M493">
        <v>-2</v>
      </c>
      <c r="N493">
        <v>3</v>
      </c>
      <c r="O493" s="15">
        <v>1173</v>
      </c>
      <c r="P493" s="15">
        <v>824</v>
      </c>
      <c r="Q493" s="15">
        <v>1997</v>
      </c>
      <c r="R493">
        <v>0.9443223443223443</v>
      </c>
      <c r="S493" s="15">
        <v>261</v>
      </c>
      <c r="T493" t="s">
        <v>482</v>
      </c>
      <c r="U493" s="15" t="str">
        <f>TEXT(EvolucionIncidencia[[#This Row],[Fecha]],"DDDD")</f>
        <v>jueves</v>
      </c>
      <c r="V4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1.0316205533596838</v>
      </c>
      <c r="W4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230.08675566833</v>
      </c>
      <c r="X493" s="2">
        <f>IF(EvolucionIncidencia[[#This Row],[Fecha]]&lt;=MIN(EvolucionIncidencia[Fecha])+14,"",EvolucionIncidencia[[#This Row],[NuevasAltas]]-EvolucionIncidencia[[#This Row],[Previsión Altas]])</f>
        <v>30.913244331670001</v>
      </c>
      <c r="Y4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890</v>
      </c>
      <c r="Z4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2325</v>
      </c>
      <c r="AA493" s="2">
        <f>IF(LEN(EvolucionIncidencia[[#This Row],[Nuevos 7 dias]])=0,"",EvolucionIncidencia[[#This Row],[Nuevos 7 dias]]/_xlfn.MAXIFS(EvolucionIncidencia[Nuevos 7 dias],EvolucionIncidencia[Area_Sanitaria],EvolucionIncidencia[[#This Row],[Area_Sanitaria]]))</f>
        <v>0.56724028043339703</v>
      </c>
      <c r="AB493" s="2">
        <f>IF(LEN(EvolucionIncidencia[[#This Row],[Nuevos 14 dias]])=0,"",EvolucionIncidencia[[#This Row],[Nuevos 14 dias]]/_xlfn.MAXIFS(EvolucionIncidencia[Nuevos 14 dias],EvolucionIncidencia[Area_Sanitaria],EvolucionIncidencia[[#This Row],[Area_Sanitaria]]))</f>
        <v>0.82126457082303073</v>
      </c>
    </row>
    <row r="494" spans="1:28" x14ac:dyDescent="0.3">
      <c r="A494" s="1">
        <v>44231</v>
      </c>
      <c r="B494" s="2" t="s">
        <v>6</v>
      </c>
      <c r="C494" s="15">
        <v>11023</v>
      </c>
      <c r="D494" s="15">
        <v>2576</v>
      </c>
      <c r="E494" s="15">
        <v>8326</v>
      </c>
      <c r="F494">
        <v>112</v>
      </c>
      <c r="G494">
        <v>27</v>
      </c>
      <c r="H494" s="15">
        <v>147019</v>
      </c>
      <c r="I494" s="15">
        <v>124</v>
      </c>
      <c r="J494" s="15">
        <v>58910</v>
      </c>
      <c r="K494" s="15">
        <v>163</v>
      </c>
      <c r="L494">
        <v>-37</v>
      </c>
      <c r="M494">
        <v>-1</v>
      </c>
      <c r="N494">
        <v>0</v>
      </c>
      <c r="O494" s="15">
        <v>1439</v>
      </c>
      <c r="P494" s="15">
        <v>1991</v>
      </c>
      <c r="Q494" s="15">
        <v>3430</v>
      </c>
      <c r="R494">
        <v>0.98584003061615</v>
      </c>
      <c r="S494" s="15">
        <v>195</v>
      </c>
      <c r="T494" t="s">
        <v>482</v>
      </c>
      <c r="U494" s="15" t="str">
        <f>TEXT(EvolucionIncidencia[[#This Row],[Fecha]],"DDDD")</f>
        <v>jueves</v>
      </c>
      <c r="V4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1.2037037037037037</v>
      </c>
      <c r="W4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145.67351867053455</v>
      </c>
      <c r="X494" s="2">
        <f>IF(EvolucionIncidencia[[#This Row],[Fecha]]&lt;=MIN(EvolucionIncidencia[Fecha])+14,"",EvolucionIncidencia[[#This Row],[NuevasAltas]]-EvolucionIncidencia[[#This Row],[Previsión Altas]])</f>
        <v>49.326481329465452</v>
      </c>
      <c r="Y4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1106</v>
      </c>
      <c r="Z4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2333</v>
      </c>
      <c r="AA494" s="2">
        <f>IF(LEN(EvolucionIncidencia[[#This Row],[Nuevos 7 dias]])=0,"",EvolucionIncidencia[[#This Row],[Nuevos 7 dias]]/_xlfn.MAXIFS(EvolucionIncidencia[Nuevos 7 dias],EvolucionIncidencia[Area_Sanitaria],EvolucionIncidencia[[#This Row],[Area_Sanitaria]]))</f>
        <v>0.84106463878326998</v>
      </c>
      <c r="AB494" s="2">
        <f>IF(LEN(EvolucionIncidencia[[#This Row],[Nuevos 14 dias]])=0,"",EvolucionIncidencia[[#This Row],[Nuevos 14 dias]]/_xlfn.MAXIFS(EvolucionIncidencia[Nuevos 14 dias],EvolucionIncidencia[Area_Sanitaria],EvolucionIncidencia[[#This Row],[Area_Sanitaria]]))</f>
        <v>0.95968737145207739</v>
      </c>
    </row>
    <row r="495" spans="1:28" hidden="1" x14ac:dyDescent="0.3">
      <c r="A495" s="1">
        <v>44231</v>
      </c>
      <c r="B495" s="2" t="s">
        <v>7</v>
      </c>
      <c r="C495" s="15">
        <v>16735</v>
      </c>
      <c r="D495" s="15">
        <v>3339</v>
      </c>
      <c r="E495" s="15">
        <v>13124</v>
      </c>
      <c r="F495">
        <v>131</v>
      </c>
      <c r="G495">
        <v>43</v>
      </c>
      <c r="H495" s="15">
        <v>262117</v>
      </c>
      <c r="I495" s="15">
        <v>281</v>
      </c>
      <c r="J495" s="15">
        <v>112361</v>
      </c>
      <c r="K495" s="15">
        <v>172</v>
      </c>
      <c r="L495">
        <v>-79</v>
      </c>
      <c r="M495">
        <v>3</v>
      </c>
      <c r="N495">
        <v>1</v>
      </c>
      <c r="O495" s="15">
        <v>2342</v>
      </c>
      <c r="P495" s="15">
        <v>2206</v>
      </c>
      <c r="Q495" s="15">
        <v>4548</v>
      </c>
      <c r="R495">
        <v>0.9768870684610883</v>
      </c>
      <c r="S495" s="15">
        <v>249</v>
      </c>
      <c r="T495" t="s">
        <v>482</v>
      </c>
      <c r="U495" s="15" t="str">
        <f>TEXT(EvolucionIncidencia[[#This Row],[Fecha]],"DDDD")</f>
        <v>jueves</v>
      </c>
      <c r="V4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0.84406779661016951</v>
      </c>
      <c r="W4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280.07143232853031</v>
      </c>
      <c r="X495" s="2">
        <f>IF(EvolucionIncidencia[[#This Row],[Fecha]]&lt;=MIN(EvolucionIncidencia[Fecha])+14,"",EvolucionIncidencia[[#This Row],[NuevasAltas]]-EvolucionIncidencia[[#This Row],[Previsión Altas]])</f>
        <v>-31.071432328530307</v>
      </c>
      <c r="Y4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1302</v>
      </c>
      <c r="Z4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2970</v>
      </c>
      <c r="AA495" s="2">
        <f>IF(LEN(EvolucionIncidencia[[#This Row],[Nuevos 7 dias]])=0,"",EvolucionIncidencia[[#This Row],[Nuevos 7 dias]]/_xlfn.MAXIFS(EvolucionIncidencia[Nuevos 7 dias],EvolucionIncidencia[Area_Sanitaria],EvolucionIncidencia[[#This Row],[Area_Sanitaria]]))</f>
        <v>0.7667844522968198</v>
      </c>
      <c r="AB495" s="2">
        <f>IF(LEN(EvolucionIncidencia[[#This Row],[Nuevos 14 dias]])=0,"",EvolucionIncidencia[[#This Row],[Nuevos 14 dias]]/_xlfn.MAXIFS(EvolucionIncidencia[Nuevos 14 dias],EvolucionIncidencia[Area_Sanitaria],EvolucionIncidencia[[#This Row],[Area_Sanitaria]]))</f>
        <v>0.93337523570081704</v>
      </c>
    </row>
    <row r="496" spans="1:28" hidden="1" x14ac:dyDescent="0.3">
      <c r="A496" s="1">
        <v>44231</v>
      </c>
      <c r="B496" s="2" t="s">
        <v>2</v>
      </c>
      <c r="C496" s="15">
        <v>19498</v>
      </c>
      <c r="D496" s="15">
        <v>3647</v>
      </c>
      <c r="E496" s="15">
        <v>15506</v>
      </c>
      <c r="F496">
        <v>136</v>
      </c>
      <c r="G496">
        <v>26</v>
      </c>
      <c r="H496" s="15">
        <v>312694</v>
      </c>
      <c r="I496" s="15">
        <v>347</v>
      </c>
      <c r="J496" s="15">
        <v>87659</v>
      </c>
      <c r="K496" s="15">
        <v>135</v>
      </c>
      <c r="L496">
        <v>-183</v>
      </c>
      <c r="M496">
        <v>-17</v>
      </c>
      <c r="N496">
        <v>1</v>
      </c>
      <c r="O496" s="15">
        <v>1771</v>
      </c>
      <c r="P496" s="15">
        <v>4686</v>
      </c>
      <c r="Q496" s="15">
        <v>6457</v>
      </c>
      <c r="R496">
        <v>0.95221932114882502</v>
      </c>
      <c r="S496" s="15">
        <v>311</v>
      </c>
      <c r="T496" t="s">
        <v>482</v>
      </c>
      <c r="U496" s="15" t="str">
        <f>TEXT(EvolucionIncidencia[[#This Row],[Fecha]],"DDDD")</f>
        <v>jueves</v>
      </c>
      <c r="V4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0.87853107344632764</v>
      </c>
      <c r="W4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342.35634396869955</v>
      </c>
      <c r="X496" s="2">
        <f>IF(EvolucionIncidencia[[#This Row],[Fecha]]&lt;=MIN(EvolucionIncidencia[Fecha])+14,"",EvolucionIncidencia[[#This Row],[NuevasAltas]]-EvolucionIncidencia[[#This Row],[Previsión Altas]])</f>
        <v>-31.356343968699548</v>
      </c>
      <c r="Y4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1394</v>
      </c>
      <c r="Z4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3236</v>
      </c>
      <c r="AA496" s="2">
        <f>IF(LEN(EvolucionIncidencia[[#This Row],[Nuevos 7 dias]])=0,"",EvolucionIncidencia[[#This Row],[Nuevos 7 dias]]/_xlfn.MAXIFS(EvolucionIncidencia[Nuevos 7 dias],EvolucionIncidencia[Area_Sanitaria],EvolucionIncidencia[[#This Row],[Area_Sanitaria]]))</f>
        <v>0.71892728210417745</v>
      </c>
      <c r="AB496" s="2">
        <f>IF(LEN(EvolucionIncidencia[[#This Row],[Nuevos 14 dias]])=0,"",EvolucionIncidencia[[#This Row],[Nuevos 14 dias]]/_xlfn.MAXIFS(EvolucionIncidencia[Nuevos 14 dias],EvolucionIncidencia[Area_Sanitaria],EvolucionIncidencia[[#This Row],[Area_Sanitaria]]))</f>
        <v>0.89072391962565378</v>
      </c>
    </row>
    <row r="497" spans="1:28" hidden="1" x14ac:dyDescent="0.3">
      <c r="A497" s="1">
        <v>44231</v>
      </c>
      <c r="B497" s="2" t="s">
        <v>3</v>
      </c>
      <c r="C497" s="15">
        <v>102424</v>
      </c>
      <c r="D497" s="15">
        <v>21686</v>
      </c>
      <c r="E497" s="15">
        <v>78843</v>
      </c>
      <c r="F497">
        <v>1038</v>
      </c>
      <c r="G497">
        <v>251</v>
      </c>
      <c r="H497" s="15">
        <v>1472623</v>
      </c>
      <c r="I497" s="15">
        <v>1910</v>
      </c>
      <c r="J497" s="15">
        <v>582118</v>
      </c>
      <c r="K497" s="15">
        <v>1025</v>
      </c>
      <c r="L497">
        <v>-713</v>
      </c>
      <c r="M497">
        <v>-32</v>
      </c>
      <c r="N497">
        <v>4</v>
      </c>
      <c r="O497" s="15">
        <v>11672</v>
      </c>
      <c r="P497" s="15">
        <v>15266</v>
      </c>
      <c r="Q497" s="15">
        <v>26938</v>
      </c>
      <c r="R497">
        <v>0.9681682217956159</v>
      </c>
      <c r="S497" s="15">
        <v>1708</v>
      </c>
      <c r="T497" t="s">
        <v>482</v>
      </c>
      <c r="U497" s="15" t="str">
        <f>TEXT(EvolucionIncidencia[[#This Row],[Fecha]],"DDDD")</f>
        <v>jueves</v>
      </c>
      <c r="V4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0.94783573806881238</v>
      </c>
      <c r="W4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1599.0771575594281</v>
      </c>
      <c r="X497" s="2">
        <f>IF(EvolucionIncidencia[[#This Row],[Fecha]]&lt;=MIN(EvolucionIncidencia[Fecha])+14,"",EvolucionIncidencia[[#This Row],[NuevasAltas]]-EvolucionIncidencia[[#This Row],[Previsión Altas]])</f>
        <v>108.92284244057191</v>
      </c>
      <c r="Y4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8135</v>
      </c>
      <c r="Z4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19061</v>
      </c>
      <c r="AA497" s="2">
        <f>IF(LEN(EvolucionIncidencia[[#This Row],[Nuevos 7 dias]])=0,"",EvolucionIncidencia[[#This Row],[Nuevos 7 dias]]/_xlfn.MAXIFS(EvolucionIncidencia[Nuevos 7 dias],EvolucionIncidencia[Area_Sanitaria],EvolucionIncidencia[[#This Row],[Area_Sanitaria]]))</f>
        <v>0.71711918194640334</v>
      </c>
      <c r="AB497" s="2">
        <f>IF(LEN(EvolucionIncidencia[[#This Row],[Nuevos 14 dias]])=0,"",EvolucionIncidencia[[#This Row],[Nuevos 14 dias]]/_xlfn.MAXIFS(EvolucionIncidencia[Nuevos 14 dias],EvolucionIncidencia[Area_Sanitaria],EvolucionIncidencia[[#This Row],[Area_Sanitaria]]))</f>
        <v>0.9138460063285071</v>
      </c>
    </row>
    <row r="498" spans="1:28" hidden="1" x14ac:dyDescent="0.3">
      <c r="A498" s="1">
        <v>44232</v>
      </c>
      <c r="B498" s="2" t="s">
        <v>4</v>
      </c>
      <c r="C498" s="15">
        <v>23861</v>
      </c>
      <c r="D498" s="15">
        <v>5542</v>
      </c>
      <c r="E498" s="15">
        <v>17860</v>
      </c>
      <c r="F498">
        <v>287</v>
      </c>
      <c r="G498">
        <v>81</v>
      </c>
      <c r="H498" s="15">
        <v>305833</v>
      </c>
      <c r="I498" s="15">
        <v>469</v>
      </c>
      <c r="J498" s="15">
        <v>122720</v>
      </c>
      <c r="K498" s="15">
        <v>261</v>
      </c>
      <c r="L498">
        <v>-171</v>
      </c>
      <c r="M498">
        <v>11</v>
      </c>
      <c r="N498">
        <v>-4</v>
      </c>
      <c r="O498" s="15">
        <v>3711</v>
      </c>
      <c r="P498" s="15">
        <v>6224</v>
      </c>
      <c r="Q498" s="15">
        <v>9935</v>
      </c>
      <c r="R498">
        <v>0.97006826535970592</v>
      </c>
      <c r="S498" s="15">
        <v>422</v>
      </c>
      <c r="T498" t="s">
        <v>483</v>
      </c>
      <c r="U498" s="15" t="str">
        <f>TEXT(EvolucionIncidencia[[#This Row],[Fecha]],"DDDD")</f>
        <v>viernes</v>
      </c>
      <c r="V4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0.76867030965391625</v>
      </c>
      <c r="W4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462.41107093414416</v>
      </c>
      <c r="X498" s="2">
        <f>IF(EvolucionIncidencia[[#This Row],[Fecha]]&lt;=MIN(EvolucionIncidencia[Fecha])+14,"",EvolucionIncidencia[[#This Row],[NuevasAltas]]-EvolucionIncidencia[[#This Row],[Previsión Altas]])</f>
        <v>-40.411070934144163</v>
      </c>
      <c r="Y4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1895</v>
      </c>
      <c r="Z4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4531</v>
      </c>
      <c r="AA498" s="2">
        <f>IF(LEN(EvolucionIncidencia[[#This Row],[Nuevos 7 dias]])=0,"",EvolucionIncidencia[[#This Row],[Nuevos 7 dias]]/_xlfn.MAXIFS(EvolucionIncidencia[Nuevos 7 dias],EvolucionIncidencia[Area_Sanitaria],EvolucionIncidencia[[#This Row],[Area_Sanitaria]]))</f>
        <v>0.63611950318898958</v>
      </c>
      <c r="AB498" s="2">
        <f>IF(LEN(EvolucionIncidencia[[#This Row],[Nuevos 14 dias]])=0,"",EvolucionIncidencia[[#This Row],[Nuevos 14 dias]]/_xlfn.MAXIFS(EvolucionIncidencia[Nuevos 14 dias],EvolucionIncidencia[Area_Sanitaria],EvolucionIncidencia[[#This Row],[Area_Sanitaria]]))</f>
        <v>0.83336398749310281</v>
      </c>
    </row>
    <row r="499" spans="1:28" hidden="1" x14ac:dyDescent="0.3">
      <c r="A499" s="1">
        <v>44232</v>
      </c>
      <c r="B499" s="2" t="s">
        <v>5</v>
      </c>
      <c r="C499" s="15">
        <v>7210</v>
      </c>
      <c r="D499" s="15">
        <v>1765</v>
      </c>
      <c r="E499" s="15">
        <v>5289</v>
      </c>
      <c r="F499">
        <v>160</v>
      </c>
      <c r="G499">
        <v>25</v>
      </c>
      <c r="H499" s="15">
        <v>101825</v>
      </c>
      <c r="I499" s="15">
        <v>151</v>
      </c>
      <c r="J499" s="15">
        <v>35215</v>
      </c>
      <c r="K499" s="15">
        <v>90</v>
      </c>
      <c r="L499">
        <v>-45</v>
      </c>
      <c r="M499">
        <v>-5</v>
      </c>
      <c r="N499">
        <v>0</v>
      </c>
      <c r="O499" s="15">
        <v>978</v>
      </c>
      <c r="P499" s="15">
        <v>624</v>
      </c>
      <c r="Q499" s="15">
        <v>1602</v>
      </c>
      <c r="R499">
        <v>0.97513812154696133</v>
      </c>
      <c r="S499" s="15">
        <v>133</v>
      </c>
      <c r="T499" t="s">
        <v>483</v>
      </c>
      <c r="U499" s="15" t="str">
        <f>TEXT(EvolucionIncidencia[[#This Row],[Fecha]],"DDDD")</f>
        <v>viernes</v>
      </c>
      <c r="V4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0.89261744966442957</v>
      </c>
      <c r="W4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130.3372553576572</v>
      </c>
      <c r="X499" s="2">
        <f>IF(EvolucionIncidencia[[#This Row],[Fecha]]&lt;=MIN(EvolucionIncidencia[Fecha])+14,"",EvolucionIncidencia[[#This Row],[NuevasAltas]]-EvolucionIncidencia[[#This Row],[Previsión Altas]])</f>
        <v>2.6627446423428012</v>
      </c>
      <c r="Y4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703</v>
      </c>
      <c r="Z4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1509</v>
      </c>
      <c r="AA499" s="2">
        <f>IF(LEN(EvolucionIncidencia[[#This Row],[Nuevos 7 dias]])=0,"",EvolucionIncidencia[[#This Row],[Nuevos 7 dias]]/_xlfn.MAXIFS(EvolucionIncidencia[Nuevos 7 dias],EvolucionIncidencia[Area_Sanitaria],EvolucionIncidencia[[#This Row],[Area_Sanitaria]]))</f>
        <v>0.8419161676646707</v>
      </c>
      <c r="AB499" s="2">
        <f>IF(LEN(EvolucionIncidencia[[#This Row],[Nuevos 14 dias]])=0,"",EvolucionIncidencia[[#This Row],[Nuevos 14 dias]]/_xlfn.MAXIFS(EvolucionIncidencia[Nuevos 14 dias],EvolucionIncidencia[Area_Sanitaria],EvolucionIncidencia[[#This Row],[Area_Sanitaria]]))</f>
        <v>0.92068334350213543</v>
      </c>
    </row>
    <row r="500" spans="1:28" hidden="1" x14ac:dyDescent="0.3">
      <c r="A500" s="1">
        <v>44232</v>
      </c>
      <c r="B500" s="2" t="s">
        <v>8</v>
      </c>
      <c r="C500" s="15">
        <v>10772</v>
      </c>
      <c r="D500" s="15">
        <v>1957</v>
      </c>
      <c r="E500" s="15">
        <v>8631</v>
      </c>
      <c r="F500">
        <v>67</v>
      </c>
      <c r="G500">
        <v>30</v>
      </c>
      <c r="H500" s="15">
        <v>166213</v>
      </c>
      <c r="I500" s="15">
        <v>178</v>
      </c>
      <c r="J500" s="15">
        <v>85803</v>
      </c>
      <c r="K500" s="15">
        <v>91</v>
      </c>
      <c r="L500">
        <v>-66</v>
      </c>
      <c r="M500">
        <v>3</v>
      </c>
      <c r="N500">
        <v>3</v>
      </c>
      <c r="O500" s="15">
        <v>1302</v>
      </c>
      <c r="P500" s="15">
        <v>681</v>
      </c>
      <c r="Q500" s="15">
        <v>1983</v>
      </c>
      <c r="R500">
        <v>0.96737518536826494</v>
      </c>
      <c r="S500" s="15">
        <v>157</v>
      </c>
      <c r="T500" t="s">
        <v>483</v>
      </c>
      <c r="U500" s="15" t="str">
        <f>TEXT(EvolucionIncidencia[[#This Row],[Fecha]],"DDDD")</f>
        <v>viernes</v>
      </c>
      <c r="V5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0.83510638297872342</v>
      </c>
      <c r="W5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167.77173316037221</v>
      </c>
      <c r="X500" s="2">
        <f>IF(EvolucionIncidencia[[#This Row],[Fecha]]&lt;=MIN(EvolucionIncidencia[Fecha])+14,"",EvolucionIncidencia[[#This Row],[NuevasAltas]]-EvolucionIncidencia[[#This Row],[Previsión Altas]])</f>
        <v>-10.771733160372207</v>
      </c>
      <c r="Y5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656</v>
      </c>
      <c r="Z5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1713</v>
      </c>
      <c r="AA500" s="2">
        <f>IF(LEN(EvolucionIncidencia[[#This Row],[Nuevos 7 dias]])=0,"",EvolucionIncidencia[[#This Row],[Nuevos 7 dias]]/_xlfn.MAXIFS(EvolucionIncidencia[Nuevos 7 dias],EvolucionIncidencia[Area_Sanitaria],EvolucionIncidencia[[#This Row],[Area_Sanitaria]]))</f>
        <v>0.59312839059674505</v>
      </c>
      <c r="AB500" s="2">
        <f>IF(LEN(EvolucionIncidencia[[#This Row],[Nuevos 14 dias]])=0,"",EvolucionIncidencia[[#This Row],[Nuevos 14 dias]]/_xlfn.MAXIFS(EvolucionIncidencia[Nuevos 14 dias],EvolucionIncidencia[Area_Sanitaria],EvolucionIncidencia[[#This Row],[Area_Sanitaria]]))</f>
        <v>0.86515151515151512</v>
      </c>
    </row>
    <row r="501" spans="1:28" hidden="1" x14ac:dyDescent="0.3">
      <c r="A501" s="1">
        <v>44232</v>
      </c>
      <c r="B501" s="2" t="s">
        <v>9</v>
      </c>
      <c r="C501" s="15">
        <v>13844</v>
      </c>
      <c r="D501" s="15">
        <v>2409</v>
      </c>
      <c r="E501" s="15">
        <v>11062</v>
      </c>
      <c r="F501">
        <v>145</v>
      </c>
      <c r="G501">
        <v>17</v>
      </c>
      <c r="H501" s="15">
        <v>184131</v>
      </c>
      <c r="I501" s="15">
        <v>375</v>
      </c>
      <c r="J501" s="15">
        <v>89063</v>
      </c>
      <c r="K501" s="15">
        <v>77</v>
      </c>
      <c r="L501">
        <v>-169</v>
      </c>
      <c r="M501">
        <v>-9</v>
      </c>
      <c r="N501">
        <v>-1</v>
      </c>
      <c r="O501" s="15">
        <v>1218</v>
      </c>
      <c r="P501" s="15">
        <v>2084</v>
      </c>
      <c r="Q501" s="15">
        <v>3302</v>
      </c>
      <c r="R501">
        <v>0.93444530643910007</v>
      </c>
      <c r="S501" s="15">
        <v>243</v>
      </c>
      <c r="T501" t="s">
        <v>483</v>
      </c>
      <c r="U501" s="15" t="str">
        <f>TEXT(EvolucionIncidencia[[#This Row],[Fecha]],"DDDD")</f>
        <v>viernes</v>
      </c>
      <c r="V5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0.92045454545454541</v>
      </c>
      <c r="W5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243.09016229037277</v>
      </c>
      <c r="X501" s="2">
        <f>IF(EvolucionIncidencia[[#This Row],[Fecha]]&lt;=MIN(EvolucionIncidencia[Fecha])+14,"",EvolucionIncidencia[[#This Row],[NuevasAltas]]-EvolucionIncidencia[[#This Row],[Previsión Altas]])</f>
        <v>-9.0162290372774123E-2</v>
      </c>
      <c r="Y5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831</v>
      </c>
      <c r="Z5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2138</v>
      </c>
      <c r="AA501" s="2">
        <f>IF(LEN(EvolucionIncidencia[[#This Row],[Nuevos 7 dias]])=0,"",EvolucionIncidencia[[#This Row],[Nuevos 7 dias]]/_xlfn.MAXIFS(EvolucionIncidencia[Nuevos 7 dias],EvolucionIncidencia[Area_Sanitaria],EvolucionIncidencia[[#This Row],[Area_Sanitaria]]))</f>
        <v>0.5296367112810707</v>
      </c>
      <c r="AB501" s="2">
        <f>IF(LEN(EvolucionIncidencia[[#This Row],[Nuevos 14 dias]])=0,"",EvolucionIncidencia[[#This Row],[Nuevos 14 dias]]/_xlfn.MAXIFS(EvolucionIncidencia[Nuevos 14 dias],EvolucionIncidencia[Area_Sanitaria],EvolucionIncidencia[[#This Row],[Area_Sanitaria]]))</f>
        <v>0.75521017308371596</v>
      </c>
    </row>
    <row r="502" spans="1:28" x14ac:dyDescent="0.3">
      <c r="A502" s="1">
        <v>44232</v>
      </c>
      <c r="B502" s="2" t="s">
        <v>6</v>
      </c>
      <c r="C502" s="15">
        <v>11137</v>
      </c>
      <c r="D502" s="15">
        <v>2562</v>
      </c>
      <c r="E502" s="15">
        <v>8450</v>
      </c>
      <c r="F502">
        <v>106</v>
      </c>
      <c r="G502">
        <v>24</v>
      </c>
      <c r="H502" s="15">
        <v>148155</v>
      </c>
      <c r="I502" s="15">
        <v>128</v>
      </c>
      <c r="J502" s="15">
        <v>61171</v>
      </c>
      <c r="K502" s="15">
        <v>114</v>
      </c>
      <c r="L502">
        <v>-14</v>
      </c>
      <c r="M502">
        <v>-6</v>
      </c>
      <c r="N502">
        <v>-3</v>
      </c>
      <c r="O502" s="15">
        <v>1136</v>
      </c>
      <c r="P502" s="15">
        <v>2261</v>
      </c>
      <c r="Q502" s="15">
        <v>3397</v>
      </c>
      <c r="R502">
        <v>0.99456521739130432</v>
      </c>
      <c r="S502" s="15">
        <v>124</v>
      </c>
      <c r="T502" t="s">
        <v>483</v>
      </c>
      <c r="U502" s="15" t="str">
        <f>TEXT(EvolucionIncidencia[[#This Row],[Fecha]],"DDDD")</f>
        <v>viernes</v>
      </c>
      <c r="V5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0.80519480519480524</v>
      </c>
      <c r="W5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142.12050540285387</v>
      </c>
      <c r="X502" s="2">
        <f>IF(EvolucionIncidencia[[#This Row],[Fecha]]&lt;=MIN(EvolucionIncidencia[Fecha])+14,"",EvolucionIncidencia[[#This Row],[NuevasAltas]]-EvolucionIncidencia[[#This Row],[Previsión Altas]])</f>
        <v>-18.120505402853865</v>
      </c>
      <c r="Y5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1012</v>
      </c>
      <c r="Z5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2293</v>
      </c>
      <c r="AA502" s="2">
        <f>IF(LEN(EvolucionIncidencia[[#This Row],[Nuevos 7 dias]])=0,"",EvolucionIncidencia[[#This Row],[Nuevos 7 dias]]/_xlfn.MAXIFS(EvolucionIncidencia[Nuevos 7 dias],EvolucionIncidencia[Area_Sanitaria],EvolucionIncidencia[[#This Row],[Area_Sanitaria]]))</f>
        <v>0.76958174904942966</v>
      </c>
      <c r="AB502" s="2">
        <f>IF(LEN(EvolucionIncidencia[[#This Row],[Nuevos 14 dias]])=0,"",EvolucionIncidencia[[#This Row],[Nuevos 14 dias]]/_xlfn.MAXIFS(EvolucionIncidencia[Nuevos 14 dias],EvolucionIncidencia[Area_Sanitaria],EvolucionIncidencia[[#This Row],[Area_Sanitaria]]))</f>
        <v>0.94323323735088438</v>
      </c>
    </row>
    <row r="503" spans="1:28" hidden="1" x14ac:dyDescent="0.3">
      <c r="A503" s="1">
        <v>44232</v>
      </c>
      <c r="B503" s="2" t="s">
        <v>7</v>
      </c>
      <c r="C503" s="15">
        <v>16865</v>
      </c>
      <c r="D503" s="15">
        <v>3183</v>
      </c>
      <c r="E503" s="15">
        <v>13406</v>
      </c>
      <c r="F503">
        <v>136</v>
      </c>
      <c r="G503">
        <v>44</v>
      </c>
      <c r="H503" s="15">
        <v>264420</v>
      </c>
      <c r="I503" s="15">
        <v>285</v>
      </c>
      <c r="J503" s="15">
        <v>114024</v>
      </c>
      <c r="K503" s="15">
        <v>130</v>
      </c>
      <c r="L503">
        <v>-156</v>
      </c>
      <c r="M503">
        <v>5</v>
      </c>
      <c r="N503">
        <v>1</v>
      </c>
      <c r="O503" s="15">
        <v>2303</v>
      </c>
      <c r="P503" s="15">
        <v>1663</v>
      </c>
      <c r="Q503" s="15">
        <v>3966</v>
      </c>
      <c r="R503">
        <v>0.95327942497753815</v>
      </c>
      <c r="S503" s="15">
        <v>282</v>
      </c>
      <c r="T503" t="s">
        <v>483</v>
      </c>
      <c r="U503" s="15" t="str">
        <f>TEXT(EvolucionIncidencia[[#This Row],[Fecha]],"DDDD")</f>
        <v>viernes</v>
      </c>
      <c r="V5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1.1146245059288538</v>
      </c>
      <c r="W5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240.91245739996228</v>
      </c>
      <c r="X503" s="2">
        <f>IF(EvolucionIncidencia[[#This Row],[Fecha]]&lt;=MIN(EvolucionIncidencia[Fecha])+14,"",EvolucionIncidencia[[#This Row],[NuevasAltas]]-EvolucionIncidencia[[#This Row],[Previsión Altas]])</f>
        <v>41.087542600037722</v>
      </c>
      <c r="Y5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1166</v>
      </c>
      <c r="Z5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2847</v>
      </c>
      <c r="AA503" s="2">
        <f>IF(LEN(EvolucionIncidencia[[#This Row],[Nuevos 7 dias]])=0,"",EvolucionIncidencia[[#This Row],[Nuevos 7 dias]]/_xlfn.MAXIFS(EvolucionIncidencia[Nuevos 7 dias],EvolucionIncidencia[Area_Sanitaria],EvolucionIncidencia[[#This Row],[Area_Sanitaria]]))</f>
        <v>0.68669022379269729</v>
      </c>
      <c r="AB503" s="2">
        <f>IF(LEN(EvolucionIncidencia[[#This Row],[Nuevos 14 dias]])=0,"",EvolucionIncidencia[[#This Row],[Nuevos 14 dias]]/_xlfn.MAXIFS(EvolucionIncidencia[Nuevos 14 dias],EvolucionIncidencia[Area_Sanitaria],EvolucionIncidencia[[#This Row],[Area_Sanitaria]]))</f>
        <v>0.89472030169704586</v>
      </c>
    </row>
    <row r="504" spans="1:28" hidden="1" x14ac:dyDescent="0.3">
      <c r="A504" s="1">
        <v>44232</v>
      </c>
      <c r="B504" s="2" t="s">
        <v>2</v>
      </c>
      <c r="C504" s="15">
        <v>19654</v>
      </c>
      <c r="D504" s="15">
        <v>3469</v>
      </c>
      <c r="E504" s="15">
        <v>15839</v>
      </c>
      <c r="F504">
        <v>135</v>
      </c>
      <c r="G504">
        <v>26</v>
      </c>
      <c r="H504" s="15">
        <v>315026</v>
      </c>
      <c r="I504" s="15">
        <v>348</v>
      </c>
      <c r="J504" s="15">
        <v>88055</v>
      </c>
      <c r="K504" s="15">
        <v>156</v>
      </c>
      <c r="L504">
        <v>-178</v>
      </c>
      <c r="M504">
        <v>-1</v>
      </c>
      <c r="N504">
        <v>0</v>
      </c>
      <c r="O504" s="15">
        <v>2332</v>
      </c>
      <c r="P504" s="15">
        <v>396</v>
      </c>
      <c r="Q504" s="15">
        <v>2728</v>
      </c>
      <c r="R504">
        <v>0.95119276117356732</v>
      </c>
      <c r="S504" s="15">
        <v>333</v>
      </c>
      <c r="T504" t="s">
        <v>483</v>
      </c>
      <c r="U504" s="15" t="str">
        <f>TEXT(EvolucionIncidencia[[#This Row],[Fecha]],"DDDD")</f>
        <v>viernes</v>
      </c>
      <c r="V5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1.0060422960725075</v>
      </c>
      <c r="W5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298.75105347616562</v>
      </c>
      <c r="X504" s="2">
        <f>IF(EvolucionIncidencia[[#This Row],[Fecha]]&lt;=MIN(EvolucionIncidencia[Fecha])+14,"",EvolucionIncidencia[[#This Row],[NuevasAltas]]-EvolucionIncidencia[[#This Row],[Previsión Altas]])</f>
        <v>34.248946523834377</v>
      </c>
      <c r="Y5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1299</v>
      </c>
      <c r="Z5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3061</v>
      </c>
      <c r="AA504" s="2">
        <f>IF(LEN(EvolucionIncidencia[[#This Row],[Nuevos 7 dias]])=0,"",EvolucionIncidencia[[#This Row],[Nuevos 7 dias]]/_xlfn.MAXIFS(EvolucionIncidencia[Nuevos 7 dias],EvolucionIncidencia[Area_Sanitaria],EvolucionIncidencia[[#This Row],[Area_Sanitaria]]))</f>
        <v>0.66993295513151108</v>
      </c>
      <c r="AB504" s="2">
        <f>IF(LEN(EvolucionIncidencia[[#This Row],[Nuevos 14 dias]])=0,"",EvolucionIncidencia[[#This Row],[Nuevos 14 dias]]/_xlfn.MAXIFS(EvolucionIncidencia[Nuevos 14 dias],EvolucionIncidencia[Area_Sanitaria],EvolucionIncidencia[[#This Row],[Area_Sanitaria]]))</f>
        <v>0.8425543627855766</v>
      </c>
    </row>
    <row r="505" spans="1:28" hidden="1" x14ac:dyDescent="0.3">
      <c r="A505" s="1">
        <v>44232</v>
      </c>
      <c r="B505" s="2" t="s">
        <v>3</v>
      </c>
      <c r="C505" s="15">
        <v>103343</v>
      </c>
      <c r="D505" s="15">
        <v>20887</v>
      </c>
      <c r="E505" s="15">
        <v>80537</v>
      </c>
      <c r="F505">
        <v>1036</v>
      </c>
      <c r="G505">
        <v>247</v>
      </c>
      <c r="H505" s="15">
        <v>1485603</v>
      </c>
      <c r="I505" s="15">
        <v>1934</v>
      </c>
      <c r="J505" s="15">
        <v>596051</v>
      </c>
      <c r="K505" s="15">
        <v>919</v>
      </c>
      <c r="L505">
        <v>-799</v>
      </c>
      <c r="M505">
        <v>-2</v>
      </c>
      <c r="N505">
        <v>-4</v>
      </c>
      <c r="O505" s="15">
        <v>12980</v>
      </c>
      <c r="P505" s="15">
        <v>13933</v>
      </c>
      <c r="Q505" s="15">
        <v>26913</v>
      </c>
      <c r="R505">
        <v>0.96315595314949742</v>
      </c>
      <c r="S505" s="15">
        <v>1694</v>
      </c>
      <c r="T505" t="s">
        <v>483</v>
      </c>
      <c r="U505" s="15" t="str">
        <f>TEXT(EvolucionIncidencia[[#This Row],[Fecha]],"DDDD")</f>
        <v>viernes</v>
      </c>
      <c r="V5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0.8972457627118644</v>
      </c>
      <c r="W5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1661.7896078236679</v>
      </c>
      <c r="X505" s="2">
        <f>IF(EvolucionIncidencia[[#This Row],[Fecha]]&lt;=MIN(EvolucionIncidencia[Fecha])+14,"",EvolucionIncidencia[[#This Row],[NuevasAltas]]-EvolucionIncidencia[[#This Row],[Previsión Altas]])</f>
        <v>32.210392176332107</v>
      </c>
      <c r="Y5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7562</v>
      </c>
      <c r="Z5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18092</v>
      </c>
      <c r="AA505" s="2">
        <f>IF(LEN(EvolucionIncidencia[[#This Row],[Nuevos 7 dias]])=0,"",EvolucionIncidencia[[#This Row],[Nuevos 7 dias]]/_xlfn.MAXIFS(EvolucionIncidencia[Nuevos 7 dias],EvolucionIncidencia[Area_Sanitaria],EvolucionIncidencia[[#This Row],[Area_Sanitaria]]))</f>
        <v>0.66660789844851909</v>
      </c>
      <c r="AB505" s="2">
        <f>IF(LEN(EvolucionIncidencia[[#This Row],[Nuevos 14 dias]])=0,"",EvolucionIncidencia[[#This Row],[Nuevos 14 dias]]/_xlfn.MAXIFS(EvolucionIncidencia[Nuevos 14 dias],EvolucionIncidencia[Area_Sanitaria],EvolucionIncidencia[[#This Row],[Area_Sanitaria]]))</f>
        <v>0.86738901141048996</v>
      </c>
    </row>
    <row r="506" spans="1:28" hidden="1" x14ac:dyDescent="0.3">
      <c r="A506" s="1">
        <v>44233</v>
      </c>
      <c r="B506" s="2" t="s">
        <v>4</v>
      </c>
      <c r="C506" s="15">
        <v>24146</v>
      </c>
      <c r="D506" s="15">
        <v>5319</v>
      </c>
      <c r="E506" s="15">
        <v>18360</v>
      </c>
      <c r="F506">
        <v>286</v>
      </c>
      <c r="G506">
        <v>81</v>
      </c>
      <c r="H506" s="15">
        <v>308186</v>
      </c>
      <c r="I506" s="15">
        <v>477</v>
      </c>
      <c r="J506" s="15">
        <v>127954</v>
      </c>
      <c r="K506" s="15">
        <v>285</v>
      </c>
      <c r="L506">
        <v>-223</v>
      </c>
      <c r="M506">
        <v>-1</v>
      </c>
      <c r="N506">
        <v>0</v>
      </c>
      <c r="O506" s="15">
        <v>2353</v>
      </c>
      <c r="P506" s="15">
        <v>5234</v>
      </c>
      <c r="Q506" s="15">
        <v>7587</v>
      </c>
      <c r="R506">
        <v>0.95976181883796463</v>
      </c>
      <c r="S506" s="15">
        <v>500</v>
      </c>
      <c r="T506" t="s">
        <v>484</v>
      </c>
      <c r="U506" s="15" t="str">
        <f>TEXT(EvolucionIncidencia[[#This Row],[Fecha]],"DDDD")</f>
        <v>sábado</v>
      </c>
      <c r="V5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1.1135857461024499</v>
      </c>
      <c r="W5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381.56203368293075</v>
      </c>
      <c r="X506" s="2">
        <f>IF(EvolucionIncidencia[[#This Row],[Fecha]]&lt;=MIN(EvolucionIncidencia[Fecha])+14,"",EvolucionIncidencia[[#This Row],[NuevasAltas]]-EvolucionIncidencia[[#This Row],[Previsión Altas]])</f>
        <v>118.43796631706925</v>
      </c>
      <c r="Y5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1841</v>
      </c>
      <c r="Z5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4367</v>
      </c>
      <c r="AA506" s="2">
        <f>IF(LEN(EvolucionIncidencia[[#This Row],[Nuevos 7 dias]])=0,"",EvolucionIncidencia[[#This Row],[Nuevos 7 dias]]/_xlfn.MAXIFS(EvolucionIncidencia[Nuevos 7 dias],EvolucionIncidencia[Area_Sanitaria],EvolucionIncidencia[[#This Row],[Area_Sanitaria]]))</f>
        <v>0.61799261497146696</v>
      </c>
      <c r="AB506" s="2">
        <f>IF(LEN(EvolucionIncidencia[[#This Row],[Nuevos 14 dias]])=0,"",EvolucionIncidencia[[#This Row],[Nuevos 14 dias]]/_xlfn.MAXIFS(EvolucionIncidencia[Nuevos 14 dias],EvolucionIncidencia[Area_Sanitaria],EvolucionIncidencia[[#This Row],[Area_Sanitaria]]))</f>
        <v>0.80320029427993378</v>
      </c>
    </row>
    <row r="507" spans="1:28" hidden="1" x14ac:dyDescent="0.3">
      <c r="A507" s="1">
        <v>44233</v>
      </c>
      <c r="B507" s="2" t="s">
        <v>5</v>
      </c>
      <c r="C507" s="15">
        <v>7262</v>
      </c>
      <c r="D507" s="15">
        <v>1694</v>
      </c>
      <c r="E507" s="15">
        <v>5410</v>
      </c>
      <c r="F507">
        <v>150</v>
      </c>
      <c r="G507">
        <v>24</v>
      </c>
      <c r="H507" s="15">
        <v>102577</v>
      </c>
      <c r="I507" s="15">
        <v>153</v>
      </c>
      <c r="J507" s="15">
        <v>35702</v>
      </c>
      <c r="K507" s="15">
        <v>52</v>
      </c>
      <c r="L507">
        <v>-71</v>
      </c>
      <c r="M507">
        <v>-10</v>
      </c>
      <c r="N507">
        <v>-1</v>
      </c>
      <c r="O507" s="15">
        <v>752</v>
      </c>
      <c r="P507" s="15">
        <v>487</v>
      </c>
      <c r="Q507" s="15">
        <v>1239</v>
      </c>
      <c r="R507">
        <v>0.95977337110481586</v>
      </c>
      <c r="S507" s="15">
        <v>121</v>
      </c>
      <c r="T507" t="s">
        <v>484</v>
      </c>
      <c r="U507" s="15" t="str">
        <f>TEXT(EvolucionIncidencia[[#This Row],[Fecha]],"DDDD")</f>
        <v>sábado</v>
      </c>
      <c r="V5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1.1308411214953271</v>
      </c>
      <c r="W5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90.461167979174661</v>
      </c>
      <c r="X507" s="2">
        <f>IF(EvolucionIncidencia[[#This Row],[Fecha]]&lt;=MIN(EvolucionIncidencia[Fecha])+14,"",EvolucionIncidencia[[#This Row],[NuevasAltas]]-EvolucionIncidencia[[#This Row],[Previsión Altas]])</f>
        <v>30.538832020825339</v>
      </c>
      <c r="Y5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664</v>
      </c>
      <c r="Z5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1454</v>
      </c>
      <c r="AA507" s="2">
        <f>IF(LEN(EvolucionIncidencia[[#This Row],[Nuevos 7 dias]])=0,"",EvolucionIncidencia[[#This Row],[Nuevos 7 dias]]/_xlfn.MAXIFS(EvolucionIncidencia[Nuevos 7 dias],EvolucionIncidencia[Area_Sanitaria],EvolucionIncidencia[[#This Row],[Area_Sanitaria]]))</f>
        <v>0.79520958083832338</v>
      </c>
      <c r="AB507" s="2">
        <f>IF(LEN(EvolucionIncidencia[[#This Row],[Nuevos 14 dias]])=0,"",EvolucionIncidencia[[#This Row],[Nuevos 14 dias]]/_xlfn.MAXIFS(EvolucionIncidencia[Nuevos 14 dias],EvolucionIncidencia[Area_Sanitaria],EvolucionIncidencia[[#This Row],[Area_Sanitaria]]))</f>
        <v>0.88712629652226971</v>
      </c>
    </row>
    <row r="508" spans="1:28" hidden="1" x14ac:dyDescent="0.3">
      <c r="A508" s="1">
        <v>44233</v>
      </c>
      <c r="B508" s="2" t="s">
        <v>8</v>
      </c>
      <c r="C508" s="15">
        <v>10864</v>
      </c>
      <c r="D508" s="15">
        <v>1863</v>
      </c>
      <c r="E508" s="15">
        <v>8815</v>
      </c>
      <c r="F508">
        <v>67</v>
      </c>
      <c r="G508">
        <v>28</v>
      </c>
      <c r="H508" s="15">
        <v>167559</v>
      </c>
      <c r="I508" s="15">
        <v>180</v>
      </c>
      <c r="J508" s="15">
        <v>86144</v>
      </c>
      <c r="K508" s="15">
        <v>92</v>
      </c>
      <c r="L508">
        <v>-94</v>
      </c>
      <c r="M508">
        <v>0</v>
      </c>
      <c r="N508">
        <v>-2</v>
      </c>
      <c r="O508" s="15">
        <v>1346</v>
      </c>
      <c r="P508" s="15">
        <v>341</v>
      </c>
      <c r="Q508" s="15">
        <v>1687</v>
      </c>
      <c r="R508">
        <v>0.9519672968829842</v>
      </c>
      <c r="S508" s="15">
        <v>184</v>
      </c>
      <c r="T508" t="s">
        <v>484</v>
      </c>
      <c r="U508" s="15" t="str">
        <f>TEXT(EvolucionIncidencia[[#This Row],[Fecha]],"DDDD")</f>
        <v>sábado</v>
      </c>
      <c r="V5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1.0635838150289016</v>
      </c>
      <c r="W5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152.86295759159884</v>
      </c>
      <c r="X508" s="2">
        <f>IF(EvolucionIncidencia[[#This Row],[Fecha]]&lt;=MIN(EvolucionIncidencia[Fecha])+14,"",EvolucionIncidencia[[#This Row],[NuevasAltas]]-EvolucionIncidencia[[#This Row],[Previsión Altas]])</f>
        <v>31.137042408401157</v>
      </c>
      <c r="Y5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624</v>
      </c>
      <c r="Z5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1632</v>
      </c>
      <c r="AA508" s="2">
        <f>IF(LEN(EvolucionIncidencia[[#This Row],[Nuevos 7 dias]])=0,"",EvolucionIncidencia[[#This Row],[Nuevos 7 dias]]/_xlfn.MAXIFS(EvolucionIncidencia[Nuevos 7 dias],EvolucionIncidencia[Area_Sanitaria],EvolucionIncidencia[[#This Row],[Area_Sanitaria]]))</f>
        <v>0.56419529837251359</v>
      </c>
      <c r="AB508" s="2">
        <f>IF(LEN(EvolucionIncidencia[[#This Row],[Nuevos 14 dias]])=0,"",EvolucionIncidencia[[#This Row],[Nuevos 14 dias]]/_xlfn.MAXIFS(EvolucionIncidencia[Nuevos 14 dias],EvolucionIncidencia[Area_Sanitaria],EvolucionIncidencia[[#This Row],[Area_Sanitaria]]))</f>
        <v>0.82424242424242422</v>
      </c>
    </row>
    <row r="509" spans="1:28" hidden="1" x14ac:dyDescent="0.3">
      <c r="A509" s="1">
        <v>44233</v>
      </c>
      <c r="B509" s="2" t="s">
        <v>9</v>
      </c>
      <c r="C509" s="15">
        <v>13925</v>
      </c>
      <c r="D509" s="15">
        <v>2240</v>
      </c>
      <c r="E509" s="15">
        <v>11309</v>
      </c>
      <c r="F509">
        <v>153</v>
      </c>
      <c r="G509">
        <v>18</v>
      </c>
      <c r="H509" s="15">
        <v>185429</v>
      </c>
      <c r="I509" s="15">
        <v>378</v>
      </c>
      <c r="J509" s="15">
        <v>90682</v>
      </c>
      <c r="K509" s="15">
        <v>81</v>
      </c>
      <c r="L509">
        <v>-169</v>
      </c>
      <c r="M509">
        <v>8</v>
      </c>
      <c r="N509">
        <v>1</v>
      </c>
      <c r="O509" s="15">
        <v>1298</v>
      </c>
      <c r="P509" s="15">
        <v>1619</v>
      </c>
      <c r="Q509" s="15">
        <v>2917</v>
      </c>
      <c r="R509">
        <v>0.92984640929846407</v>
      </c>
      <c r="S509" s="15">
        <v>247</v>
      </c>
      <c r="T509" t="s">
        <v>484</v>
      </c>
      <c r="U509" s="15" t="str">
        <f>TEXT(EvolucionIncidencia[[#This Row],[Fecha]],"DDDD")</f>
        <v>sábado</v>
      </c>
      <c r="V5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1.0692640692640694</v>
      </c>
      <c r="W5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210.07139200407616</v>
      </c>
      <c r="X509" s="2">
        <f>IF(EvolucionIncidencia[[#This Row],[Fecha]]&lt;=MIN(EvolucionIncidencia[Fecha])+14,"",EvolucionIncidencia[[#This Row],[NuevasAltas]]-EvolucionIncidencia[[#This Row],[Previsión Altas]])</f>
        <v>36.928607995923841</v>
      </c>
      <c r="Y5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756</v>
      </c>
      <c r="Z5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1988</v>
      </c>
      <c r="AA509" s="2">
        <f>IF(LEN(EvolucionIncidencia[[#This Row],[Nuevos 7 dias]])=0,"",EvolucionIncidencia[[#This Row],[Nuevos 7 dias]]/_xlfn.MAXIFS(EvolucionIncidencia[Nuevos 7 dias],EvolucionIncidencia[Area_Sanitaria],EvolucionIncidencia[[#This Row],[Area_Sanitaria]]))</f>
        <v>0.48183556405353728</v>
      </c>
      <c r="AB509" s="2">
        <f>IF(LEN(EvolucionIncidencia[[#This Row],[Nuevos 14 dias]])=0,"",EvolucionIncidencia[[#This Row],[Nuevos 14 dias]]/_xlfn.MAXIFS(EvolucionIncidencia[Nuevos 14 dias],EvolucionIncidencia[Area_Sanitaria],EvolucionIncidencia[[#This Row],[Area_Sanitaria]]))</f>
        <v>0.70222536206287534</v>
      </c>
    </row>
    <row r="510" spans="1:28" x14ac:dyDescent="0.3">
      <c r="A510" s="1">
        <v>44233</v>
      </c>
      <c r="B510" s="2" t="s">
        <v>6</v>
      </c>
      <c r="C510" s="15">
        <v>11249</v>
      </c>
      <c r="D510" s="15">
        <v>2526</v>
      </c>
      <c r="E510" s="15">
        <v>8598</v>
      </c>
      <c r="F510">
        <v>105</v>
      </c>
      <c r="G510">
        <v>23</v>
      </c>
      <c r="H510" s="15">
        <v>149151</v>
      </c>
      <c r="I510" s="15">
        <v>128</v>
      </c>
      <c r="J510" s="15">
        <v>62678</v>
      </c>
      <c r="K510" s="15">
        <v>112</v>
      </c>
      <c r="L510">
        <v>-36</v>
      </c>
      <c r="M510">
        <v>-1</v>
      </c>
      <c r="N510">
        <v>-1</v>
      </c>
      <c r="O510" s="15">
        <v>996</v>
      </c>
      <c r="P510" s="15">
        <v>1507</v>
      </c>
      <c r="Q510" s="15">
        <v>2503</v>
      </c>
      <c r="R510">
        <v>0.98594847775175642</v>
      </c>
      <c r="S510" s="15">
        <v>148</v>
      </c>
      <c r="T510" t="s">
        <v>484</v>
      </c>
      <c r="U510" s="15" t="str">
        <f>TEXT(EvolucionIncidencia[[#This Row],[Fecha]],"DDDD")</f>
        <v>sábado</v>
      </c>
      <c r="V5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1.1044776119402986</v>
      </c>
      <c r="W5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122.40644265212248</v>
      </c>
      <c r="X510" s="2">
        <f>IF(EvolucionIncidencia[[#This Row],[Fecha]]&lt;=MIN(EvolucionIncidencia[Fecha])+14,"",EvolucionIncidencia[[#This Row],[NuevasAltas]]-EvolucionIncidencia[[#This Row],[Previsión Altas]])</f>
        <v>25.593557347877521</v>
      </c>
      <c r="Y5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956</v>
      </c>
      <c r="Z5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2271</v>
      </c>
      <c r="AA510" s="2">
        <f>IF(LEN(EvolucionIncidencia[[#This Row],[Nuevos 7 dias]])=0,"",EvolucionIncidencia[[#This Row],[Nuevos 7 dias]]/_xlfn.MAXIFS(EvolucionIncidencia[Nuevos 7 dias],EvolucionIncidencia[Area_Sanitaria],EvolucionIncidencia[[#This Row],[Area_Sanitaria]]))</f>
        <v>0.72699619771863122</v>
      </c>
      <c r="AB510" s="2">
        <f>IF(LEN(EvolucionIncidencia[[#This Row],[Nuevos 14 dias]])=0,"",EvolucionIncidencia[[#This Row],[Nuevos 14 dias]]/_xlfn.MAXIFS(EvolucionIncidencia[Nuevos 14 dias],EvolucionIncidencia[Area_Sanitaria],EvolucionIncidencia[[#This Row],[Area_Sanitaria]]))</f>
        <v>0.9341834635952283</v>
      </c>
    </row>
    <row r="511" spans="1:28" hidden="1" x14ac:dyDescent="0.3">
      <c r="A511" s="1">
        <v>44233</v>
      </c>
      <c r="B511" s="2" t="s">
        <v>7</v>
      </c>
      <c r="C511" s="15">
        <v>16973</v>
      </c>
      <c r="D511" s="15">
        <v>3023</v>
      </c>
      <c r="E511" s="15">
        <v>13673</v>
      </c>
      <c r="F511">
        <v>129</v>
      </c>
      <c r="G511">
        <v>44</v>
      </c>
      <c r="H511" s="15">
        <v>266298</v>
      </c>
      <c r="I511" s="15">
        <v>286</v>
      </c>
      <c r="J511" s="15">
        <v>118743</v>
      </c>
      <c r="K511" s="15">
        <v>108</v>
      </c>
      <c r="L511">
        <v>-160</v>
      </c>
      <c r="M511">
        <v>-7</v>
      </c>
      <c r="N511">
        <v>0</v>
      </c>
      <c r="O511" s="15">
        <v>1878</v>
      </c>
      <c r="P511" s="15">
        <v>4719</v>
      </c>
      <c r="Q511" s="15">
        <v>6597</v>
      </c>
      <c r="R511">
        <v>0.94973295633050581</v>
      </c>
      <c r="S511" s="15">
        <v>267</v>
      </c>
      <c r="T511" t="s">
        <v>484</v>
      </c>
      <c r="U511" s="15" t="str">
        <f>TEXT(EvolucionIncidencia[[#This Row],[Fecha]],"DDDD")</f>
        <v>sábado</v>
      </c>
      <c r="V5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1.679245283018868</v>
      </c>
      <c r="W5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155.83829294765439</v>
      </c>
      <c r="X511" s="2">
        <f>IF(EvolucionIncidencia[[#This Row],[Fecha]]&lt;=MIN(EvolucionIncidencia[Fecha])+14,"",EvolucionIncidencia[[#This Row],[NuevasAltas]]-EvolucionIncidencia[[#This Row],[Previsión Altas]])</f>
        <v>111.16170705234561</v>
      </c>
      <c r="Y5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1098</v>
      </c>
      <c r="Z5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2796</v>
      </c>
      <c r="AA511" s="2">
        <f>IF(LEN(EvolucionIncidencia[[#This Row],[Nuevos 7 dias]])=0,"",EvolucionIncidencia[[#This Row],[Nuevos 7 dias]]/_xlfn.MAXIFS(EvolucionIncidencia[Nuevos 7 dias],EvolucionIncidencia[Area_Sanitaria],EvolucionIncidencia[[#This Row],[Area_Sanitaria]]))</f>
        <v>0.64664310954063609</v>
      </c>
      <c r="AB511" s="2">
        <f>IF(LEN(EvolucionIncidencia[[#This Row],[Nuevos 14 dias]])=0,"",EvolucionIncidencia[[#This Row],[Nuevos 14 dias]]/_xlfn.MAXIFS(EvolucionIncidencia[Nuevos 14 dias],EvolucionIncidencia[Area_Sanitaria],EvolucionIncidencia[[#This Row],[Area_Sanitaria]]))</f>
        <v>0.87869264613450659</v>
      </c>
    </row>
    <row r="512" spans="1:28" hidden="1" x14ac:dyDescent="0.3">
      <c r="A512" s="1">
        <v>44233</v>
      </c>
      <c r="B512" s="2" t="s">
        <v>2</v>
      </c>
      <c r="C512" s="15">
        <v>19757</v>
      </c>
      <c r="D512" s="15">
        <v>3301</v>
      </c>
      <c r="E512" s="15">
        <v>16110</v>
      </c>
      <c r="F512">
        <v>136</v>
      </c>
      <c r="G512">
        <v>30</v>
      </c>
      <c r="H512" s="15">
        <v>318296</v>
      </c>
      <c r="I512" s="15">
        <v>348</v>
      </c>
      <c r="J512" s="15">
        <v>88387</v>
      </c>
      <c r="K512" s="15">
        <v>103</v>
      </c>
      <c r="L512">
        <v>-168</v>
      </c>
      <c r="M512">
        <v>1</v>
      </c>
      <c r="N512">
        <v>4</v>
      </c>
      <c r="O512" s="15">
        <v>3270</v>
      </c>
      <c r="P512" s="15">
        <v>332</v>
      </c>
      <c r="Q512" s="15">
        <v>3602</v>
      </c>
      <c r="R512">
        <v>0.95157105794176999</v>
      </c>
      <c r="S512" s="15">
        <v>271</v>
      </c>
      <c r="T512" t="s">
        <v>484</v>
      </c>
      <c r="U512" s="15" t="str">
        <f>TEXT(EvolucionIncidencia[[#This Row],[Fecha]],"DDDD")</f>
        <v>sábado</v>
      </c>
      <c r="V5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0.98545454545454547</v>
      </c>
      <c r="W5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256.18289941373274</v>
      </c>
      <c r="X512" s="2">
        <f>IF(EvolucionIncidencia[[#This Row],[Fecha]]&lt;=MIN(EvolucionIncidencia[Fecha])+14,"",EvolucionIncidencia[[#This Row],[NuevasAltas]]-EvolucionIncidencia[[#This Row],[Previsión Altas]])</f>
        <v>14.817100586267259</v>
      </c>
      <c r="Y5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1125</v>
      </c>
      <c r="Z5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2889</v>
      </c>
      <c r="AA512" s="2">
        <f>IF(LEN(EvolucionIncidencia[[#This Row],[Nuevos 7 dias]])=0,"",EvolucionIncidencia[[#This Row],[Nuevos 7 dias]]/_xlfn.MAXIFS(EvolucionIncidencia[Nuevos 7 dias],EvolucionIncidencia[Area_Sanitaria],EvolucionIncidencia[[#This Row],[Area_Sanitaria]]))</f>
        <v>0.58019597730789063</v>
      </c>
      <c r="AB512" s="2">
        <f>IF(LEN(EvolucionIncidencia[[#This Row],[Nuevos 14 dias]])=0,"",EvolucionIncidencia[[#This Row],[Nuevos 14 dias]]/_xlfn.MAXIFS(EvolucionIncidencia[Nuevos 14 dias],EvolucionIncidencia[Area_Sanitaria],EvolucionIncidencia[[#This Row],[Area_Sanitaria]]))</f>
        <v>0.79521056977704374</v>
      </c>
    </row>
    <row r="513" spans="1:28" hidden="1" x14ac:dyDescent="0.3">
      <c r="A513" s="1">
        <v>44233</v>
      </c>
      <c r="B513" s="2" t="s">
        <v>3</v>
      </c>
      <c r="C513" s="15">
        <v>104176</v>
      </c>
      <c r="D513" s="15">
        <v>19966</v>
      </c>
      <c r="E513" s="15">
        <v>82275</v>
      </c>
      <c r="F513">
        <v>1026</v>
      </c>
      <c r="G513">
        <v>248</v>
      </c>
      <c r="H513" s="15">
        <v>1497496</v>
      </c>
      <c r="I513" s="15">
        <v>1950</v>
      </c>
      <c r="J513" s="15">
        <v>610290</v>
      </c>
      <c r="K513" s="15">
        <v>833</v>
      </c>
      <c r="L513">
        <v>-921</v>
      </c>
      <c r="M513">
        <v>-10</v>
      </c>
      <c r="N513">
        <v>1</v>
      </c>
      <c r="O513" s="15">
        <v>11893</v>
      </c>
      <c r="P513" s="15">
        <v>14239</v>
      </c>
      <c r="Q513" s="15">
        <v>26132</v>
      </c>
      <c r="R513">
        <v>0.95590558720735386</v>
      </c>
      <c r="S513" s="15">
        <v>1738</v>
      </c>
      <c r="T513" t="s">
        <v>484</v>
      </c>
      <c r="U513" s="15" t="str">
        <f>TEXT(EvolucionIncidencia[[#This Row],[Fecha]],"DDDD")</f>
        <v>sábado</v>
      </c>
      <c r="V5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1.1374345549738221</v>
      </c>
      <c r="W5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1357.7099298598762</v>
      </c>
      <c r="X513" s="2">
        <f>IF(EvolucionIncidencia[[#This Row],[Fecha]]&lt;=MIN(EvolucionIncidencia[Fecha])+14,"",EvolucionIncidencia[[#This Row],[NuevasAltas]]-EvolucionIncidencia[[#This Row],[Previsión Altas]])</f>
        <v>380.29007014012382</v>
      </c>
      <c r="Y5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7064</v>
      </c>
      <c r="Z5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17397</v>
      </c>
      <c r="AA513" s="2">
        <f>IF(LEN(EvolucionIncidencia[[#This Row],[Nuevos 7 dias]])=0,"",EvolucionIncidencia[[#This Row],[Nuevos 7 dias]]/_xlfn.MAXIFS(EvolucionIncidencia[Nuevos 7 dias],EvolucionIncidencia[Area_Sanitaria],EvolucionIncidencia[[#This Row],[Area_Sanitaria]]))</f>
        <v>0.62270803949224263</v>
      </c>
      <c r="AB513" s="2">
        <f>IF(LEN(EvolucionIncidencia[[#This Row],[Nuevos 14 dias]])=0,"",EvolucionIncidencia[[#This Row],[Nuevos 14 dias]]/_xlfn.MAXIFS(EvolucionIncidencia[Nuevos 14 dias],EvolucionIncidencia[Area_Sanitaria],EvolucionIncidencia[[#This Row],[Area_Sanitaria]]))</f>
        <v>0.83406846293987913</v>
      </c>
    </row>
    <row r="514" spans="1:28" hidden="1" x14ac:dyDescent="0.3">
      <c r="A514" s="1">
        <v>44234</v>
      </c>
      <c r="B514" s="2" t="s">
        <v>4</v>
      </c>
      <c r="C514" s="15">
        <v>24323</v>
      </c>
      <c r="D514" s="15">
        <v>5161</v>
      </c>
      <c r="E514" s="15">
        <v>18691</v>
      </c>
      <c r="F514">
        <v>287</v>
      </c>
      <c r="G514">
        <v>85</v>
      </c>
      <c r="H514" s="15">
        <v>311146</v>
      </c>
      <c r="I514" s="15">
        <v>482</v>
      </c>
      <c r="J514" s="15">
        <v>133087</v>
      </c>
      <c r="K514" s="15">
        <v>177</v>
      </c>
      <c r="L514">
        <v>-158</v>
      </c>
      <c r="M514">
        <v>1</v>
      </c>
      <c r="N514">
        <v>4</v>
      </c>
      <c r="O514" s="15">
        <v>2960</v>
      </c>
      <c r="P514" s="15">
        <v>5133</v>
      </c>
      <c r="Q514" s="15">
        <v>8093</v>
      </c>
      <c r="R514">
        <v>0.97029516826471141</v>
      </c>
      <c r="S514" s="15">
        <v>331</v>
      </c>
      <c r="T514" t="s">
        <v>485</v>
      </c>
      <c r="U514" s="15" t="str">
        <f>TEXT(EvolucionIncidencia[[#This Row],[Fecha]],"DDDD")</f>
        <v>domingo</v>
      </c>
      <c r="V5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1.1033333333333333</v>
      </c>
      <c r="W5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253.53203774966531</v>
      </c>
      <c r="X514" s="2">
        <f>IF(EvolucionIncidencia[[#This Row],[Fecha]]&lt;=MIN(EvolucionIncidencia[Fecha])+14,"",EvolucionIncidencia[[#This Row],[NuevasAltas]]-EvolucionIncidencia[[#This Row],[Previsión Altas]])</f>
        <v>77.467962250334693</v>
      </c>
      <c r="Y5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1804</v>
      </c>
      <c r="Z5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4244</v>
      </c>
      <c r="AA514" s="2">
        <f>IF(LEN(EvolucionIncidencia[[#This Row],[Nuevos 7 dias]])=0,"",EvolucionIncidencia[[#This Row],[Nuevos 7 dias]]/_xlfn.MAXIFS(EvolucionIncidencia[Nuevos 7 dias],EvolucionIncidencia[Area_Sanitaria],EvolucionIncidencia[[#This Row],[Area_Sanitaria]]))</f>
        <v>0.60557233971131252</v>
      </c>
      <c r="AB514" s="2">
        <f>IF(LEN(EvolucionIncidencia[[#This Row],[Nuevos 14 dias]])=0,"",EvolucionIncidencia[[#This Row],[Nuevos 14 dias]]/_xlfn.MAXIFS(EvolucionIncidencia[Nuevos 14 dias],EvolucionIncidencia[Area_Sanitaria],EvolucionIncidencia[[#This Row],[Area_Sanitaria]]))</f>
        <v>0.78057752437005701</v>
      </c>
    </row>
    <row r="515" spans="1:28" hidden="1" x14ac:dyDescent="0.3">
      <c r="A515" s="1">
        <v>44234</v>
      </c>
      <c r="B515" s="2" t="s">
        <v>5</v>
      </c>
      <c r="C515" s="15">
        <v>7312</v>
      </c>
      <c r="D515" s="15">
        <v>1661</v>
      </c>
      <c r="E515" s="15">
        <v>5492</v>
      </c>
      <c r="F515">
        <v>158</v>
      </c>
      <c r="G515">
        <v>23</v>
      </c>
      <c r="H515" s="15">
        <v>103258</v>
      </c>
      <c r="I515" s="15">
        <v>154</v>
      </c>
      <c r="J515" s="15">
        <v>35750</v>
      </c>
      <c r="K515" s="15">
        <v>50</v>
      </c>
      <c r="L515">
        <v>-33</v>
      </c>
      <c r="M515">
        <v>8</v>
      </c>
      <c r="N515">
        <v>-1</v>
      </c>
      <c r="O515" s="15">
        <v>681</v>
      </c>
      <c r="P515" s="15">
        <v>48</v>
      </c>
      <c r="Q515" s="15">
        <v>729</v>
      </c>
      <c r="R515">
        <v>0.98051948051948057</v>
      </c>
      <c r="S515" s="15">
        <v>82</v>
      </c>
      <c r="T515" t="s">
        <v>485</v>
      </c>
      <c r="U515" s="15" t="str">
        <f>TEXT(EvolucionIncidencia[[#This Row],[Fecha]],"DDDD")</f>
        <v>domingo</v>
      </c>
      <c r="V5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0.77358490566037741</v>
      </c>
      <c r="W5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94.273801422626974</v>
      </c>
      <c r="X515" s="2">
        <f>IF(EvolucionIncidencia[[#This Row],[Fecha]]&lt;=MIN(EvolucionIncidencia[Fecha])+14,"",EvolucionIncidencia[[#This Row],[NuevasAltas]]-EvolucionIncidencia[[#This Row],[Previsión Altas]])</f>
        <v>-12.273801422626974</v>
      </c>
      <c r="Y5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614</v>
      </c>
      <c r="Z5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1398</v>
      </c>
      <c r="AA515" s="2">
        <f>IF(LEN(EvolucionIncidencia[[#This Row],[Nuevos 7 dias]])=0,"",EvolucionIncidencia[[#This Row],[Nuevos 7 dias]]/_xlfn.MAXIFS(EvolucionIncidencia[Nuevos 7 dias],EvolucionIncidencia[Area_Sanitaria],EvolucionIncidencia[[#This Row],[Area_Sanitaria]]))</f>
        <v>0.73532934131736527</v>
      </c>
      <c r="AB515" s="2">
        <f>IF(LEN(EvolucionIncidencia[[#This Row],[Nuevos 14 dias]])=0,"",EvolucionIncidencia[[#This Row],[Nuevos 14 dias]]/_xlfn.MAXIFS(EvolucionIncidencia[Nuevos 14 dias],EvolucionIncidencia[Area_Sanitaria],EvolucionIncidencia[[#This Row],[Area_Sanitaria]]))</f>
        <v>0.85295912141549723</v>
      </c>
    </row>
    <row r="516" spans="1:28" hidden="1" x14ac:dyDescent="0.3">
      <c r="A516" s="1">
        <v>44234</v>
      </c>
      <c r="B516" s="2" t="s">
        <v>8</v>
      </c>
      <c r="C516" s="15">
        <v>10915</v>
      </c>
      <c r="D516" s="15">
        <v>1767</v>
      </c>
      <c r="E516" s="15">
        <v>8960</v>
      </c>
      <c r="F516">
        <v>68</v>
      </c>
      <c r="G516">
        <v>29</v>
      </c>
      <c r="H516" s="15">
        <v>168846</v>
      </c>
      <c r="I516" s="15">
        <v>182</v>
      </c>
      <c r="J516" s="15">
        <v>86264</v>
      </c>
      <c r="K516" s="15">
        <v>51</v>
      </c>
      <c r="L516">
        <v>-96</v>
      </c>
      <c r="M516">
        <v>1</v>
      </c>
      <c r="N516">
        <v>1</v>
      </c>
      <c r="O516" s="15">
        <v>1287</v>
      </c>
      <c r="P516" s="15">
        <v>120</v>
      </c>
      <c r="Q516" s="15">
        <v>1407</v>
      </c>
      <c r="R516">
        <v>0.94847020933977455</v>
      </c>
      <c r="S516" s="15">
        <v>145</v>
      </c>
      <c r="T516" t="s">
        <v>485</v>
      </c>
      <c r="U516" s="15" t="str">
        <f>TEXT(EvolucionIncidencia[[#This Row],[Fecha]],"DDDD")</f>
        <v>domingo</v>
      </c>
      <c r="V5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1.1983471074380165</v>
      </c>
      <c r="W5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110.34620843387081</v>
      </c>
      <c r="X516" s="2">
        <f>IF(EvolucionIncidencia[[#This Row],[Fecha]]&lt;=MIN(EvolucionIncidencia[Fecha])+14,"",EvolucionIncidencia[[#This Row],[NuevasAltas]]-EvolucionIncidencia[[#This Row],[Previsión Altas]])</f>
        <v>34.653791566129186</v>
      </c>
      <c r="Y5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578</v>
      </c>
      <c r="Z5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1562</v>
      </c>
      <c r="AA516" s="2">
        <f>IF(LEN(EvolucionIncidencia[[#This Row],[Nuevos 7 dias]])=0,"",EvolucionIncidencia[[#This Row],[Nuevos 7 dias]]/_xlfn.MAXIFS(EvolucionIncidencia[Nuevos 7 dias],EvolucionIncidencia[Area_Sanitaria],EvolucionIncidencia[[#This Row],[Area_Sanitaria]]))</f>
        <v>0.52260397830018079</v>
      </c>
      <c r="AB516" s="2">
        <f>IF(LEN(EvolucionIncidencia[[#This Row],[Nuevos 14 dias]])=0,"",EvolucionIncidencia[[#This Row],[Nuevos 14 dias]]/_xlfn.MAXIFS(EvolucionIncidencia[Nuevos 14 dias],EvolucionIncidencia[Area_Sanitaria],EvolucionIncidencia[[#This Row],[Area_Sanitaria]]))</f>
        <v>0.78888888888888886</v>
      </c>
    </row>
    <row r="517" spans="1:28" hidden="1" x14ac:dyDescent="0.3">
      <c r="A517" s="1">
        <v>44234</v>
      </c>
      <c r="B517" s="2" t="s">
        <v>9</v>
      </c>
      <c r="C517" s="15">
        <v>13969</v>
      </c>
      <c r="D517" s="15">
        <v>2096</v>
      </c>
      <c r="E517" s="15">
        <v>11495</v>
      </c>
      <c r="F517">
        <v>161</v>
      </c>
      <c r="G517">
        <v>20</v>
      </c>
      <c r="H517" s="15">
        <v>187257</v>
      </c>
      <c r="I517" s="15">
        <v>380</v>
      </c>
      <c r="J517" s="15">
        <v>91322</v>
      </c>
      <c r="K517" s="15">
        <v>44</v>
      </c>
      <c r="L517">
        <v>-144</v>
      </c>
      <c r="M517">
        <v>8</v>
      </c>
      <c r="N517">
        <v>2</v>
      </c>
      <c r="O517" s="15">
        <v>1828</v>
      </c>
      <c r="P517" s="15">
        <v>640</v>
      </c>
      <c r="Q517" s="15">
        <v>2468</v>
      </c>
      <c r="R517">
        <v>0.93571428571428572</v>
      </c>
      <c r="S517" s="15">
        <v>186</v>
      </c>
      <c r="T517" t="s">
        <v>485</v>
      </c>
      <c r="U517" s="15" t="str">
        <f>TEXT(EvolucionIncidencia[[#This Row],[Fecha]],"DDDD")</f>
        <v>domingo</v>
      </c>
      <c r="V5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v>
      </c>
      <c r="W5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137.34691503047617</v>
      </c>
      <c r="X517" s="2">
        <f>IF(EvolucionIncidencia[[#This Row],[Fecha]]&lt;=MIN(EvolucionIncidencia[Fecha])+14,"",EvolucionIncidencia[[#This Row],[NuevasAltas]]-EvolucionIncidencia[[#This Row],[Previsión Altas]])</f>
        <v>48.653084969523832</v>
      </c>
      <c r="Y5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668</v>
      </c>
      <c r="Z5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1882</v>
      </c>
      <c r="AA517" s="2">
        <f>IF(LEN(EvolucionIncidencia[[#This Row],[Nuevos 7 dias]])=0,"",EvolucionIncidencia[[#This Row],[Nuevos 7 dias]]/_xlfn.MAXIFS(EvolucionIncidencia[Nuevos 7 dias],EvolucionIncidencia[Area_Sanitaria],EvolucionIncidencia[[#This Row],[Area_Sanitaria]]))</f>
        <v>0.42574888463989802</v>
      </c>
      <c r="AB517" s="2">
        <f>IF(LEN(EvolucionIncidencia[[#This Row],[Nuevos 14 dias]])=0,"",EvolucionIncidencia[[#This Row],[Nuevos 14 dias]]/_xlfn.MAXIFS(EvolucionIncidencia[Nuevos 14 dias],EvolucionIncidencia[Area_Sanitaria],EvolucionIncidencia[[#This Row],[Area_Sanitaria]]))</f>
        <v>0.66478276227481459</v>
      </c>
    </row>
    <row r="518" spans="1:28" x14ac:dyDescent="0.3">
      <c r="A518" s="1">
        <v>44234</v>
      </c>
      <c r="B518" s="2" t="s">
        <v>6</v>
      </c>
      <c r="C518" s="15">
        <v>11308</v>
      </c>
      <c r="D518" s="15">
        <v>2483</v>
      </c>
      <c r="E518" s="15">
        <v>8700</v>
      </c>
      <c r="F518">
        <v>111</v>
      </c>
      <c r="G518">
        <v>21</v>
      </c>
      <c r="H518" s="15">
        <v>149934</v>
      </c>
      <c r="I518" s="15">
        <v>128</v>
      </c>
      <c r="J518" s="15">
        <v>63016</v>
      </c>
      <c r="K518" s="15">
        <v>59</v>
      </c>
      <c r="L518">
        <v>-43</v>
      </c>
      <c r="M518">
        <v>6</v>
      </c>
      <c r="N518">
        <v>-2</v>
      </c>
      <c r="O518" s="15">
        <v>783</v>
      </c>
      <c r="P518" s="15">
        <v>338</v>
      </c>
      <c r="Q518" s="15">
        <v>1121</v>
      </c>
      <c r="R518">
        <v>0.98297703879651621</v>
      </c>
      <c r="S518" s="15">
        <v>102</v>
      </c>
      <c r="T518" t="s">
        <v>485</v>
      </c>
      <c r="U518" s="15" t="str">
        <f>TEXT(EvolucionIncidencia[[#This Row],[Fecha]],"DDDD")</f>
        <v>domingo</v>
      </c>
      <c r="V5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0.5074626865671642</v>
      </c>
      <c r="W5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181.6639496924694</v>
      </c>
      <c r="X518" s="2">
        <f>IF(EvolucionIncidencia[[#This Row],[Fecha]]&lt;=MIN(EvolucionIncidencia[Fecha])+14,"",EvolucionIncidencia[[#This Row],[NuevasAltas]]-EvolucionIncidencia[[#This Row],[Previsión Altas]])</f>
        <v>-79.663949692469401</v>
      </c>
      <c r="Y5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896</v>
      </c>
      <c r="Z5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2129</v>
      </c>
      <c r="AA518" s="2">
        <f>IF(LEN(EvolucionIncidencia[[#This Row],[Nuevos 7 dias]])=0,"",EvolucionIncidencia[[#This Row],[Nuevos 7 dias]]/_xlfn.MAXIFS(EvolucionIncidencia[Nuevos 7 dias],EvolucionIncidencia[Area_Sanitaria],EvolucionIncidencia[[#This Row],[Area_Sanitaria]]))</f>
        <v>0.68136882129277565</v>
      </c>
      <c r="AB518" s="2">
        <f>IF(LEN(EvolucionIncidencia[[#This Row],[Nuevos 14 dias]])=0,"",EvolucionIncidencia[[#This Row],[Nuevos 14 dias]]/_xlfn.MAXIFS(EvolucionIncidencia[Nuevos 14 dias],EvolucionIncidencia[Area_Sanitaria],EvolucionIncidencia[[#This Row],[Area_Sanitaria]]))</f>
        <v>0.87577128753599343</v>
      </c>
    </row>
    <row r="519" spans="1:28" hidden="1" x14ac:dyDescent="0.3">
      <c r="A519" s="1">
        <v>44234</v>
      </c>
      <c r="B519" s="2" t="s">
        <v>7</v>
      </c>
      <c r="C519" s="15">
        <v>17046</v>
      </c>
      <c r="D519" s="15">
        <v>2932</v>
      </c>
      <c r="E519" s="15">
        <v>13833</v>
      </c>
      <c r="F519">
        <v>133</v>
      </c>
      <c r="G519">
        <v>47</v>
      </c>
      <c r="H519" s="15">
        <v>268497</v>
      </c>
      <c r="I519" s="15">
        <v>290</v>
      </c>
      <c r="J519" s="15">
        <v>123323</v>
      </c>
      <c r="K519" s="15">
        <v>73</v>
      </c>
      <c r="L519">
        <v>-91</v>
      </c>
      <c r="M519">
        <v>4</v>
      </c>
      <c r="N519">
        <v>3</v>
      </c>
      <c r="O519" s="15">
        <v>2199</v>
      </c>
      <c r="P519" s="15">
        <v>4580</v>
      </c>
      <c r="Q519" s="15">
        <v>6779</v>
      </c>
      <c r="R519">
        <v>0.96989745286139595</v>
      </c>
      <c r="S519" s="15">
        <v>160</v>
      </c>
      <c r="T519" t="s">
        <v>485</v>
      </c>
      <c r="U519" s="15" t="str">
        <f>TEXT(EvolucionIncidencia[[#This Row],[Fecha]],"DDDD")</f>
        <v>domingo</v>
      </c>
      <c r="V5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0.54421768707482998</v>
      </c>
      <c r="W5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284.41797563905908</v>
      </c>
      <c r="X519" s="2">
        <f>IF(EvolucionIncidencia[[#This Row],[Fecha]]&lt;=MIN(EvolucionIncidencia[Fecha])+14,"",EvolucionIncidencia[[#This Row],[NuevasAltas]]-EvolucionIncidencia[[#This Row],[Previsión Altas]])</f>
        <v>-124.41797563905908</v>
      </c>
      <c r="Y5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1023</v>
      </c>
      <c r="Z5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2575</v>
      </c>
      <c r="AA519" s="2">
        <f>IF(LEN(EvolucionIncidencia[[#This Row],[Nuevos 7 dias]])=0,"",EvolucionIncidencia[[#This Row],[Nuevos 7 dias]]/_xlfn.MAXIFS(EvolucionIncidencia[Nuevos 7 dias],EvolucionIncidencia[Area_Sanitaria],EvolucionIncidencia[[#This Row],[Area_Sanitaria]]))</f>
        <v>0.6024734982332155</v>
      </c>
      <c r="AB519" s="2">
        <f>IF(LEN(EvolucionIncidencia[[#This Row],[Nuevos 14 dias]])=0,"",EvolucionIncidencia[[#This Row],[Nuevos 14 dias]]/_xlfn.MAXIFS(EvolucionIncidencia[Nuevos 14 dias],EvolucionIncidencia[Area_Sanitaria],EvolucionIncidencia[[#This Row],[Area_Sanitaria]]))</f>
        <v>0.80923947203016966</v>
      </c>
    </row>
    <row r="520" spans="1:28" hidden="1" x14ac:dyDescent="0.3">
      <c r="A520" s="1">
        <v>44234</v>
      </c>
      <c r="B520" s="2" t="s">
        <v>2</v>
      </c>
      <c r="C520" s="15">
        <v>19828</v>
      </c>
      <c r="D520" s="15">
        <v>3146</v>
      </c>
      <c r="E520" s="15">
        <v>16333</v>
      </c>
      <c r="F520">
        <v>145</v>
      </c>
      <c r="G520">
        <v>29</v>
      </c>
      <c r="H520" s="15">
        <v>320330</v>
      </c>
      <c r="I520" s="15">
        <v>351</v>
      </c>
      <c r="J520" s="15">
        <v>88547</v>
      </c>
      <c r="K520" s="15">
        <v>71</v>
      </c>
      <c r="L520">
        <v>-155</v>
      </c>
      <c r="M520">
        <v>9</v>
      </c>
      <c r="N520">
        <v>-1</v>
      </c>
      <c r="O520" s="15">
        <v>2034</v>
      </c>
      <c r="P520" s="15">
        <v>160</v>
      </c>
      <c r="Q520" s="15">
        <v>2194</v>
      </c>
      <c r="R520">
        <v>0.95304453196001215</v>
      </c>
      <c r="S520" s="15">
        <v>223</v>
      </c>
      <c r="T520" t="s">
        <v>485</v>
      </c>
      <c r="U520" s="15" t="str">
        <f>TEXT(EvolucionIncidencia[[#This Row],[Fecha]],"DDDD")</f>
        <v>domingo</v>
      </c>
      <c r="V5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0.9695652173913043</v>
      </c>
      <c r="W5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211.00314230569492</v>
      </c>
      <c r="X520" s="2">
        <f>IF(EvolucionIncidencia[[#This Row],[Fecha]]&lt;=MIN(EvolucionIncidencia[Fecha])+14,"",EvolucionIncidencia[[#This Row],[NuevasAltas]]-EvolucionIncidencia[[#This Row],[Previsión Altas]])</f>
        <v>11.996857694305078</v>
      </c>
      <c r="Y5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1043</v>
      </c>
      <c r="Z5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2730</v>
      </c>
      <c r="AA520" s="2">
        <f>IF(LEN(EvolucionIncidencia[[#This Row],[Nuevos 7 dias]])=0,"",EvolucionIncidencia[[#This Row],[Nuevos 7 dias]]/_xlfn.MAXIFS(EvolucionIncidencia[Nuevos 7 dias],EvolucionIncidencia[Area_Sanitaria],EvolucionIncidencia[[#This Row],[Area_Sanitaria]]))</f>
        <v>0.53790613718411551</v>
      </c>
      <c r="AB520" s="2">
        <f>IF(LEN(EvolucionIncidencia[[#This Row],[Nuevos 14 dias]])=0,"",EvolucionIncidencia[[#This Row],[Nuevos 14 dias]]/_xlfn.MAXIFS(EvolucionIncidencia[Nuevos 14 dias],EvolucionIncidencia[Area_Sanitaria],EvolucionIncidencia[[#This Row],[Area_Sanitaria]]))</f>
        <v>0.75144508670520227</v>
      </c>
    </row>
    <row r="521" spans="1:28" hidden="1" x14ac:dyDescent="0.3">
      <c r="A521" s="1">
        <v>44234</v>
      </c>
      <c r="B521" s="2" t="s">
        <v>3</v>
      </c>
      <c r="C521" s="15">
        <v>104701</v>
      </c>
      <c r="D521" s="15">
        <v>19246</v>
      </c>
      <c r="E521" s="15">
        <v>83504</v>
      </c>
      <c r="F521">
        <v>1063</v>
      </c>
      <c r="G521">
        <v>254</v>
      </c>
      <c r="H521" s="15">
        <v>1509268</v>
      </c>
      <c r="I521" s="15">
        <v>1967</v>
      </c>
      <c r="J521" s="15">
        <v>621309</v>
      </c>
      <c r="K521" s="15">
        <v>525</v>
      </c>
      <c r="L521">
        <v>-720</v>
      </c>
      <c r="M521">
        <v>37</v>
      </c>
      <c r="N521">
        <v>6</v>
      </c>
      <c r="O521" s="15">
        <v>11772</v>
      </c>
      <c r="P521" s="15">
        <v>11019</v>
      </c>
      <c r="Q521" s="15">
        <v>22791</v>
      </c>
      <c r="R521">
        <v>0.96393869578283087</v>
      </c>
      <c r="S521" s="15">
        <v>1229</v>
      </c>
      <c r="T521" t="s">
        <v>485</v>
      </c>
      <c r="U521" s="15" t="str">
        <f>TEXT(EvolucionIncidencia[[#This Row],[Fecha]],"DDDD")</f>
        <v>domingo</v>
      </c>
      <c r="V5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0.87660485021398005</v>
      </c>
      <c r="W5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1246.1070142137025</v>
      </c>
      <c r="X521" s="2">
        <f>IF(EvolucionIncidencia[[#This Row],[Fecha]]&lt;=MIN(EvolucionIncidencia[Fecha])+14,"",EvolucionIncidencia[[#This Row],[NuevasAltas]]-EvolucionIncidencia[[#This Row],[Previsión Altas]])</f>
        <v>-17.107014213702541</v>
      </c>
      <c r="Y5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6626</v>
      </c>
      <c r="Z5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16520</v>
      </c>
      <c r="AA521" s="2">
        <f>IF(LEN(EvolucionIncidencia[[#This Row],[Nuevos 7 dias]])=0,"",EvolucionIncidencia[[#This Row],[Nuevos 7 dias]]/_xlfn.MAXIFS(EvolucionIncidencia[Nuevos 7 dias],EvolucionIncidencia[Area_Sanitaria],EvolucionIncidencia[[#This Row],[Area_Sanitaria]]))</f>
        <v>0.58409732016925242</v>
      </c>
      <c r="AB521" s="2">
        <f>IF(LEN(EvolucionIncidencia[[#This Row],[Nuevos 14 dias]])=0,"",EvolucionIncidencia[[#This Row],[Nuevos 14 dias]]/_xlfn.MAXIFS(EvolucionIncidencia[Nuevos 14 dias],EvolucionIncidencia[Area_Sanitaria],EvolucionIncidencia[[#This Row],[Area_Sanitaria]]))</f>
        <v>0.79202224566113721</v>
      </c>
    </row>
    <row r="526" spans="1:28" x14ac:dyDescent="0.3">
      <c r="Y526" s="28"/>
    </row>
  </sheetData>
  <phoneticPr fontId="3" type="noConversion"/>
  <pageMargins left="0.7" right="0.7" top="0.75" bottom="0.75" header="0.3" footer="0.3"/>
  <pageSetup paperSize="9"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A12DA5-1FDB-463E-8B9C-77BFA4481272}">
  <dimension ref="B24:G92"/>
  <sheetViews>
    <sheetView showGridLines="0" workbookViewId="0">
      <selection activeCell="R30" sqref="R30"/>
    </sheetView>
  </sheetViews>
  <sheetFormatPr defaultRowHeight="14.4" x14ac:dyDescent="0.3"/>
  <cols>
    <col min="2" max="2" width="13.5546875" bestFit="1" customWidth="1"/>
    <col min="3" max="3" width="21.21875" style="14" bestFit="1" customWidth="1"/>
    <col min="4" max="4" width="22.88671875" style="14" bestFit="1" customWidth="1"/>
  </cols>
  <sheetData>
    <row r="24" spans="2:4" x14ac:dyDescent="0.3">
      <c r="B24" s="11" t="s">
        <v>1</v>
      </c>
      <c r="C24" t="s">
        <v>4</v>
      </c>
    </row>
    <row r="26" spans="2:4" x14ac:dyDescent="0.3">
      <c r="B26" s="11" t="s">
        <v>341</v>
      </c>
      <c r="C26" s="14" t="s">
        <v>412</v>
      </c>
      <c r="D26" s="14" t="s">
        <v>430</v>
      </c>
    </row>
    <row r="27" spans="2:4" x14ac:dyDescent="0.3">
      <c r="B27" s="12" t="s">
        <v>369</v>
      </c>
      <c r="C27" s="14">
        <v>1376</v>
      </c>
      <c r="D27" s="14">
        <v>0.96223776223776225</v>
      </c>
    </row>
    <row r="28" spans="2:4" x14ac:dyDescent="0.3">
      <c r="B28" s="12" t="s">
        <v>370</v>
      </c>
      <c r="C28" s="14">
        <v>1349</v>
      </c>
      <c r="D28" s="14">
        <v>0.98037790697674421</v>
      </c>
    </row>
    <row r="29" spans="2:4" x14ac:dyDescent="0.3">
      <c r="B29" s="12" t="s">
        <v>371</v>
      </c>
      <c r="C29" s="14">
        <v>1244</v>
      </c>
      <c r="D29" s="14">
        <v>0.92216456634544108</v>
      </c>
    </row>
    <row r="30" spans="2:4" x14ac:dyDescent="0.3">
      <c r="B30" s="12" t="s">
        <v>372</v>
      </c>
      <c r="C30" s="14">
        <v>1193</v>
      </c>
      <c r="D30" s="14">
        <v>0.95900321543408362</v>
      </c>
    </row>
    <row r="31" spans="2:4" x14ac:dyDescent="0.3">
      <c r="B31" s="12" t="s">
        <v>373</v>
      </c>
      <c r="C31" s="14">
        <v>1146</v>
      </c>
      <c r="D31" s="14">
        <v>0.9606035205364627</v>
      </c>
    </row>
    <row r="32" spans="2:4" x14ac:dyDescent="0.3">
      <c r="B32" s="12" t="s">
        <v>374</v>
      </c>
      <c r="C32" s="14">
        <v>1093</v>
      </c>
      <c r="D32" s="14">
        <v>0.9537521815008726</v>
      </c>
    </row>
    <row r="33" spans="2:4" x14ac:dyDescent="0.3">
      <c r="B33" s="12" t="s">
        <v>375</v>
      </c>
      <c r="C33" s="14">
        <v>1017</v>
      </c>
      <c r="D33" s="14">
        <v>0.93046660567246109</v>
      </c>
    </row>
    <row r="34" spans="2:4" x14ac:dyDescent="0.3">
      <c r="B34" s="12" t="s">
        <v>376</v>
      </c>
      <c r="C34" s="14">
        <v>993</v>
      </c>
      <c r="D34" s="14">
        <v>0.97640117994100295</v>
      </c>
    </row>
    <row r="35" spans="2:4" x14ac:dyDescent="0.3">
      <c r="B35" s="12" t="s">
        <v>377</v>
      </c>
      <c r="C35" s="14">
        <v>955</v>
      </c>
      <c r="D35" s="14">
        <v>0.96173212487411885</v>
      </c>
    </row>
    <row r="36" spans="2:4" x14ac:dyDescent="0.3">
      <c r="B36" s="12" t="s">
        <v>378</v>
      </c>
      <c r="C36" s="14">
        <v>929</v>
      </c>
      <c r="D36" s="14">
        <v>0.97277486910994759</v>
      </c>
    </row>
    <row r="37" spans="2:4" x14ac:dyDescent="0.3">
      <c r="B37" s="12" t="s">
        <v>379</v>
      </c>
      <c r="C37" s="14">
        <v>907</v>
      </c>
      <c r="D37" s="14">
        <v>0.97631862217438103</v>
      </c>
    </row>
    <row r="38" spans="2:4" x14ac:dyDescent="0.3">
      <c r="B38" s="12" t="s">
        <v>380</v>
      </c>
      <c r="C38" s="14">
        <v>899</v>
      </c>
      <c r="D38" s="14">
        <v>0.99117971334068355</v>
      </c>
    </row>
    <row r="39" spans="2:4" x14ac:dyDescent="0.3">
      <c r="B39" s="12" t="s">
        <v>381</v>
      </c>
      <c r="C39" s="14">
        <v>861</v>
      </c>
      <c r="D39" s="14">
        <v>0.9577308120133482</v>
      </c>
    </row>
    <row r="40" spans="2:4" x14ac:dyDescent="0.3">
      <c r="B40" s="12" t="s">
        <v>382</v>
      </c>
      <c r="C40" s="14">
        <v>870</v>
      </c>
      <c r="D40" s="14">
        <v>1.0104529616724738</v>
      </c>
    </row>
    <row r="41" spans="2:4" x14ac:dyDescent="0.3">
      <c r="B41" s="12" t="s">
        <v>383</v>
      </c>
      <c r="C41" s="14">
        <v>887</v>
      </c>
      <c r="D41" s="14">
        <v>1.0195402298850575</v>
      </c>
    </row>
    <row r="42" spans="2:4" x14ac:dyDescent="0.3">
      <c r="B42" s="12" t="s">
        <v>384</v>
      </c>
      <c r="C42" s="14">
        <v>882</v>
      </c>
      <c r="D42" s="14">
        <v>0.99436302142051858</v>
      </c>
    </row>
    <row r="43" spans="2:4" x14ac:dyDescent="0.3">
      <c r="B43" s="12" t="s">
        <v>385</v>
      </c>
      <c r="C43" s="14">
        <v>866</v>
      </c>
      <c r="D43" s="14">
        <v>0.98185941043083902</v>
      </c>
    </row>
    <row r="44" spans="2:4" x14ac:dyDescent="0.3">
      <c r="B44" s="12" t="s">
        <v>386</v>
      </c>
      <c r="C44" s="14">
        <v>880</v>
      </c>
      <c r="D44" s="14">
        <v>1.0161662817551964</v>
      </c>
    </row>
    <row r="45" spans="2:4" x14ac:dyDescent="0.3">
      <c r="B45" s="12" t="s">
        <v>367</v>
      </c>
      <c r="C45" s="14">
        <v>878</v>
      </c>
      <c r="D45" s="14">
        <v>0.99772727272727268</v>
      </c>
    </row>
    <row r="46" spans="2:4" x14ac:dyDescent="0.3">
      <c r="B46" s="12" t="s">
        <v>343</v>
      </c>
      <c r="C46" s="14">
        <v>899</v>
      </c>
      <c r="D46" s="14">
        <v>1.0239179954441913</v>
      </c>
    </row>
    <row r="47" spans="2:4" x14ac:dyDescent="0.3">
      <c r="B47" s="12" t="s">
        <v>344</v>
      </c>
      <c r="C47" s="14">
        <v>901</v>
      </c>
      <c r="D47" s="14">
        <v>1.0022246941045607</v>
      </c>
    </row>
    <row r="48" spans="2:4" x14ac:dyDescent="0.3">
      <c r="B48" s="12" t="s">
        <v>345</v>
      </c>
      <c r="C48" s="14">
        <v>873</v>
      </c>
      <c r="D48" s="14">
        <v>0.96892341842397334</v>
      </c>
    </row>
    <row r="49" spans="2:4" x14ac:dyDescent="0.3">
      <c r="B49" s="12" t="s">
        <v>346</v>
      </c>
      <c r="C49" s="14">
        <v>860</v>
      </c>
      <c r="D49" s="14">
        <v>0.98510882016036661</v>
      </c>
    </row>
    <row r="50" spans="2:4" x14ac:dyDescent="0.3">
      <c r="B50" s="12" t="s">
        <v>347</v>
      </c>
      <c r="C50" s="14">
        <v>884</v>
      </c>
      <c r="D50" s="14">
        <v>1.027906976744186</v>
      </c>
    </row>
    <row r="51" spans="2:4" x14ac:dyDescent="0.3">
      <c r="B51" s="12" t="s">
        <v>348</v>
      </c>
      <c r="C51" s="14">
        <v>956</v>
      </c>
      <c r="D51" s="14">
        <v>1.0814479638009049</v>
      </c>
    </row>
    <row r="52" spans="2:4" x14ac:dyDescent="0.3">
      <c r="B52" s="12" t="s">
        <v>349</v>
      </c>
      <c r="C52" s="14">
        <v>1029</v>
      </c>
      <c r="D52" s="14">
        <v>1.0763598326359833</v>
      </c>
    </row>
    <row r="53" spans="2:4" x14ac:dyDescent="0.3">
      <c r="B53" s="12" t="s">
        <v>350</v>
      </c>
      <c r="C53" s="14">
        <v>1091</v>
      </c>
      <c r="D53" s="14">
        <v>1.0602526724975705</v>
      </c>
    </row>
    <row r="54" spans="2:4" x14ac:dyDescent="0.3">
      <c r="B54" s="12" t="s">
        <v>351</v>
      </c>
      <c r="C54" s="14">
        <v>1150</v>
      </c>
      <c r="D54" s="14">
        <v>1.0540788267644363</v>
      </c>
    </row>
    <row r="55" spans="2:4" x14ac:dyDescent="0.3">
      <c r="B55" s="12" t="s">
        <v>352</v>
      </c>
      <c r="C55" s="14">
        <v>1134</v>
      </c>
      <c r="D55" s="14">
        <v>0.98608695652173917</v>
      </c>
    </row>
    <row r="56" spans="2:4" x14ac:dyDescent="0.3">
      <c r="B56" s="12" t="s">
        <v>353</v>
      </c>
      <c r="C56" s="14">
        <v>1193</v>
      </c>
      <c r="D56" s="14">
        <v>1.0520282186948853</v>
      </c>
    </row>
    <row r="57" spans="2:4" x14ac:dyDescent="0.3">
      <c r="B57" s="12" t="s">
        <v>354</v>
      </c>
      <c r="C57" s="14">
        <v>1224</v>
      </c>
      <c r="D57" s="14">
        <v>1.0259849119865885</v>
      </c>
    </row>
    <row r="58" spans="2:4" x14ac:dyDescent="0.3">
      <c r="B58" s="12" t="s">
        <v>355</v>
      </c>
      <c r="C58" s="14">
        <v>1377</v>
      </c>
      <c r="D58" s="14">
        <v>1.125</v>
      </c>
    </row>
    <row r="59" spans="2:4" x14ac:dyDescent="0.3">
      <c r="B59" s="12" t="s">
        <v>356</v>
      </c>
      <c r="C59" s="14">
        <v>1470</v>
      </c>
      <c r="D59" s="14">
        <v>1.0675381263616557</v>
      </c>
    </row>
    <row r="60" spans="2:4" x14ac:dyDescent="0.3">
      <c r="B60" s="12" t="s">
        <v>387</v>
      </c>
      <c r="C60" s="14">
        <v>1557</v>
      </c>
      <c r="D60" s="14">
        <v>1.0591836734693878</v>
      </c>
    </row>
    <row r="61" spans="2:4" x14ac:dyDescent="0.3">
      <c r="B61" s="12" t="s">
        <v>398</v>
      </c>
      <c r="C61" s="14">
        <v>1696</v>
      </c>
      <c r="D61" s="14">
        <v>1.0892742453436095</v>
      </c>
    </row>
    <row r="62" spans="2:4" x14ac:dyDescent="0.3">
      <c r="B62" s="12" t="s">
        <v>399</v>
      </c>
      <c r="C62" s="14">
        <v>1831</v>
      </c>
      <c r="D62" s="14">
        <v>1.0795990566037736</v>
      </c>
    </row>
    <row r="63" spans="2:4" x14ac:dyDescent="0.3">
      <c r="B63" s="12" t="s">
        <v>400</v>
      </c>
      <c r="C63" s="14">
        <v>1944</v>
      </c>
      <c r="D63" s="14">
        <v>1.0617149098853085</v>
      </c>
    </row>
    <row r="64" spans="2:4" x14ac:dyDescent="0.3">
      <c r="B64" s="12" t="s">
        <v>401</v>
      </c>
      <c r="C64" s="14">
        <v>2064</v>
      </c>
      <c r="D64" s="14">
        <v>1.0617283950617284</v>
      </c>
    </row>
    <row r="65" spans="2:7" x14ac:dyDescent="0.3">
      <c r="B65" s="12" t="s">
        <v>403</v>
      </c>
      <c r="C65" s="14">
        <v>2260</v>
      </c>
      <c r="D65" s="14">
        <v>1.0949612403100775</v>
      </c>
    </row>
    <row r="66" spans="2:7" x14ac:dyDescent="0.3">
      <c r="B66" s="12" t="s">
        <v>404</v>
      </c>
      <c r="C66" s="14">
        <v>2469</v>
      </c>
      <c r="D66" s="14">
        <v>1.0924778761061946</v>
      </c>
    </row>
    <row r="67" spans="2:7" x14ac:dyDescent="0.3">
      <c r="B67" s="12" t="s">
        <v>405</v>
      </c>
      <c r="C67" s="14">
        <v>2635</v>
      </c>
      <c r="D67" s="14">
        <v>1.0672336978533818</v>
      </c>
    </row>
    <row r="68" spans="2:7" x14ac:dyDescent="0.3">
      <c r="B68" s="12" t="s">
        <v>406</v>
      </c>
      <c r="C68" s="14">
        <v>2843</v>
      </c>
      <c r="D68" s="14">
        <v>1.0789373814041745</v>
      </c>
    </row>
    <row r="69" spans="2:7" x14ac:dyDescent="0.3">
      <c r="B69" s="12" t="s">
        <v>407</v>
      </c>
      <c r="C69" s="14">
        <v>3129</v>
      </c>
      <c r="D69" s="14">
        <v>1.1005979599015125</v>
      </c>
    </row>
    <row r="70" spans="2:7" x14ac:dyDescent="0.3">
      <c r="B70" s="12" t="s">
        <v>408</v>
      </c>
      <c r="C70" s="14">
        <v>3346</v>
      </c>
      <c r="D70" s="14">
        <v>1.0693512304250559</v>
      </c>
    </row>
    <row r="71" spans="2:7" x14ac:dyDescent="0.3">
      <c r="B71" s="12" t="s">
        <v>409</v>
      </c>
      <c r="C71" s="14">
        <v>3533</v>
      </c>
      <c r="D71" s="14">
        <v>1.0558876270173341</v>
      </c>
    </row>
    <row r="72" spans="2:7" x14ac:dyDescent="0.3">
      <c r="B72" s="12" t="s">
        <v>410</v>
      </c>
      <c r="C72" s="14">
        <v>3839</v>
      </c>
      <c r="D72" s="14">
        <v>1.0866119445230682</v>
      </c>
    </row>
    <row r="73" spans="2:7" x14ac:dyDescent="0.3">
      <c r="B73" s="12" t="s">
        <v>411</v>
      </c>
      <c r="C73" s="14">
        <v>4124</v>
      </c>
      <c r="D73" s="14">
        <v>1.0742380828340714</v>
      </c>
    </row>
    <row r="74" spans="2:7" x14ac:dyDescent="0.3">
      <c r="B74" s="12" t="s">
        <v>422</v>
      </c>
      <c r="C74" s="14">
        <v>4414</v>
      </c>
      <c r="D74" s="14">
        <v>1.0703200775945685</v>
      </c>
    </row>
    <row r="75" spans="2:7" x14ac:dyDescent="0.3">
      <c r="B75" s="12" t="s">
        <v>441</v>
      </c>
      <c r="C75" s="14">
        <v>4826</v>
      </c>
      <c r="D75" s="14">
        <v>1.0933393747168101</v>
      </c>
      <c r="G75">
        <f>GETPIVOTDATA("Ratio Incremento Activos",$B$26,"FechaOrd","2021/01/22")*GETPIVOTDATA("Casos Activos",$B$26,"FechaOrd","2021/01/22")</f>
        <v>5276.4558223833255</v>
      </c>
    </row>
    <row r="76" spans="2:7" x14ac:dyDescent="0.3">
      <c r="B76" s="12" t="s">
        <v>442</v>
      </c>
      <c r="C76" s="14">
        <v>5057</v>
      </c>
      <c r="D76" s="14">
        <v>1.047865727310402</v>
      </c>
    </row>
    <row r="77" spans="2:7" x14ac:dyDescent="0.3">
      <c r="B77" s="12" t="s">
        <v>461</v>
      </c>
      <c r="C77" s="14">
        <v>5225</v>
      </c>
      <c r="D77" s="14">
        <v>1.0332212774372158</v>
      </c>
    </row>
    <row r="78" spans="2:7" x14ac:dyDescent="0.3">
      <c r="B78" s="12" t="s">
        <v>462</v>
      </c>
      <c r="C78" s="14">
        <v>5389</v>
      </c>
      <c r="D78" s="14">
        <v>1.0313875598086124</v>
      </c>
    </row>
    <row r="79" spans="2:7" x14ac:dyDescent="0.3">
      <c r="B79" s="12" t="s">
        <v>463</v>
      </c>
      <c r="C79" s="14">
        <v>5679</v>
      </c>
      <c r="D79" s="14">
        <v>1.0538133234366303</v>
      </c>
    </row>
    <row r="80" spans="2:7" x14ac:dyDescent="0.3">
      <c r="B80" s="12" t="s">
        <v>470</v>
      </c>
      <c r="C80" s="14">
        <v>5855</v>
      </c>
      <c r="D80" s="14">
        <v>1.0309913717203734</v>
      </c>
    </row>
    <row r="81" spans="2:4" x14ac:dyDescent="0.3">
      <c r="B81" s="12" t="s">
        <v>472</v>
      </c>
      <c r="C81" s="14">
        <v>5912</v>
      </c>
      <c r="D81" s="14">
        <v>1.0097352690008539</v>
      </c>
    </row>
    <row r="82" spans="2:4" x14ac:dyDescent="0.3">
      <c r="B82" s="12" t="s">
        <v>473</v>
      </c>
      <c r="C82" s="14">
        <v>5984</v>
      </c>
      <c r="D82" s="14">
        <v>1.0121786197564275</v>
      </c>
    </row>
    <row r="83" spans="2:4" x14ac:dyDescent="0.3">
      <c r="B83" s="12" t="s">
        <v>474</v>
      </c>
      <c r="C83" s="14">
        <v>6020</v>
      </c>
      <c r="D83" s="14">
        <v>1.0060160427807487</v>
      </c>
    </row>
    <row r="84" spans="2:4" x14ac:dyDescent="0.3">
      <c r="B84" s="12" t="s">
        <v>475</v>
      </c>
      <c r="C84" s="14">
        <v>5934</v>
      </c>
      <c r="D84" s="14">
        <v>0.98571428571428577</v>
      </c>
    </row>
    <row r="85" spans="2:4" x14ac:dyDescent="0.3">
      <c r="B85" s="12" t="s">
        <v>479</v>
      </c>
      <c r="C85" s="14">
        <v>5883</v>
      </c>
      <c r="D85" s="14">
        <v>0.99140546006066732</v>
      </c>
    </row>
    <row r="86" spans="2:4" x14ac:dyDescent="0.3">
      <c r="B86" s="12" t="s">
        <v>480</v>
      </c>
      <c r="C86" s="14">
        <v>5889</v>
      </c>
      <c r="D86" s="14">
        <v>1.0010198878123406</v>
      </c>
    </row>
    <row r="87" spans="2:4" x14ac:dyDescent="0.3">
      <c r="B87" s="12" t="s">
        <v>481</v>
      </c>
      <c r="C87" s="14">
        <v>5845</v>
      </c>
      <c r="D87" s="14">
        <v>0.99252844285956865</v>
      </c>
    </row>
    <row r="88" spans="2:4" x14ac:dyDescent="0.3">
      <c r="B88" s="12" t="s">
        <v>482</v>
      </c>
      <c r="C88" s="14">
        <v>5713</v>
      </c>
      <c r="D88" s="14">
        <v>0.97741659538066727</v>
      </c>
    </row>
    <row r="89" spans="2:4" x14ac:dyDescent="0.3">
      <c r="B89" s="12" t="s">
        <v>483</v>
      </c>
      <c r="C89" s="14">
        <v>5542</v>
      </c>
      <c r="D89" s="14">
        <v>0.97006826535970592</v>
      </c>
    </row>
    <row r="90" spans="2:4" x14ac:dyDescent="0.3">
      <c r="B90" s="12" t="s">
        <v>484</v>
      </c>
      <c r="C90" s="14">
        <v>5319</v>
      </c>
      <c r="D90" s="14">
        <v>0.95976181883796463</v>
      </c>
    </row>
    <row r="91" spans="2:4" x14ac:dyDescent="0.3">
      <c r="B91" s="12" t="s">
        <v>485</v>
      </c>
      <c r="C91" s="14">
        <v>5161</v>
      </c>
      <c r="D91" s="14">
        <v>0.97029516826471141</v>
      </c>
    </row>
    <row r="92" spans="2:4" x14ac:dyDescent="0.3">
      <c r="B92" s="12" t="s">
        <v>342</v>
      </c>
      <c r="C92" s="14">
        <v>171183</v>
      </c>
      <c r="D92" s="14">
        <v>66.370587560780947</v>
      </c>
    </row>
  </sheetData>
  <pageMargins left="0.7" right="0.7" top="0.75" bottom="0.75" header="0.3" footer="0.3"/>
  <pageSetup paperSize="9" orientation="portrait" r:id="rId2"/>
  <drawing r:id="rId3"/>
  <extLst>
    <ext xmlns:x14="http://schemas.microsoft.com/office/spreadsheetml/2009/9/main" uri="{A8765BA9-456A-4dab-B4F3-ACF838C121DE}">
      <x14:slicerList>
        <x14:slicer r:id="rId4"/>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10F959-1A16-4411-B3D0-FE8408FDDBD1}">
  <dimension ref="B24:L92"/>
  <sheetViews>
    <sheetView showGridLines="0" tabSelected="1" workbookViewId="0">
      <selection activeCell="M18" activeCellId="1" sqref="M21 M18"/>
    </sheetView>
  </sheetViews>
  <sheetFormatPr defaultRowHeight="14.4" x14ac:dyDescent="0.3"/>
  <cols>
    <col min="2" max="2" width="12.77734375" bestFit="1" customWidth="1"/>
    <col min="3" max="3" width="19.109375" bestFit="1" customWidth="1"/>
    <col min="4" max="4" width="19" bestFit="1" customWidth="1"/>
    <col min="5" max="5" width="9.5546875" bestFit="1" customWidth="1"/>
    <col min="6" max="6" width="12.109375" bestFit="1" customWidth="1"/>
    <col min="7" max="7" width="12.88671875" bestFit="1" customWidth="1"/>
    <col min="8" max="8" width="20.21875" bestFit="1" customWidth="1"/>
    <col min="9" max="9" width="23.88671875" bestFit="1" customWidth="1"/>
    <col min="10" max="10" width="14.44140625" bestFit="1" customWidth="1"/>
    <col min="11" max="11" width="17.109375" bestFit="1" customWidth="1"/>
    <col min="12" max="12" width="17.77734375" bestFit="1" customWidth="1"/>
    <col min="13" max="13" width="29.44140625" bestFit="1" customWidth="1"/>
    <col min="14" max="14" width="26.88671875" bestFit="1" customWidth="1"/>
    <col min="15" max="15" width="25.6640625" bestFit="1" customWidth="1"/>
    <col min="16" max="16" width="9.33203125" bestFit="1" customWidth="1"/>
    <col min="17" max="17" width="19" bestFit="1" customWidth="1"/>
    <col min="18" max="18" width="14.88671875" bestFit="1" customWidth="1"/>
  </cols>
  <sheetData>
    <row r="24" spans="2:12" x14ac:dyDescent="0.3">
      <c r="C24" s="11" t="s">
        <v>429</v>
      </c>
    </row>
    <row r="25" spans="2:12" x14ac:dyDescent="0.3">
      <c r="C25" t="s">
        <v>4</v>
      </c>
      <c r="H25" t="s">
        <v>437</v>
      </c>
      <c r="I25" t="s">
        <v>439</v>
      </c>
      <c r="J25" t="s">
        <v>435</v>
      </c>
      <c r="K25" t="s">
        <v>476</v>
      </c>
      <c r="L25" t="s">
        <v>478</v>
      </c>
    </row>
    <row r="26" spans="2:12" x14ac:dyDescent="0.3">
      <c r="B26" s="11" t="s">
        <v>341</v>
      </c>
      <c r="C26" t="s">
        <v>438</v>
      </c>
      <c r="D26" t="s">
        <v>440</v>
      </c>
      <c r="E26" t="s">
        <v>436</v>
      </c>
      <c r="F26" t="s">
        <v>477</v>
      </c>
      <c r="G26" t="s">
        <v>395</v>
      </c>
    </row>
    <row r="27" spans="2:12" x14ac:dyDescent="0.3">
      <c r="B27" s="12" t="s">
        <v>369</v>
      </c>
      <c r="C27" s="2">
        <v>97</v>
      </c>
      <c r="D27" s="2">
        <v>23</v>
      </c>
      <c r="E27" s="2">
        <v>0</v>
      </c>
      <c r="F27" s="2">
        <v>94</v>
      </c>
      <c r="G27" s="2">
        <v>40</v>
      </c>
      <c r="H27" s="2">
        <v>97</v>
      </c>
      <c r="I27" s="2">
        <v>23</v>
      </c>
      <c r="J27" s="2">
        <v>0</v>
      </c>
      <c r="K27" s="2">
        <v>94</v>
      </c>
      <c r="L27" s="2">
        <v>40</v>
      </c>
    </row>
    <row r="28" spans="2:12" x14ac:dyDescent="0.3">
      <c r="B28" s="12" t="s">
        <v>370</v>
      </c>
      <c r="C28" s="2">
        <v>98</v>
      </c>
      <c r="D28" s="2">
        <v>22</v>
      </c>
      <c r="E28" s="2">
        <v>0</v>
      </c>
      <c r="F28" s="2">
        <v>80</v>
      </c>
      <c r="G28" s="2">
        <v>53</v>
      </c>
      <c r="H28" s="2">
        <v>98</v>
      </c>
      <c r="I28" s="2">
        <v>22</v>
      </c>
      <c r="J28" s="2">
        <v>0</v>
      </c>
      <c r="K28" s="2">
        <v>80</v>
      </c>
      <c r="L28" s="2">
        <v>53</v>
      </c>
    </row>
    <row r="29" spans="2:12" x14ac:dyDescent="0.3">
      <c r="B29" s="12" t="s">
        <v>371</v>
      </c>
      <c r="C29" s="2">
        <v>87</v>
      </c>
      <c r="D29" s="2">
        <v>17</v>
      </c>
      <c r="E29" s="2">
        <v>2</v>
      </c>
      <c r="F29" s="2">
        <v>140</v>
      </c>
      <c r="G29" s="2">
        <v>37</v>
      </c>
      <c r="H29" s="2">
        <v>87</v>
      </c>
      <c r="I29" s="2">
        <v>17</v>
      </c>
      <c r="J29" s="2">
        <v>2</v>
      </c>
      <c r="K29" s="2">
        <v>140</v>
      </c>
      <c r="L29" s="2">
        <v>37</v>
      </c>
    </row>
    <row r="30" spans="2:12" x14ac:dyDescent="0.3">
      <c r="B30" s="12" t="s">
        <v>372</v>
      </c>
      <c r="C30" s="2">
        <v>84</v>
      </c>
      <c r="D30" s="2">
        <v>16</v>
      </c>
      <c r="E30" s="2">
        <v>0</v>
      </c>
      <c r="F30" s="2">
        <v>98</v>
      </c>
      <c r="G30" s="2">
        <v>47</v>
      </c>
      <c r="H30" s="2">
        <v>84</v>
      </c>
      <c r="I30" s="2">
        <v>16</v>
      </c>
      <c r="J30" s="2">
        <v>0</v>
      </c>
      <c r="K30" s="2">
        <v>98</v>
      </c>
      <c r="L30" s="2">
        <v>47</v>
      </c>
    </row>
    <row r="31" spans="2:12" x14ac:dyDescent="0.3">
      <c r="B31" s="12" t="s">
        <v>373</v>
      </c>
      <c r="C31" s="2">
        <v>76</v>
      </c>
      <c r="D31" s="2">
        <v>14</v>
      </c>
      <c r="E31" s="2">
        <v>0</v>
      </c>
      <c r="F31" s="2">
        <v>90</v>
      </c>
      <c r="G31" s="2">
        <v>43</v>
      </c>
      <c r="H31" s="2">
        <v>76</v>
      </c>
      <c r="I31" s="2">
        <v>14</v>
      </c>
      <c r="J31" s="2">
        <v>0</v>
      </c>
      <c r="K31" s="2">
        <v>90</v>
      </c>
      <c r="L31" s="2">
        <v>43</v>
      </c>
    </row>
    <row r="32" spans="2:12" x14ac:dyDescent="0.3">
      <c r="B32" s="12" t="s">
        <v>374</v>
      </c>
      <c r="C32" s="2">
        <v>78</v>
      </c>
      <c r="D32" s="2">
        <v>13</v>
      </c>
      <c r="E32" s="2">
        <v>0</v>
      </c>
      <c r="F32" s="2">
        <v>96</v>
      </c>
      <c r="G32" s="2">
        <v>43</v>
      </c>
      <c r="H32" s="2">
        <v>78</v>
      </c>
      <c r="I32" s="2">
        <v>13</v>
      </c>
      <c r="J32" s="2">
        <v>0</v>
      </c>
      <c r="K32" s="2">
        <v>96</v>
      </c>
      <c r="L32" s="2">
        <v>43</v>
      </c>
    </row>
    <row r="33" spans="2:12" x14ac:dyDescent="0.3">
      <c r="B33" s="12" t="s">
        <v>375</v>
      </c>
      <c r="C33" s="2">
        <v>74</v>
      </c>
      <c r="D33" s="2">
        <v>13</v>
      </c>
      <c r="E33" s="2">
        <v>3</v>
      </c>
      <c r="F33" s="2">
        <v>124</v>
      </c>
      <c r="G33" s="2">
        <v>51</v>
      </c>
      <c r="H33" s="2">
        <v>74</v>
      </c>
      <c r="I33" s="2">
        <v>13</v>
      </c>
      <c r="J33" s="2">
        <v>3</v>
      </c>
      <c r="K33" s="2">
        <v>124</v>
      </c>
      <c r="L33" s="2">
        <v>51</v>
      </c>
    </row>
    <row r="34" spans="2:12" x14ac:dyDescent="0.3">
      <c r="B34" s="12" t="s">
        <v>376</v>
      </c>
      <c r="C34" s="2">
        <v>74</v>
      </c>
      <c r="D34" s="2">
        <v>13</v>
      </c>
      <c r="E34" s="2">
        <v>0</v>
      </c>
      <c r="F34" s="2">
        <v>66</v>
      </c>
      <c r="G34" s="2">
        <v>42</v>
      </c>
      <c r="H34" s="2">
        <v>74</v>
      </c>
      <c r="I34" s="2">
        <v>13</v>
      </c>
      <c r="J34" s="2">
        <v>0</v>
      </c>
      <c r="K34" s="2">
        <v>66</v>
      </c>
      <c r="L34" s="2">
        <v>42</v>
      </c>
    </row>
    <row r="35" spans="2:12" x14ac:dyDescent="0.3">
      <c r="B35" s="12" t="s">
        <v>377</v>
      </c>
      <c r="C35" s="2">
        <v>75</v>
      </c>
      <c r="D35" s="2">
        <v>13</v>
      </c>
      <c r="E35" s="2">
        <v>2</v>
      </c>
      <c r="F35" s="2">
        <v>101</v>
      </c>
      <c r="G35" s="2">
        <v>65</v>
      </c>
      <c r="H35" s="2">
        <v>75</v>
      </c>
      <c r="I35" s="2">
        <v>13</v>
      </c>
      <c r="J35" s="2">
        <v>2</v>
      </c>
      <c r="K35" s="2">
        <v>101</v>
      </c>
      <c r="L35" s="2">
        <v>65</v>
      </c>
    </row>
    <row r="36" spans="2:12" x14ac:dyDescent="0.3">
      <c r="B36" s="12" t="s">
        <v>378</v>
      </c>
      <c r="C36" s="2">
        <v>72</v>
      </c>
      <c r="D36" s="2">
        <v>14</v>
      </c>
      <c r="E36" s="2">
        <v>2</v>
      </c>
      <c r="F36" s="2">
        <v>45</v>
      </c>
      <c r="G36" s="2">
        <v>21</v>
      </c>
      <c r="H36" s="2">
        <v>72</v>
      </c>
      <c r="I36" s="2">
        <v>14</v>
      </c>
      <c r="J36" s="2">
        <v>2</v>
      </c>
      <c r="K36" s="2">
        <v>45</v>
      </c>
      <c r="L36" s="2">
        <v>21</v>
      </c>
    </row>
    <row r="37" spans="2:12" x14ac:dyDescent="0.3">
      <c r="B37" s="12" t="s">
        <v>379</v>
      </c>
      <c r="C37" s="2">
        <v>63</v>
      </c>
      <c r="D37" s="2">
        <v>13</v>
      </c>
      <c r="E37" s="2">
        <v>1</v>
      </c>
      <c r="F37" s="2">
        <v>66</v>
      </c>
      <c r="G37" s="2">
        <v>45</v>
      </c>
      <c r="H37" s="2">
        <v>63</v>
      </c>
      <c r="I37" s="2">
        <v>13</v>
      </c>
      <c r="J37" s="2">
        <v>1</v>
      </c>
      <c r="K37" s="2">
        <v>66</v>
      </c>
      <c r="L37" s="2">
        <v>45</v>
      </c>
    </row>
    <row r="38" spans="2:12" x14ac:dyDescent="0.3">
      <c r="B38" s="12" t="s">
        <v>380</v>
      </c>
      <c r="C38" s="2">
        <v>69</v>
      </c>
      <c r="D38" s="2">
        <v>12</v>
      </c>
      <c r="E38" s="2">
        <v>2</v>
      </c>
      <c r="F38" s="2">
        <v>67</v>
      </c>
      <c r="G38" s="2">
        <v>61</v>
      </c>
      <c r="H38" s="2">
        <v>69</v>
      </c>
      <c r="I38" s="2">
        <v>12</v>
      </c>
      <c r="J38" s="2">
        <v>2</v>
      </c>
      <c r="K38" s="2">
        <v>67</v>
      </c>
      <c r="L38" s="2">
        <v>61</v>
      </c>
    </row>
    <row r="39" spans="2:12" x14ac:dyDescent="0.3">
      <c r="B39" s="12" t="s">
        <v>381</v>
      </c>
      <c r="C39" s="2">
        <v>64</v>
      </c>
      <c r="D39" s="2">
        <v>14</v>
      </c>
      <c r="E39" s="2">
        <v>2</v>
      </c>
      <c r="F39" s="2">
        <v>80</v>
      </c>
      <c r="G39" s="2">
        <v>44</v>
      </c>
      <c r="H39" s="2">
        <v>64</v>
      </c>
      <c r="I39" s="2">
        <v>14</v>
      </c>
      <c r="J39" s="2">
        <v>2</v>
      </c>
      <c r="K39" s="2">
        <v>80</v>
      </c>
      <c r="L39" s="2">
        <v>44</v>
      </c>
    </row>
    <row r="40" spans="2:12" x14ac:dyDescent="0.3">
      <c r="B40" s="12" t="s">
        <v>382</v>
      </c>
      <c r="C40" s="2">
        <v>58</v>
      </c>
      <c r="D40" s="2">
        <v>14</v>
      </c>
      <c r="E40" s="2">
        <v>0</v>
      </c>
      <c r="F40" s="2">
        <v>68</v>
      </c>
      <c r="G40" s="2">
        <v>77</v>
      </c>
      <c r="H40" s="2">
        <v>58</v>
      </c>
      <c r="I40" s="2">
        <v>14</v>
      </c>
      <c r="J40" s="2">
        <v>0</v>
      </c>
      <c r="K40" s="2">
        <v>68</v>
      </c>
      <c r="L40" s="2">
        <v>77</v>
      </c>
    </row>
    <row r="41" spans="2:12" x14ac:dyDescent="0.3">
      <c r="B41" s="12" t="s">
        <v>383</v>
      </c>
      <c r="C41" s="2">
        <v>59</v>
      </c>
      <c r="D41" s="2">
        <v>14</v>
      </c>
      <c r="E41" s="2">
        <v>0</v>
      </c>
      <c r="F41" s="2">
        <v>50</v>
      </c>
      <c r="G41" s="2">
        <v>67</v>
      </c>
      <c r="H41" s="2">
        <v>59</v>
      </c>
      <c r="I41" s="2">
        <v>14</v>
      </c>
      <c r="J41" s="2">
        <v>0</v>
      </c>
      <c r="K41" s="2">
        <v>50</v>
      </c>
      <c r="L41" s="2">
        <v>67</v>
      </c>
    </row>
    <row r="42" spans="2:12" x14ac:dyDescent="0.3">
      <c r="B42" s="12" t="s">
        <v>384</v>
      </c>
      <c r="C42" s="2">
        <v>60</v>
      </c>
      <c r="D42" s="2">
        <v>14</v>
      </c>
      <c r="E42" s="2">
        <v>0</v>
      </c>
      <c r="F42" s="2">
        <v>58</v>
      </c>
      <c r="G42" s="2">
        <v>53</v>
      </c>
      <c r="H42" s="2">
        <v>60</v>
      </c>
      <c r="I42" s="2">
        <v>14</v>
      </c>
      <c r="J42" s="2">
        <v>0</v>
      </c>
      <c r="K42" s="2">
        <v>58</v>
      </c>
      <c r="L42" s="2">
        <v>53</v>
      </c>
    </row>
    <row r="43" spans="2:12" x14ac:dyDescent="0.3">
      <c r="B43" s="12" t="s">
        <v>385</v>
      </c>
      <c r="C43" s="2">
        <v>63</v>
      </c>
      <c r="D43" s="2">
        <v>15</v>
      </c>
      <c r="E43" s="2">
        <v>0</v>
      </c>
      <c r="F43" s="2">
        <v>39</v>
      </c>
      <c r="G43" s="2">
        <v>23</v>
      </c>
      <c r="H43" s="2">
        <v>63</v>
      </c>
      <c r="I43" s="2">
        <v>15</v>
      </c>
      <c r="J43" s="2">
        <v>0</v>
      </c>
      <c r="K43" s="2">
        <v>39</v>
      </c>
      <c r="L43" s="2">
        <v>23</v>
      </c>
    </row>
    <row r="44" spans="2:12" x14ac:dyDescent="0.3">
      <c r="B44" s="12" t="s">
        <v>386</v>
      </c>
      <c r="C44" s="2">
        <v>56</v>
      </c>
      <c r="D44" s="2">
        <v>15</v>
      </c>
      <c r="E44" s="2">
        <v>0</v>
      </c>
      <c r="F44" s="2">
        <v>50</v>
      </c>
      <c r="G44" s="2">
        <v>64</v>
      </c>
      <c r="H44" s="2">
        <v>56</v>
      </c>
      <c r="I44" s="2">
        <v>15</v>
      </c>
      <c r="J44" s="2">
        <v>0</v>
      </c>
      <c r="K44" s="2">
        <v>50</v>
      </c>
      <c r="L44" s="2">
        <v>64</v>
      </c>
    </row>
    <row r="45" spans="2:12" x14ac:dyDescent="0.3">
      <c r="B45" s="12" t="s">
        <v>367</v>
      </c>
      <c r="C45" s="2">
        <v>55</v>
      </c>
      <c r="D45" s="2">
        <v>17</v>
      </c>
      <c r="E45" s="2">
        <v>0</v>
      </c>
      <c r="F45" s="2">
        <v>62</v>
      </c>
      <c r="G45" s="2">
        <v>60</v>
      </c>
      <c r="H45" s="2">
        <v>55</v>
      </c>
      <c r="I45" s="2">
        <v>17</v>
      </c>
      <c r="J45" s="2">
        <v>0</v>
      </c>
      <c r="K45" s="2">
        <v>62</v>
      </c>
      <c r="L45" s="2">
        <v>60</v>
      </c>
    </row>
    <row r="46" spans="2:12" x14ac:dyDescent="0.3">
      <c r="B46" s="12" t="s">
        <v>343</v>
      </c>
      <c r="C46" s="2">
        <v>56</v>
      </c>
      <c r="D46" s="2">
        <v>18</v>
      </c>
      <c r="E46" s="2">
        <v>0</v>
      </c>
      <c r="F46" s="2">
        <v>46</v>
      </c>
      <c r="G46" s="2">
        <v>67</v>
      </c>
      <c r="H46" s="2">
        <v>56</v>
      </c>
      <c r="I46" s="2">
        <v>18</v>
      </c>
      <c r="J46" s="2">
        <v>0</v>
      </c>
      <c r="K46" s="2">
        <v>46</v>
      </c>
      <c r="L46" s="2">
        <v>67</v>
      </c>
    </row>
    <row r="47" spans="2:12" x14ac:dyDescent="0.3">
      <c r="B47" s="12" t="s">
        <v>344</v>
      </c>
      <c r="C47" s="2">
        <v>56</v>
      </c>
      <c r="D47" s="2">
        <v>17</v>
      </c>
      <c r="E47" s="2">
        <v>2</v>
      </c>
      <c r="F47" s="2">
        <v>55</v>
      </c>
      <c r="G47" s="2">
        <v>59</v>
      </c>
      <c r="H47" s="2">
        <v>56</v>
      </c>
      <c r="I47" s="2">
        <v>17</v>
      </c>
      <c r="J47" s="2">
        <v>2</v>
      </c>
      <c r="K47" s="2">
        <v>55</v>
      </c>
      <c r="L47" s="2">
        <v>59</v>
      </c>
    </row>
    <row r="48" spans="2:12" x14ac:dyDescent="0.3">
      <c r="B48" s="12" t="s">
        <v>345</v>
      </c>
      <c r="C48" s="2">
        <v>61</v>
      </c>
      <c r="D48" s="2">
        <v>18</v>
      </c>
      <c r="E48" s="2">
        <v>0</v>
      </c>
      <c r="F48" s="2">
        <v>64</v>
      </c>
      <c r="G48" s="2">
        <v>36</v>
      </c>
      <c r="H48" s="2">
        <v>61</v>
      </c>
      <c r="I48" s="2">
        <v>18</v>
      </c>
      <c r="J48" s="2">
        <v>0</v>
      </c>
      <c r="K48" s="2">
        <v>64</v>
      </c>
      <c r="L48" s="2">
        <v>36</v>
      </c>
    </row>
    <row r="49" spans="2:12" x14ac:dyDescent="0.3">
      <c r="B49" s="12" t="s">
        <v>346</v>
      </c>
      <c r="C49" s="2">
        <v>66</v>
      </c>
      <c r="D49" s="2">
        <v>17</v>
      </c>
      <c r="E49" s="2">
        <v>0</v>
      </c>
      <c r="F49" s="2">
        <v>61</v>
      </c>
      <c r="G49" s="2">
        <v>48</v>
      </c>
      <c r="H49" s="2">
        <v>66</v>
      </c>
      <c r="I49" s="2">
        <v>17</v>
      </c>
      <c r="J49" s="2">
        <v>0</v>
      </c>
      <c r="K49" s="2">
        <v>61</v>
      </c>
      <c r="L49" s="2">
        <v>48</v>
      </c>
    </row>
    <row r="50" spans="2:12" x14ac:dyDescent="0.3">
      <c r="B50" s="12" t="s">
        <v>347</v>
      </c>
      <c r="C50" s="2">
        <v>71</v>
      </c>
      <c r="D50" s="2">
        <v>18</v>
      </c>
      <c r="E50" s="2">
        <v>4</v>
      </c>
      <c r="F50" s="2">
        <v>26</v>
      </c>
      <c r="G50" s="2">
        <v>54</v>
      </c>
      <c r="H50" s="2">
        <v>71</v>
      </c>
      <c r="I50" s="2">
        <v>18</v>
      </c>
      <c r="J50" s="2">
        <v>4</v>
      </c>
      <c r="K50" s="2">
        <v>26</v>
      </c>
      <c r="L50" s="2">
        <v>54</v>
      </c>
    </row>
    <row r="51" spans="2:12" x14ac:dyDescent="0.3">
      <c r="B51" s="12" t="s">
        <v>348</v>
      </c>
      <c r="C51" s="2">
        <v>71</v>
      </c>
      <c r="D51" s="2">
        <v>18</v>
      </c>
      <c r="E51" s="2">
        <v>0</v>
      </c>
      <c r="F51" s="2">
        <v>49</v>
      </c>
      <c r="G51" s="2">
        <v>121</v>
      </c>
      <c r="H51" s="2">
        <v>71</v>
      </c>
      <c r="I51" s="2">
        <v>18</v>
      </c>
      <c r="J51" s="2">
        <v>0</v>
      </c>
      <c r="K51" s="2">
        <v>49</v>
      </c>
      <c r="L51" s="2">
        <v>121</v>
      </c>
    </row>
    <row r="52" spans="2:12" x14ac:dyDescent="0.3">
      <c r="B52" s="12" t="s">
        <v>349</v>
      </c>
      <c r="C52" s="2">
        <v>70</v>
      </c>
      <c r="D52" s="2">
        <v>19</v>
      </c>
      <c r="E52" s="2">
        <v>0</v>
      </c>
      <c r="F52" s="2">
        <v>61</v>
      </c>
      <c r="G52" s="2">
        <v>134</v>
      </c>
      <c r="H52" s="2">
        <v>70</v>
      </c>
      <c r="I52" s="2">
        <v>19</v>
      </c>
      <c r="J52" s="2">
        <v>0</v>
      </c>
      <c r="K52" s="2">
        <v>61</v>
      </c>
      <c r="L52" s="2">
        <v>134</v>
      </c>
    </row>
    <row r="53" spans="2:12" x14ac:dyDescent="0.3">
      <c r="B53" s="12" t="s">
        <v>350</v>
      </c>
      <c r="C53" s="2">
        <v>67</v>
      </c>
      <c r="D53" s="2">
        <v>20</v>
      </c>
      <c r="E53" s="2">
        <v>1</v>
      </c>
      <c r="F53" s="2">
        <v>44</v>
      </c>
      <c r="G53" s="2">
        <v>107</v>
      </c>
      <c r="H53" s="2">
        <v>67</v>
      </c>
      <c r="I53" s="2">
        <v>20</v>
      </c>
      <c r="J53" s="2">
        <v>1</v>
      </c>
      <c r="K53" s="2">
        <v>44</v>
      </c>
      <c r="L53" s="2">
        <v>107</v>
      </c>
    </row>
    <row r="54" spans="2:12" x14ac:dyDescent="0.3">
      <c r="B54" s="12" t="s">
        <v>351</v>
      </c>
      <c r="C54" s="2">
        <v>72</v>
      </c>
      <c r="D54" s="2">
        <v>20</v>
      </c>
      <c r="E54" s="2">
        <v>2</v>
      </c>
      <c r="F54" s="2">
        <v>57</v>
      </c>
      <c r="G54" s="2">
        <v>118</v>
      </c>
      <c r="H54" s="2">
        <v>72</v>
      </c>
      <c r="I54" s="2">
        <v>20</v>
      </c>
      <c r="J54" s="2">
        <v>2</v>
      </c>
      <c r="K54" s="2">
        <v>57</v>
      </c>
      <c r="L54" s="2">
        <v>118</v>
      </c>
    </row>
    <row r="55" spans="2:12" x14ac:dyDescent="0.3">
      <c r="B55" s="12" t="s">
        <v>352</v>
      </c>
      <c r="C55" s="2">
        <v>77</v>
      </c>
      <c r="D55" s="2">
        <v>18</v>
      </c>
      <c r="E55" s="2">
        <v>0</v>
      </c>
      <c r="F55" s="2">
        <v>62</v>
      </c>
      <c r="G55" s="2">
        <v>46</v>
      </c>
      <c r="H55" s="2">
        <v>77</v>
      </c>
      <c r="I55" s="2">
        <v>18</v>
      </c>
      <c r="J55" s="2">
        <v>0</v>
      </c>
      <c r="K55" s="2">
        <v>62</v>
      </c>
      <c r="L55" s="2">
        <v>46</v>
      </c>
    </row>
    <row r="56" spans="2:12" x14ac:dyDescent="0.3">
      <c r="B56" s="12" t="s">
        <v>353</v>
      </c>
      <c r="C56" s="2">
        <v>83</v>
      </c>
      <c r="D56" s="2">
        <v>19</v>
      </c>
      <c r="E56" s="2">
        <v>1</v>
      </c>
      <c r="F56" s="2">
        <v>58</v>
      </c>
      <c r="G56" s="2">
        <v>118</v>
      </c>
      <c r="H56" s="2">
        <v>83</v>
      </c>
      <c r="I56" s="2">
        <v>19</v>
      </c>
      <c r="J56" s="2">
        <v>1</v>
      </c>
      <c r="K56" s="2">
        <v>58</v>
      </c>
      <c r="L56" s="2">
        <v>118</v>
      </c>
    </row>
    <row r="57" spans="2:12" x14ac:dyDescent="0.3">
      <c r="B57" s="12" t="s">
        <v>354</v>
      </c>
      <c r="C57" s="2">
        <v>81</v>
      </c>
      <c r="D57" s="2">
        <v>17</v>
      </c>
      <c r="E57" s="2">
        <v>6</v>
      </c>
      <c r="F57" s="2">
        <v>50</v>
      </c>
      <c r="G57" s="2">
        <v>86</v>
      </c>
      <c r="H57" s="2">
        <v>81</v>
      </c>
      <c r="I57" s="2">
        <v>17</v>
      </c>
      <c r="J57" s="2">
        <v>6</v>
      </c>
      <c r="K57" s="2">
        <v>50</v>
      </c>
      <c r="L57" s="2">
        <v>86</v>
      </c>
    </row>
    <row r="58" spans="2:12" x14ac:dyDescent="0.3">
      <c r="B58" s="12" t="s">
        <v>355</v>
      </c>
      <c r="C58" s="2">
        <v>79</v>
      </c>
      <c r="D58" s="2">
        <v>18</v>
      </c>
      <c r="E58" s="2">
        <v>1</v>
      </c>
      <c r="F58" s="2">
        <v>33</v>
      </c>
      <c r="G58" s="2">
        <v>187</v>
      </c>
      <c r="H58" s="2">
        <v>79</v>
      </c>
      <c r="I58" s="2">
        <v>18</v>
      </c>
      <c r="J58" s="2">
        <v>1</v>
      </c>
      <c r="K58" s="2">
        <v>33</v>
      </c>
      <c r="L58" s="2">
        <v>187</v>
      </c>
    </row>
    <row r="59" spans="2:12" x14ac:dyDescent="0.3">
      <c r="B59" s="12" t="s">
        <v>356</v>
      </c>
      <c r="C59" s="2">
        <v>85</v>
      </c>
      <c r="D59" s="2">
        <v>19</v>
      </c>
      <c r="E59" s="2">
        <v>2</v>
      </c>
      <c r="F59" s="2">
        <v>63</v>
      </c>
      <c r="G59" s="2">
        <v>158</v>
      </c>
      <c r="H59" s="2">
        <v>85</v>
      </c>
      <c r="I59" s="2">
        <v>19</v>
      </c>
      <c r="J59" s="2">
        <v>2</v>
      </c>
      <c r="K59" s="2">
        <v>63</v>
      </c>
      <c r="L59" s="2">
        <v>158</v>
      </c>
    </row>
    <row r="60" spans="2:12" x14ac:dyDescent="0.3">
      <c r="B60" s="12" t="s">
        <v>387</v>
      </c>
      <c r="C60" s="2">
        <v>88</v>
      </c>
      <c r="D60" s="2">
        <v>21</v>
      </c>
      <c r="E60" s="2">
        <v>0</v>
      </c>
      <c r="F60" s="2">
        <v>64</v>
      </c>
      <c r="G60" s="2">
        <v>151</v>
      </c>
      <c r="H60" s="2">
        <v>88</v>
      </c>
      <c r="I60" s="2">
        <v>21</v>
      </c>
      <c r="J60" s="2">
        <v>0</v>
      </c>
      <c r="K60" s="2">
        <v>64</v>
      </c>
      <c r="L60" s="2">
        <v>151</v>
      </c>
    </row>
    <row r="61" spans="2:12" x14ac:dyDescent="0.3">
      <c r="B61" s="12" t="s">
        <v>398</v>
      </c>
      <c r="C61" s="2">
        <v>84</v>
      </c>
      <c r="D61" s="2">
        <v>18</v>
      </c>
      <c r="E61" s="2">
        <v>2</v>
      </c>
      <c r="F61" s="2">
        <v>58</v>
      </c>
      <c r="G61" s="2">
        <v>199</v>
      </c>
      <c r="H61" s="2">
        <v>84</v>
      </c>
      <c r="I61" s="2">
        <v>18</v>
      </c>
      <c r="J61" s="2">
        <v>2</v>
      </c>
      <c r="K61" s="2">
        <v>58</v>
      </c>
      <c r="L61" s="2">
        <v>199</v>
      </c>
    </row>
    <row r="62" spans="2:12" x14ac:dyDescent="0.3">
      <c r="B62" s="12" t="s">
        <v>399</v>
      </c>
      <c r="C62" s="2">
        <v>83</v>
      </c>
      <c r="D62" s="2">
        <v>18</v>
      </c>
      <c r="E62" s="2">
        <v>1</v>
      </c>
      <c r="F62" s="2">
        <v>49</v>
      </c>
      <c r="G62" s="2">
        <v>184</v>
      </c>
      <c r="H62" s="2">
        <v>83</v>
      </c>
      <c r="I62" s="2">
        <v>18</v>
      </c>
      <c r="J62" s="2">
        <v>1</v>
      </c>
      <c r="K62" s="2">
        <v>49</v>
      </c>
      <c r="L62" s="2">
        <v>184</v>
      </c>
    </row>
    <row r="63" spans="2:12" x14ac:dyDescent="0.3">
      <c r="B63" s="12" t="s">
        <v>400</v>
      </c>
      <c r="C63" s="2">
        <v>93</v>
      </c>
      <c r="D63" s="2">
        <v>21</v>
      </c>
      <c r="E63" s="2">
        <v>0</v>
      </c>
      <c r="F63" s="2">
        <v>45</v>
      </c>
      <c r="G63" s="2">
        <v>158</v>
      </c>
      <c r="H63" s="2">
        <v>93</v>
      </c>
      <c r="I63" s="2">
        <v>21</v>
      </c>
      <c r="J63" s="2">
        <v>0</v>
      </c>
      <c r="K63" s="2">
        <v>45</v>
      </c>
      <c r="L63" s="2">
        <v>158</v>
      </c>
    </row>
    <row r="64" spans="2:12" x14ac:dyDescent="0.3">
      <c r="B64" s="12" t="s">
        <v>401</v>
      </c>
      <c r="C64" s="2">
        <v>95</v>
      </c>
      <c r="D64" s="2">
        <v>22</v>
      </c>
      <c r="E64" s="2">
        <v>2</v>
      </c>
      <c r="F64" s="2">
        <v>57</v>
      </c>
      <c r="G64" s="2">
        <v>179</v>
      </c>
      <c r="H64" s="2">
        <v>95</v>
      </c>
      <c r="I64" s="2">
        <v>22</v>
      </c>
      <c r="J64" s="2">
        <v>2</v>
      </c>
      <c r="K64" s="2">
        <v>57</v>
      </c>
      <c r="L64" s="2">
        <v>179</v>
      </c>
    </row>
    <row r="65" spans="2:12" x14ac:dyDescent="0.3">
      <c r="B65" s="12" t="s">
        <v>403</v>
      </c>
      <c r="C65" s="2">
        <v>108</v>
      </c>
      <c r="D65" s="2">
        <v>22</v>
      </c>
      <c r="E65" s="2">
        <v>2</v>
      </c>
      <c r="F65" s="2">
        <v>58</v>
      </c>
      <c r="G65" s="2">
        <v>256</v>
      </c>
      <c r="H65" s="2">
        <v>108</v>
      </c>
      <c r="I65" s="2">
        <v>22</v>
      </c>
      <c r="J65" s="2">
        <v>2</v>
      </c>
      <c r="K65" s="2">
        <v>58</v>
      </c>
      <c r="L65" s="2">
        <v>256</v>
      </c>
    </row>
    <row r="66" spans="2:12" x14ac:dyDescent="0.3">
      <c r="B66" s="12" t="s">
        <v>404</v>
      </c>
      <c r="C66" s="2">
        <v>123</v>
      </c>
      <c r="D66" s="2">
        <v>27</v>
      </c>
      <c r="E66" s="2">
        <v>2</v>
      </c>
      <c r="F66" s="2">
        <v>88</v>
      </c>
      <c r="G66" s="2">
        <v>298</v>
      </c>
      <c r="H66" s="2">
        <v>123</v>
      </c>
      <c r="I66" s="2">
        <v>27</v>
      </c>
      <c r="J66" s="2">
        <v>2</v>
      </c>
      <c r="K66" s="2">
        <v>88</v>
      </c>
      <c r="L66" s="2">
        <v>298</v>
      </c>
    </row>
    <row r="67" spans="2:12" x14ac:dyDescent="0.3">
      <c r="B67" s="12" t="s">
        <v>405</v>
      </c>
      <c r="C67" s="2">
        <v>138</v>
      </c>
      <c r="D67" s="2">
        <v>26</v>
      </c>
      <c r="E67" s="2">
        <v>0</v>
      </c>
      <c r="F67" s="2">
        <v>129</v>
      </c>
      <c r="G67" s="2">
        <v>295</v>
      </c>
      <c r="H67" s="2">
        <v>138</v>
      </c>
      <c r="I67" s="2">
        <v>26</v>
      </c>
      <c r="J67" s="2">
        <v>0</v>
      </c>
      <c r="K67" s="2">
        <v>129</v>
      </c>
      <c r="L67" s="2">
        <v>295</v>
      </c>
    </row>
    <row r="68" spans="2:12" x14ac:dyDescent="0.3">
      <c r="B68" s="12" t="s">
        <v>406</v>
      </c>
      <c r="C68" s="2">
        <v>130</v>
      </c>
      <c r="D68" s="2">
        <v>26</v>
      </c>
      <c r="E68" s="2">
        <v>4</v>
      </c>
      <c r="F68" s="2">
        <v>118</v>
      </c>
      <c r="G68" s="2">
        <v>330</v>
      </c>
      <c r="H68" s="2">
        <v>130</v>
      </c>
      <c r="I68" s="2">
        <v>26</v>
      </c>
      <c r="J68" s="2">
        <v>4</v>
      </c>
      <c r="K68" s="2">
        <v>118</v>
      </c>
      <c r="L68" s="2">
        <v>330</v>
      </c>
    </row>
    <row r="69" spans="2:12" x14ac:dyDescent="0.3">
      <c r="B69" s="12" t="s">
        <v>407</v>
      </c>
      <c r="C69" s="2">
        <v>145</v>
      </c>
      <c r="D69" s="2">
        <v>28</v>
      </c>
      <c r="E69" s="2">
        <v>0</v>
      </c>
      <c r="F69" s="2">
        <v>74</v>
      </c>
      <c r="G69" s="2">
        <v>360</v>
      </c>
      <c r="H69" s="2">
        <v>145</v>
      </c>
      <c r="I69" s="2">
        <v>28</v>
      </c>
      <c r="J69" s="2">
        <v>0</v>
      </c>
      <c r="K69" s="2">
        <v>74</v>
      </c>
      <c r="L69" s="2">
        <v>360</v>
      </c>
    </row>
    <row r="70" spans="2:12" x14ac:dyDescent="0.3">
      <c r="B70" s="12" t="s">
        <v>408</v>
      </c>
      <c r="C70" s="2">
        <v>163</v>
      </c>
      <c r="D70" s="2">
        <v>31</v>
      </c>
      <c r="E70" s="2">
        <v>3</v>
      </c>
      <c r="F70" s="2">
        <v>62</v>
      </c>
      <c r="G70" s="2">
        <v>282</v>
      </c>
      <c r="H70" s="2">
        <v>163</v>
      </c>
      <c r="I70" s="2">
        <v>31</v>
      </c>
      <c r="J70" s="2">
        <v>3</v>
      </c>
      <c r="K70" s="2">
        <v>62</v>
      </c>
      <c r="L70" s="2">
        <v>282</v>
      </c>
    </row>
    <row r="71" spans="2:12" x14ac:dyDescent="0.3">
      <c r="B71" s="12" t="s">
        <v>409</v>
      </c>
      <c r="C71" s="2">
        <v>167</v>
      </c>
      <c r="D71" s="2">
        <v>36</v>
      </c>
      <c r="E71" s="2">
        <v>7</v>
      </c>
      <c r="F71" s="2">
        <v>82</v>
      </c>
      <c r="G71" s="2">
        <v>277</v>
      </c>
      <c r="H71" s="2">
        <v>167</v>
      </c>
      <c r="I71" s="2">
        <v>36</v>
      </c>
      <c r="J71" s="2">
        <v>7</v>
      </c>
      <c r="K71" s="2">
        <v>82</v>
      </c>
      <c r="L71" s="2">
        <v>277</v>
      </c>
    </row>
    <row r="72" spans="2:12" x14ac:dyDescent="0.3">
      <c r="B72" s="12" t="s">
        <v>410</v>
      </c>
      <c r="C72" s="2">
        <v>179</v>
      </c>
      <c r="D72" s="2">
        <v>39</v>
      </c>
      <c r="E72" s="2">
        <v>2</v>
      </c>
      <c r="F72" s="2">
        <v>127</v>
      </c>
      <c r="G72" s="2">
        <v>435</v>
      </c>
      <c r="H72" s="2">
        <v>179</v>
      </c>
      <c r="I72" s="2">
        <v>39</v>
      </c>
      <c r="J72" s="2">
        <v>2</v>
      </c>
      <c r="K72" s="2">
        <v>127</v>
      </c>
      <c r="L72" s="2">
        <v>435</v>
      </c>
    </row>
    <row r="73" spans="2:12" x14ac:dyDescent="0.3">
      <c r="B73" s="12" t="s">
        <v>411</v>
      </c>
      <c r="C73" s="2">
        <v>188</v>
      </c>
      <c r="D73" s="2">
        <v>38</v>
      </c>
      <c r="E73" s="2">
        <v>1</v>
      </c>
      <c r="F73" s="2">
        <v>156</v>
      </c>
      <c r="G73" s="2">
        <v>442</v>
      </c>
      <c r="H73" s="2">
        <v>188</v>
      </c>
      <c r="I73" s="2">
        <v>38</v>
      </c>
      <c r="J73" s="2">
        <v>1</v>
      </c>
      <c r="K73" s="2">
        <v>156</v>
      </c>
      <c r="L73" s="2">
        <v>442</v>
      </c>
    </row>
    <row r="74" spans="2:12" x14ac:dyDescent="0.3">
      <c r="B74" s="12" t="s">
        <v>422</v>
      </c>
      <c r="C74" s="2">
        <v>210</v>
      </c>
      <c r="D74" s="2">
        <v>38</v>
      </c>
      <c r="E74" s="2">
        <v>3</v>
      </c>
      <c r="F74" s="2">
        <v>152</v>
      </c>
      <c r="G74" s="2">
        <v>446</v>
      </c>
      <c r="H74" s="2">
        <v>210</v>
      </c>
      <c r="I74" s="2">
        <v>38</v>
      </c>
      <c r="J74" s="2">
        <v>3</v>
      </c>
      <c r="K74" s="2">
        <v>152</v>
      </c>
      <c r="L74" s="2">
        <v>446</v>
      </c>
    </row>
    <row r="75" spans="2:12" x14ac:dyDescent="0.3">
      <c r="B75" s="12" t="s">
        <v>441</v>
      </c>
      <c r="C75" s="2">
        <v>226</v>
      </c>
      <c r="D75" s="2">
        <v>38</v>
      </c>
      <c r="E75" s="2">
        <v>5</v>
      </c>
      <c r="F75" s="2">
        <v>132</v>
      </c>
      <c r="G75" s="2">
        <v>549</v>
      </c>
      <c r="H75" s="2">
        <v>226</v>
      </c>
      <c r="I75" s="2">
        <v>38</v>
      </c>
      <c r="J75" s="2">
        <v>5</v>
      </c>
      <c r="K75" s="2">
        <v>132</v>
      </c>
      <c r="L75" s="2">
        <v>549</v>
      </c>
    </row>
    <row r="76" spans="2:12" x14ac:dyDescent="0.3">
      <c r="B76" s="12" t="s">
        <v>442</v>
      </c>
      <c r="C76" s="2">
        <v>248</v>
      </c>
      <c r="D76" s="2">
        <v>39</v>
      </c>
      <c r="E76" s="2">
        <v>1</v>
      </c>
      <c r="F76" s="2">
        <v>217</v>
      </c>
      <c r="G76" s="2">
        <v>449</v>
      </c>
      <c r="H76" s="2">
        <v>248</v>
      </c>
      <c r="I76" s="2">
        <v>39</v>
      </c>
      <c r="J76" s="2">
        <v>1</v>
      </c>
      <c r="K76" s="2">
        <v>217</v>
      </c>
      <c r="L76" s="2">
        <v>449</v>
      </c>
    </row>
    <row r="77" spans="2:12" x14ac:dyDescent="0.3">
      <c r="B77" s="12" t="s">
        <v>461</v>
      </c>
      <c r="C77" s="2">
        <v>272</v>
      </c>
      <c r="D77" s="2">
        <v>43</v>
      </c>
      <c r="E77" s="2">
        <v>8</v>
      </c>
      <c r="F77" s="2">
        <v>124</v>
      </c>
      <c r="G77" s="2">
        <v>300</v>
      </c>
      <c r="H77" s="2">
        <v>272</v>
      </c>
      <c r="I77" s="2">
        <v>43</v>
      </c>
      <c r="J77" s="2">
        <v>8</v>
      </c>
      <c r="K77" s="2">
        <v>124</v>
      </c>
      <c r="L77" s="2">
        <v>300</v>
      </c>
    </row>
    <row r="78" spans="2:12" x14ac:dyDescent="0.3">
      <c r="B78" s="12" t="s">
        <v>462</v>
      </c>
      <c r="C78" s="2">
        <v>282</v>
      </c>
      <c r="D78" s="2">
        <v>47</v>
      </c>
      <c r="E78" s="2">
        <v>9</v>
      </c>
      <c r="F78" s="2">
        <v>176</v>
      </c>
      <c r="G78" s="2">
        <v>347</v>
      </c>
      <c r="H78" s="2">
        <v>282</v>
      </c>
      <c r="I78" s="2">
        <v>47</v>
      </c>
      <c r="J78" s="2">
        <v>9</v>
      </c>
      <c r="K78" s="2">
        <v>176</v>
      </c>
      <c r="L78" s="2">
        <v>347</v>
      </c>
    </row>
    <row r="79" spans="2:12" x14ac:dyDescent="0.3">
      <c r="B79" s="12" t="s">
        <v>463</v>
      </c>
      <c r="C79" s="2">
        <v>305</v>
      </c>
      <c r="D79" s="2">
        <v>48</v>
      </c>
      <c r="E79" s="2">
        <v>3</v>
      </c>
      <c r="F79" s="2">
        <v>153</v>
      </c>
      <c r="G79" s="2">
        <v>446</v>
      </c>
      <c r="H79" s="2">
        <v>305</v>
      </c>
      <c r="I79" s="2">
        <v>48</v>
      </c>
      <c r="J79" s="2">
        <v>3</v>
      </c>
      <c r="K79" s="2">
        <v>153</v>
      </c>
      <c r="L79" s="2">
        <v>446</v>
      </c>
    </row>
    <row r="80" spans="2:12" x14ac:dyDescent="0.3">
      <c r="B80" s="12" t="s">
        <v>470</v>
      </c>
      <c r="C80" s="2">
        <v>310</v>
      </c>
      <c r="D80" s="2">
        <v>59</v>
      </c>
      <c r="E80" s="2">
        <v>12</v>
      </c>
      <c r="F80" s="2">
        <v>222</v>
      </c>
      <c r="G80" s="2">
        <v>409</v>
      </c>
      <c r="H80" s="2">
        <v>310</v>
      </c>
      <c r="I80" s="2">
        <v>59</v>
      </c>
      <c r="J80" s="2">
        <v>12</v>
      </c>
      <c r="K80" s="2">
        <v>222</v>
      </c>
      <c r="L80" s="2">
        <v>409</v>
      </c>
    </row>
    <row r="81" spans="2:12" x14ac:dyDescent="0.3">
      <c r="B81" s="12" t="s">
        <v>472</v>
      </c>
      <c r="C81" s="2">
        <v>321</v>
      </c>
      <c r="D81" s="2">
        <v>69</v>
      </c>
      <c r="E81" s="2">
        <v>9</v>
      </c>
      <c r="F81" s="2">
        <v>300</v>
      </c>
      <c r="G81" s="2">
        <v>365</v>
      </c>
      <c r="H81" s="2">
        <v>321</v>
      </c>
      <c r="I81" s="2">
        <v>69</v>
      </c>
      <c r="J81" s="2">
        <v>9</v>
      </c>
      <c r="K81" s="2">
        <v>300</v>
      </c>
      <c r="L81" s="2">
        <v>365</v>
      </c>
    </row>
    <row r="82" spans="2:12" x14ac:dyDescent="0.3">
      <c r="B82" s="12" t="s">
        <v>473</v>
      </c>
      <c r="C82" s="2">
        <v>313</v>
      </c>
      <c r="D82" s="2">
        <v>79</v>
      </c>
      <c r="E82" s="2">
        <v>12</v>
      </c>
      <c r="F82" s="2">
        <v>237</v>
      </c>
      <c r="G82" s="2">
        <v>320</v>
      </c>
      <c r="H82" s="2">
        <v>313</v>
      </c>
      <c r="I82" s="2">
        <v>79</v>
      </c>
      <c r="J82" s="2">
        <v>12</v>
      </c>
      <c r="K82" s="2">
        <v>237</v>
      </c>
      <c r="L82" s="2">
        <v>320</v>
      </c>
    </row>
    <row r="83" spans="2:12" x14ac:dyDescent="0.3">
      <c r="B83" s="12" t="s">
        <v>474</v>
      </c>
      <c r="C83" s="2">
        <v>326</v>
      </c>
      <c r="D83" s="2">
        <v>82</v>
      </c>
      <c r="E83" s="2">
        <v>7</v>
      </c>
      <c r="F83" s="2">
        <v>296</v>
      </c>
      <c r="G83" s="2">
        <v>339</v>
      </c>
      <c r="H83" s="2">
        <v>326</v>
      </c>
      <c r="I83" s="2">
        <v>82</v>
      </c>
      <c r="J83" s="2">
        <v>7</v>
      </c>
      <c r="K83" s="2">
        <v>296</v>
      </c>
      <c r="L83" s="2">
        <v>339</v>
      </c>
    </row>
    <row r="84" spans="2:12" x14ac:dyDescent="0.3">
      <c r="B84" s="12" t="s">
        <v>475</v>
      </c>
      <c r="C84" s="2">
        <v>341</v>
      </c>
      <c r="D84" s="2">
        <v>86</v>
      </c>
      <c r="E84" s="2">
        <v>1</v>
      </c>
      <c r="F84" s="2">
        <v>299</v>
      </c>
      <c r="G84" s="2">
        <v>214</v>
      </c>
      <c r="H84" s="2">
        <v>341</v>
      </c>
      <c r="I84" s="2">
        <v>86</v>
      </c>
      <c r="J84" s="2">
        <v>1</v>
      </c>
      <c r="K84" s="2">
        <v>299</v>
      </c>
      <c r="L84" s="2">
        <v>214</v>
      </c>
    </row>
    <row r="85" spans="2:12" x14ac:dyDescent="0.3">
      <c r="B85" s="12" t="s">
        <v>479</v>
      </c>
      <c r="C85" s="2">
        <v>323</v>
      </c>
      <c r="D85" s="2">
        <v>93</v>
      </c>
      <c r="E85" s="2">
        <v>15</v>
      </c>
      <c r="F85" s="2">
        <v>268</v>
      </c>
      <c r="G85" s="2">
        <v>232</v>
      </c>
      <c r="H85" s="2">
        <v>323</v>
      </c>
      <c r="I85" s="2">
        <v>93</v>
      </c>
      <c r="J85" s="2">
        <v>15</v>
      </c>
      <c r="K85" s="2">
        <v>268</v>
      </c>
      <c r="L85" s="2">
        <v>232</v>
      </c>
    </row>
    <row r="86" spans="2:12" x14ac:dyDescent="0.3">
      <c r="B86" s="12" t="s">
        <v>480</v>
      </c>
      <c r="C86" s="2">
        <v>306</v>
      </c>
      <c r="D86" s="2">
        <v>85</v>
      </c>
      <c r="E86" s="2">
        <v>9</v>
      </c>
      <c r="F86" s="2">
        <v>278</v>
      </c>
      <c r="G86" s="2">
        <v>293</v>
      </c>
      <c r="H86" s="2">
        <v>306</v>
      </c>
      <c r="I86" s="2">
        <v>85</v>
      </c>
      <c r="J86" s="2">
        <v>9</v>
      </c>
      <c r="K86" s="2">
        <v>278</v>
      </c>
      <c r="L86" s="2">
        <v>293</v>
      </c>
    </row>
    <row r="87" spans="2:12" x14ac:dyDescent="0.3">
      <c r="B87" s="12" t="s">
        <v>481</v>
      </c>
      <c r="C87" s="2">
        <v>282</v>
      </c>
      <c r="D87" s="2">
        <v>87</v>
      </c>
      <c r="E87" s="2">
        <v>11</v>
      </c>
      <c r="F87" s="2">
        <v>331</v>
      </c>
      <c r="G87" s="2">
        <v>297</v>
      </c>
      <c r="H87" s="2">
        <v>282</v>
      </c>
      <c r="I87" s="2">
        <v>87</v>
      </c>
      <c r="J87" s="2">
        <v>11</v>
      </c>
      <c r="K87" s="2">
        <v>331</v>
      </c>
      <c r="L87" s="2">
        <v>297</v>
      </c>
    </row>
    <row r="88" spans="2:12" x14ac:dyDescent="0.3">
      <c r="B88" s="12" t="s">
        <v>482</v>
      </c>
      <c r="C88" s="2">
        <v>276</v>
      </c>
      <c r="D88" s="2">
        <v>85</v>
      </c>
      <c r="E88" s="2">
        <v>4</v>
      </c>
      <c r="F88" s="2">
        <v>386</v>
      </c>
      <c r="G88" s="2">
        <v>259</v>
      </c>
      <c r="H88" s="2">
        <v>276</v>
      </c>
      <c r="I88" s="2">
        <v>85</v>
      </c>
      <c r="J88" s="2">
        <v>4</v>
      </c>
      <c r="K88" s="2">
        <v>386</v>
      </c>
      <c r="L88" s="2">
        <v>259</v>
      </c>
    </row>
    <row r="89" spans="2:12" x14ac:dyDescent="0.3">
      <c r="B89" s="12" t="s">
        <v>483</v>
      </c>
      <c r="C89" s="2">
        <v>287</v>
      </c>
      <c r="D89" s="2">
        <v>81</v>
      </c>
      <c r="E89" s="2">
        <v>10</v>
      </c>
      <c r="F89" s="2">
        <v>422</v>
      </c>
      <c r="G89" s="2">
        <v>261</v>
      </c>
      <c r="H89" s="2">
        <v>287</v>
      </c>
      <c r="I89" s="2">
        <v>81</v>
      </c>
      <c r="J89" s="2">
        <v>10</v>
      </c>
      <c r="K89" s="2">
        <v>422</v>
      </c>
      <c r="L89" s="2">
        <v>261</v>
      </c>
    </row>
    <row r="90" spans="2:12" x14ac:dyDescent="0.3">
      <c r="B90" s="12" t="s">
        <v>484</v>
      </c>
      <c r="C90" s="2">
        <v>286</v>
      </c>
      <c r="D90" s="2">
        <v>81</v>
      </c>
      <c r="E90" s="2">
        <v>8</v>
      </c>
      <c r="F90" s="2">
        <v>500</v>
      </c>
      <c r="G90" s="2">
        <v>285</v>
      </c>
      <c r="H90" s="2">
        <v>286</v>
      </c>
      <c r="I90" s="2">
        <v>81</v>
      </c>
      <c r="J90" s="2">
        <v>8</v>
      </c>
      <c r="K90" s="2">
        <v>500</v>
      </c>
      <c r="L90" s="2">
        <v>285</v>
      </c>
    </row>
    <row r="91" spans="2:12" x14ac:dyDescent="0.3">
      <c r="B91" s="12" t="s">
        <v>485</v>
      </c>
      <c r="C91" s="2">
        <v>287</v>
      </c>
      <c r="D91" s="2">
        <v>85</v>
      </c>
      <c r="E91" s="2">
        <v>5</v>
      </c>
      <c r="F91" s="2">
        <v>331</v>
      </c>
      <c r="G91" s="2">
        <v>177</v>
      </c>
      <c r="H91" s="2">
        <v>287</v>
      </c>
      <c r="I91" s="2">
        <v>85</v>
      </c>
      <c r="J91" s="2">
        <v>5</v>
      </c>
      <c r="K91" s="2">
        <v>331</v>
      </c>
      <c r="L91" s="2">
        <v>177</v>
      </c>
    </row>
    <row r="92" spans="2:12" x14ac:dyDescent="0.3">
      <c r="B92" s="12" t="s">
        <v>342</v>
      </c>
      <c r="C92" s="2">
        <v>9342</v>
      </c>
      <c r="D92" s="2">
        <v>2140</v>
      </c>
      <c r="E92" s="2">
        <v>191</v>
      </c>
      <c r="F92" s="2">
        <v>8194</v>
      </c>
      <c r="G92" s="2">
        <v>12109</v>
      </c>
      <c r="H92" s="2">
        <v>9342</v>
      </c>
      <c r="I92" s="2">
        <v>2140</v>
      </c>
      <c r="J92" s="2">
        <v>191</v>
      </c>
      <c r="K92" s="2">
        <v>8194</v>
      </c>
      <c r="L92" s="2">
        <v>12109</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6A7DA2-8125-4DE3-912F-4BE9715A385F}">
  <dimension ref="B23:D91"/>
  <sheetViews>
    <sheetView showGridLines="0" workbookViewId="0">
      <selection activeCell="P27" sqref="P27"/>
    </sheetView>
  </sheetViews>
  <sheetFormatPr defaultRowHeight="14.4" x14ac:dyDescent="0.3"/>
  <cols>
    <col min="2" max="2" width="13.5546875" bestFit="1" customWidth="1"/>
    <col min="3" max="3" width="23.77734375" bestFit="1" customWidth="1"/>
    <col min="4" max="4" width="19.5546875" bestFit="1" customWidth="1"/>
  </cols>
  <sheetData>
    <row r="23" spans="2:4" x14ac:dyDescent="0.3">
      <c r="B23" s="11" t="s">
        <v>1</v>
      </c>
      <c r="C23" t="s">
        <v>4</v>
      </c>
    </row>
    <row r="25" spans="2:4" x14ac:dyDescent="0.3">
      <c r="B25" s="11" t="s">
        <v>341</v>
      </c>
      <c r="C25" t="s">
        <v>434</v>
      </c>
      <c r="D25" t="s">
        <v>433</v>
      </c>
    </row>
    <row r="26" spans="2:4" x14ac:dyDescent="0.3">
      <c r="B26" s="12" t="s">
        <v>369</v>
      </c>
      <c r="C26" s="2">
        <v>0.94174757281553401</v>
      </c>
      <c r="D26" s="2">
        <v>1.0454545454545454</v>
      </c>
    </row>
    <row r="27" spans="2:4" x14ac:dyDescent="0.3">
      <c r="B27" s="12" t="s">
        <v>370</v>
      </c>
      <c r="C27" s="2">
        <v>1.0103092783505154</v>
      </c>
      <c r="D27" s="2">
        <v>0.95652173913043481</v>
      </c>
    </row>
    <row r="28" spans="2:4" x14ac:dyDescent="0.3">
      <c r="B28" s="12" t="s">
        <v>371</v>
      </c>
      <c r="C28" s="2">
        <v>0.88775510204081631</v>
      </c>
      <c r="D28" s="2">
        <v>0.77272727272727271</v>
      </c>
    </row>
    <row r="29" spans="2:4" x14ac:dyDescent="0.3">
      <c r="B29" s="12" t="s">
        <v>372</v>
      </c>
      <c r="C29" s="2">
        <v>0.96551724137931039</v>
      </c>
      <c r="D29" s="2">
        <v>0.94117647058823528</v>
      </c>
    </row>
    <row r="30" spans="2:4" x14ac:dyDescent="0.3">
      <c r="B30" s="12" t="s">
        <v>373</v>
      </c>
      <c r="C30" s="2">
        <v>0.90476190476190477</v>
      </c>
      <c r="D30" s="2">
        <v>0.875</v>
      </c>
    </row>
    <row r="31" spans="2:4" x14ac:dyDescent="0.3">
      <c r="B31" s="12" t="s">
        <v>374</v>
      </c>
      <c r="C31" s="2">
        <v>1.0263157894736843</v>
      </c>
      <c r="D31" s="2">
        <v>0.9285714285714286</v>
      </c>
    </row>
    <row r="32" spans="2:4" x14ac:dyDescent="0.3">
      <c r="B32" s="12" t="s">
        <v>375</v>
      </c>
      <c r="C32" s="2">
        <v>0.94871794871794868</v>
      </c>
      <c r="D32" s="2">
        <v>1</v>
      </c>
    </row>
    <row r="33" spans="2:4" x14ac:dyDescent="0.3">
      <c r="B33" s="12" t="s">
        <v>376</v>
      </c>
      <c r="C33" s="2">
        <v>1</v>
      </c>
      <c r="D33" s="2">
        <v>1</v>
      </c>
    </row>
    <row r="34" spans="2:4" x14ac:dyDescent="0.3">
      <c r="B34" s="12" t="s">
        <v>377</v>
      </c>
      <c r="C34" s="2">
        <v>1.0135135135135136</v>
      </c>
      <c r="D34" s="2">
        <v>1</v>
      </c>
    </row>
    <row r="35" spans="2:4" x14ac:dyDescent="0.3">
      <c r="B35" s="12" t="s">
        <v>378</v>
      </c>
      <c r="C35" s="2">
        <v>0.96</v>
      </c>
      <c r="D35" s="2">
        <v>1.0769230769230769</v>
      </c>
    </row>
    <row r="36" spans="2:4" x14ac:dyDescent="0.3">
      <c r="B36" s="12" t="s">
        <v>379</v>
      </c>
      <c r="C36" s="2">
        <v>0.875</v>
      </c>
      <c r="D36" s="2">
        <v>0.9285714285714286</v>
      </c>
    </row>
    <row r="37" spans="2:4" x14ac:dyDescent="0.3">
      <c r="B37" s="12" t="s">
        <v>380</v>
      </c>
      <c r="C37" s="2">
        <v>1.0952380952380953</v>
      </c>
      <c r="D37" s="2">
        <v>0.92307692307692313</v>
      </c>
    </row>
    <row r="38" spans="2:4" x14ac:dyDescent="0.3">
      <c r="B38" s="12" t="s">
        <v>381</v>
      </c>
      <c r="C38" s="2">
        <v>0.92753623188405798</v>
      </c>
      <c r="D38" s="2">
        <v>1.1666666666666667</v>
      </c>
    </row>
    <row r="39" spans="2:4" x14ac:dyDescent="0.3">
      <c r="B39" s="12" t="s">
        <v>382</v>
      </c>
      <c r="C39" s="2">
        <v>0.90625</v>
      </c>
      <c r="D39" s="2">
        <v>1</v>
      </c>
    </row>
    <row r="40" spans="2:4" x14ac:dyDescent="0.3">
      <c r="B40" s="12" t="s">
        <v>383</v>
      </c>
      <c r="C40" s="2">
        <v>1.0172413793103448</v>
      </c>
      <c r="D40" s="2">
        <v>1</v>
      </c>
    </row>
    <row r="41" spans="2:4" x14ac:dyDescent="0.3">
      <c r="B41" s="12" t="s">
        <v>384</v>
      </c>
      <c r="C41" s="2">
        <v>1.0169491525423728</v>
      </c>
      <c r="D41" s="2">
        <v>1</v>
      </c>
    </row>
    <row r="42" spans="2:4" x14ac:dyDescent="0.3">
      <c r="B42" s="12" t="s">
        <v>385</v>
      </c>
      <c r="C42" s="2">
        <v>1.05</v>
      </c>
      <c r="D42" s="2">
        <v>1.0714285714285714</v>
      </c>
    </row>
    <row r="43" spans="2:4" x14ac:dyDescent="0.3">
      <c r="B43" s="12" t="s">
        <v>386</v>
      </c>
      <c r="C43" s="2">
        <v>0.88888888888888884</v>
      </c>
      <c r="D43" s="2">
        <v>1</v>
      </c>
    </row>
    <row r="44" spans="2:4" x14ac:dyDescent="0.3">
      <c r="B44" s="12" t="s">
        <v>367</v>
      </c>
      <c r="C44" s="2">
        <v>0.9821428571428571</v>
      </c>
      <c r="D44" s="2">
        <v>1.1333333333333333</v>
      </c>
    </row>
    <row r="45" spans="2:4" x14ac:dyDescent="0.3">
      <c r="B45" s="12" t="s">
        <v>343</v>
      </c>
      <c r="C45" s="2">
        <v>1.0181818181818181</v>
      </c>
      <c r="D45" s="2">
        <v>1.0588235294117647</v>
      </c>
    </row>
    <row r="46" spans="2:4" x14ac:dyDescent="0.3">
      <c r="B46" s="12" t="s">
        <v>344</v>
      </c>
      <c r="C46" s="2">
        <v>1</v>
      </c>
      <c r="D46" s="2">
        <v>0.94444444444444442</v>
      </c>
    </row>
    <row r="47" spans="2:4" x14ac:dyDescent="0.3">
      <c r="B47" s="12" t="s">
        <v>345</v>
      </c>
      <c r="C47" s="2">
        <v>1.0892857142857142</v>
      </c>
      <c r="D47" s="2">
        <v>1.0588235294117647</v>
      </c>
    </row>
    <row r="48" spans="2:4" x14ac:dyDescent="0.3">
      <c r="B48" s="12" t="s">
        <v>346</v>
      </c>
      <c r="C48" s="2">
        <v>1.0819672131147542</v>
      </c>
      <c r="D48" s="2">
        <v>0.94444444444444442</v>
      </c>
    </row>
    <row r="49" spans="2:4" x14ac:dyDescent="0.3">
      <c r="B49" s="12" t="s">
        <v>347</v>
      </c>
      <c r="C49" s="2">
        <v>1.0757575757575757</v>
      </c>
      <c r="D49" s="2">
        <v>1.0588235294117647</v>
      </c>
    </row>
    <row r="50" spans="2:4" x14ac:dyDescent="0.3">
      <c r="B50" s="12" t="s">
        <v>348</v>
      </c>
      <c r="C50" s="2">
        <v>1</v>
      </c>
      <c r="D50" s="2">
        <v>1</v>
      </c>
    </row>
    <row r="51" spans="2:4" x14ac:dyDescent="0.3">
      <c r="B51" s="12" t="s">
        <v>349</v>
      </c>
      <c r="C51" s="2">
        <v>0.9859154929577465</v>
      </c>
      <c r="D51" s="2">
        <v>1.0555555555555556</v>
      </c>
    </row>
    <row r="52" spans="2:4" x14ac:dyDescent="0.3">
      <c r="B52" s="12" t="s">
        <v>350</v>
      </c>
      <c r="C52" s="2">
        <v>0.95714285714285718</v>
      </c>
      <c r="D52" s="2">
        <v>1.0526315789473684</v>
      </c>
    </row>
    <row r="53" spans="2:4" x14ac:dyDescent="0.3">
      <c r="B53" s="12" t="s">
        <v>351</v>
      </c>
      <c r="C53" s="2">
        <v>1.0746268656716418</v>
      </c>
      <c r="D53" s="2">
        <v>1</v>
      </c>
    </row>
    <row r="54" spans="2:4" x14ac:dyDescent="0.3">
      <c r="B54" s="12" t="s">
        <v>352</v>
      </c>
      <c r="C54" s="2">
        <v>1.0694444444444444</v>
      </c>
      <c r="D54" s="2">
        <v>0.9</v>
      </c>
    </row>
    <row r="55" spans="2:4" x14ac:dyDescent="0.3">
      <c r="B55" s="12" t="s">
        <v>353</v>
      </c>
      <c r="C55" s="2">
        <v>1.0779220779220779</v>
      </c>
      <c r="D55" s="2">
        <v>1.0555555555555556</v>
      </c>
    </row>
    <row r="56" spans="2:4" x14ac:dyDescent="0.3">
      <c r="B56" s="12" t="s">
        <v>354</v>
      </c>
      <c r="C56" s="2">
        <v>0.97590361445783136</v>
      </c>
      <c r="D56" s="2">
        <v>0.89473684210526316</v>
      </c>
    </row>
    <row r="57" spans="2:4" x14ac:dyDescent="0.3">
      <c r="B57" s="12" t="s">
        <v>355</v>
      </c>
      <c r="C57" s="2">
        <v>0.97530864197530864</v>
      </c>
      <c r="D57" s="2">
        <v>1.0588235294117647</v>
      </c>
    </row>
    <row r="58" spans="2:4" x14ac:dyDescent="0.3">
      <c r="B58" s="12" t="s">
        <v>356</v>
      </c>
      <c r="C58" s="2">
        <v>1.0759493670886076</v>
      </c>
      <c r="D58" s="2">
        <v>1.0555555555555556</v>
      </c>
    </row>
    <row r="59" spans="2:4" x14ac:dyDescent="0.3">
      <c r="B59" s="12" t="s">
        <v>387</v>
      </c>
      <c r="C59" s="2">
        <v>1.0352941176470589</v>
      </c>
      <c r="D59" s="2">
        <v>1.1052631578947369</v>
      </c>
    </row>
    <row r="60" spans="2:4" x14ac:dyDescent="0.3">
      <c r="B60" s="12" t="s">
        <v>398</v>
      </c>
      <c r="C60" s="2">
        <v>0.95454545454545459</v>
      </c>
      <c r="D60" s="2">
        <v>0.8571428571428571</v>
      </c>
    </row>
    <row r="61" spans="2:4" x14ac:dyDescent="0.3">
      <c r="B61" s="12" t="s">
        <v>399</v>
      </c>
      <c r="C61" s="2">
        <v>0.98809523809523814</v>
      </c>
      <c r="D61" s="2">
        <v>1</v>
      </c>
    </row>
    <row r="62" spans="2:4" x14ac:dyDescent="0.3">
      <c r="B62" s="12" t="s">
        <v>400</v>
      </c>
      <c r="C62" s="2">
        <v>1.1204819277108433</v>
      </c>
      <c r="D62" s="2">
        <v>1.1666666666666667</v>
      </c>
    </row>
    <row r="63" spans="2:4" x14ac:dyDescent="0.3">
      <c r="B63" s="12" t="s">
        <v>401</v>
      </c>
      <c r="C63" s="2">
        <v>1.021505376344086</v>
      </c>
      <c r="D63" s="2">
        <v>1.0476190476190477</v>
      </c>
    </row>
    <row r="64" spans="2:4" x14ac:dyDescent="0.3">
      <c r="B64" s="12" t="s">
        <v>403</v>
      </c>
      <c r="C64" s="2">
        <v>1.1368421052631579</v>
      </c>
      <c r="D64" s="2">
        <v>1</v>
      </c>
    </row>
    <row r="65" spans="2:4" x14ac:dyDescent="0.3">
      <c r="B65" s="12" t="s">
        <v>404</v>
      </c>
      <c r="C65" s="2">
        <v>1.1388888888888888</v>
      </c>
      <c r="D65" s="2">
        <v>1.2272727272727273</v>
      </c>
    </row>
    <row r="66" spans="2:4" x14ac:dyDescent="0.3">
      <c r="B66" s="12" t="s">
        <v>405</v>
      </c>
      <c r="C66" s="2">
        <v>1.1219512195121952</v>
      </c>
      <c r="D66" s="2">
        <v>0.96296296296296291</v>
      </c>
    </row>
    <row r="67" spans="2:4" x14ac:dyDescent="0.3">
      <c r="B67" s="12" t="s">
        <v>406</v>
      </c>
      <c r="C67" s="2">
        <v>0.94202898550724634</v>
      </c>
      <c r="D67" s="2">
        <v>1</v>
      </c>
    </row>
    <row r="68" spans="2:4" x14ac:dyDescent="0.3">
      <c r="B68" s="12" t="s">
        <v>407</v>
      </c>
      <c r="C68" s="2">
        <v>1.1153846153846154</v>
      </c>
      <c r="D68" s="2">
        <v>1.0769230769230769</v>
      </c>
    </row>
    <row r="69" spans="2:4" x14ac:dyDescent="0.3">
      <c r="B69" s="12" t="s">
        <v>408</v>
      </c>
      <c r="C69" s="2">
        <v>1.1241379310344828</v>
      </c>
      <c r="D69" s="2">
        <v>1.1071428571428572</v>
      </c>
    </row>
    <row r="70" spans="2:4" x14ac:dyDescent="0.3">
      <c r="B70" s="12" t="s">
        <v>409</v>
      </c>
      <c r="C70" s="2">
        <v>1.0245398773006136</v>
      </c>
      <c r="D70" s="2">
        <v>1.1612903225806452</v>
      </c>
    </row>
    <row r="71" spans="2:4" x14ac:dyDescent="0.3">
      <c r="B71" s="12" t="s">
        <v>410</v>
      </c>
      <c r="C71" s="2">
        <v>1.0718562874251496</v>
      </c>
      <c r="D71" s="2">
        <v>1.0833333333333333</v>
      </c>
    </row>
    <row r="72" spans="2:4" x14ac:dyDescent="0.3">
      <c r="B72" s="12" t="s">
        <v>411</v>
      </c>
      <c r="C72" s="2">
        <v>1.0502793296089385</v>
      </c>
      <c r="D72" s="2">
        <v>0.97435897435897434</v>
      </c>
    </row>
    <row r="73" spans="2:4" x14ac:dyDescent="0.3">
      <c r="B73" s="12" t="s">
        <v>422</v>
      </c>
      <c r="C73" s="2">
        <v>1.1170212765957446</v>
      </c>
      <c r="D73" s="2">
        <v>1</v>
      </c>
    </row>
    <row r="74" spans="2:4" x14ac:dyDescent="0.3">
      <c r="B74" s="12" t="s">
        <v>441</v>
      </c>
      <c r="C74" s="2">
        <v>1.0761904761904761</v>
      </c>
      <c r="D74" s="2">
        <v>1</v>
      </c>
    </row>
    <row r="75" spans="2:4" x14ac:dyDescent="0.3">
      <c r="B75" s="12" t="s">
        <v>442</v>
      </c>
      <c r="C75" s="2">
        <v>1.0973451327433628</v>
      </c>
      <c r="D75" s="2">
        <v>1.0263157894736843</v>
      </c>
    </row>
    <row r="76" spans="2:4" x14ac:dyDescent="0.3">
      <c r="B76" s="12" t="s">
        <v>461</v>
      </c>
      <c r="C76" s="2">
        <v>1.096774193548387</v>
      </c>
      <c r="D76" s="2">
        <v>1.1025641025641026</v>
      </c>
    </row>
    <row r="77" spans="2:4" x14ac:dyDescent="0.3">
      <c r="B77" s="12" t="s">
        <v>462</v>
      </c>
      <c r="C77" s="2">
        <v>1.036764705882353</v>
      </c>
      <c r="D77" s="2">
        <v>1.0930232558139534</v>
      </c>
    </row>
    <row r="78" spans="2:4" x14ac:dyDescent="0.3">
      <c r="B78" s="12" t="s">
        <v>463</v>
      </c>
      <c r="C78" s="2">
        <v>1.0815602836879432</v>
      </c>
      <c r="D78" s="2">
        <v>1.0212765957446808</v>
      </c>
    </row>
    <row r="79" spans="2:4" x14ac:dyDescent="0.3">
      <c r="B79" s="12" t="s">
        <v>470</v>
      </c>
      <c r="C79" s="2">
        <v>1.0163934426229508</v>
      </c>
      <c r="D79" s="2">
        <v>1.2291666666666667</v>
      </c>
    </row>
    <row r="80" spans="2:4" x14ac:dyDescent="0.3">
      <c r="B80" s="12" t="s">
        <v>472</v>
      </c>
      <c r="C80" s="2">
        <v>1.0354838709677419</v>
      </c>
      <c r="D80" s="2">
        <v>1.1694915254237288</v>
      </c>
    </row>
    <row r="81" spans="2:4" x14ac:dyDescent="0.3">
      <c r="B81" s="12" t="s">
        <v>473</v>
      </c>
      <c r="C81" s="2">
        <v>0.97507788161993769</v>
      </c>
      <c r="D81" s="2">
        <v>1.144927536231884</v>
      </c>
    </row>
    <row r="82" spans="2:4" x14ac:dyDescent="0.3">
      <c r="B82" s="12" t="s">
        <v>474</v>
      </c>
      <c r="C82" s="2">
        <v>1.0415335463258786</v>
      </c>
      <c r="D82" s="2">
        <v>1.0379746835443038</v>
      </c>
    </row>
    <row r="83" spans="2:4" x14ac:dyDescent="0.3">
      <c r="B83" s="12" t="s">
        <v>475</v>
      </c>
      <c r="C83" s="2">
        <v>1.0460122699386503</v>
      </c>
      <c r="D83" s="2">
        <v>1.0487804878048781</v>
      </c>
    </row>
    <row r="84" spans="2:4" x14ac:dyDescent="0.3">
      <c r="B84" s="12" t="s">
        <v>479</v>
      </c>
      <c r="C84" s="2">
        <v>0.94721407624633436</v>
      </c>
      <c r="D84" s="2">
        <v>1.0813953488372092</v>
      </c>
    </row>
    <row r="85" spans="2:4" x14ac:dyDescent="0.3">
      <c r="B85" s="12" t="s">
        <v>480</v>
      </c>
      <c r="C85" s="2">
        <v>0.94736842105263153</v>
      </c>
      <c r="D85" s="2">
        <v>0.91397849462365588</v>
      </c>
    </row>
    <row r="86" spans="2:4" x14ac:dyDescent="0.3">
      <c r="B86" s="12" t="s">
        <v>481</v>
      </c>
      <c r="C86" s="2">
        <v>0.92156862745098034</v>
      </c>
      <c r="D86" s="2">
        <v>1.0235294117647058</v>
      </c>
    </row>
    <row r="87" spans="2:4" x14ac:dyDescent="0.3">
      <c r="B87" s="12" t="s">
        <v>482</v>
      </c>
      <c r="C87" s="2">
        <v>0.97872340425531912</v>
      </c>
      <c r="D87" s="2">
        <v>0.97701149425287359</v>
      </c>
    </row>
    <row r="88" spans="2:4" x14ac:dyDescent="0.3">
      <c r="B88" s="12" t="s">
        <v>483</v>
      </c>
      <c r="C88" s="2">
        <v>1.0398550724637681</v>
      </c>
      <c r="D88" s="2">
        <v>0.95294117647058818</v>
      </c>
    </row>
    <row r="89" spans="2:4" x14ac:dyDescent="0.3">
      <c r="B89" s="12" t="s">
        <v>484</v>
      </c>
      <c r="C89" s="2">
        <v>0.99651567944250874</v>
      </c>
      <c r="D89" s="2">
        <v>1</v>
      </c>
    </row>
    <row r="90" spans="2:4" x14ac:dyDescent="0.3">
      <c r="B90" s="12" t="s">
        <v>485</v>
      </c>
      <c r="C90" s="2">
        <v>1.0034965034965035</v>
      </c>
      <c r="D90" s="2">
        <v>1.0493827160493827</v>
      </c>
    </row>
    <row r="91" spans="2:4" x14ac:dyDescent="0.3">
      <c r="B91" s="12" t="s">
        <v>342</v>
      </c>
      <c r="C91" s="2">
        <v>66.176020857859669</v>
      </c>
      <c r="D91" s="2">
        <v>66.599404819891333</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0F5B61-9FBC-4D1E-9642-600A0B386DD8}">
  <dimension ref="A1:O521"/>
  <sheetViews>
    <sheetView topLeftCell="C1" workbookViewId="0">
      <selection sqref="A1:Q385"/>
    </sheetView>
  </sheetViews>
  <sheetFormatPr defaultRowHeight="14.4" x14ac:dyDescent="0.3"/>
  <cols>
    <col min="1" max="1" width="10.5546875" bestFit="1" customWidth="1"/>
    <col min="2" max="2" width="31.6640625" bestFit="1" customWidth="1"/>
    <col min="3" max="3" width="35.77734375" bestFit="1" customWidth="1"/>
    <col min="4" max="4" width="19.88671875" bestFit="1" customWidth="1"/>
    <col min="5" max="5" width="23" bestFit="1" customWidth="1"/>
    <col min="6" max="6" width="22.33203125" bestFit="1" customWidth="1"/>
    <col min="7" max="7" width="16.77734375" bestFit="1" customWidth="1"/>
    <col min="8" max="8" width="14.5546875" bestFit="1" customWidth="1"/>
    <col min="9" max="9" width="27.44140625" bestFit="1" customWidth="1"/>
    <col min="10" max="10" width="25" bestFit="1" customWidth="1"/>
    <col min="11" max="11" width="13.88671875" bestFit="1" customWidth="1"/>
    <col min="12" max="12" width="11.33203125" bestFit="1" customWidth="1"/>
    <col min="13" max="13" width="23.5546875" bestFit="1" customWidth="1"/>
    <col min="14" max="14" width="20.6640625" bestFit="1" customWidth="1"/>
    <col min="15" max="15" width="14.33203125" bestFit="1" customWidth="1"/>
    <col min="16" max="16" width="23.109375" bestFit="1" customWidth="1"/>
    <col min="17" max="17" width="20.21875" bestFit="1" customWidth="1"/>
    <col min="18" max="18" width="13.88671875" bestFit="1" customWidth="1"/>
  </cols>
  <sheetData>
    <row r="1" spans="1:15" x14ac:dyDescent="0.3">
      <c r="A1" t="s">
        <v>0</v>
      </c>
      <c r="B1" t="s">
        <v>1</v>
      </c>
      <c r="C1" t="s">
        <v>358</v>
      </c>
      <c r="D1" t="s">
        <v>359</v>
      </c>
      <c r="E1" t="s">
        <v>361</v>
      </c>
      <c r="F1" t="s">
        <v>362</v>
      </c>
      <c r="G1" t="s">
        <v>423</v>
      </c>
      <c r="H1" t="s">
        <v>425</v>
      </c>
      <c r="I1" t="s">
        <v>426</v>
      </c>
      <c r="J1" t="s">
        <v>427</v>
      </c>
      <c r="K1" t="s">
        <v>443</v>
      </c>
      <c r="L1" t="s">
        <v>421</v>
      </c>
      <c r="M1" t="s">
        <v>431</v>
      </c>
      <c r="N1" t="s">
        <v>432</v>
      </c>
      <c r="O1" t="s">
        <v>428</v>
      </c>
    </row>
    <row r="2" spans="1:15" x14ac:dyDescent="0.3">
      <c r="A2" s="1">
        <v>44170</v>
      </c>
      <c r="B2" s="2" t="s">
        <v>4</v>
      </c>
      <c r="C2">
        <v>40</v>
      </c>
      <c r="D2">
        <v>1376</v>
      </c>
      <c r="E2">
        <v>97</v>
      </c>
      <c r="F2">
        <v>23</v>
      </c>
      <c r="G2">
        <v>291</v>
      </c>
      <c r="H2">
        <v>40</v>
      </c>
      <c r="I2">
        <v>-6</v>
      </c>
      <c r="J2">
        <v>1</v>
      </c>
      <c r="K2">
        <v>94</v>
      </c>
      <c r="L2" t="s">
        <v>369</v>
      </c>
      <c r="M2">
        <v>0.94174757281553401</v>
      </c>
      <c r="N2">
        <v>1.0454545454545454</v>
      </c>
      <c r="O2">
        <v>0</v>
      </c>
    </row>
    <row r="3" spans="1:15" x14ac:dyDescent="0.3">
      <c r="A3" s="1">
        <v>44170</v>
      </c>
      <c r="B3" s="2" t="s">
        <v>5</v>
      </c>
      <c r="C3">
        <v>23</v>
      </c>
      <c r="D3">
        <v>586</v>
      </c>
      <c r="E3">
        <v>27</v>
      </c>
      <c r="F3">
        <v>8</v>
      </c>
      <c r="G3">
        <v>78</v>
      </c>
      <c r="H3">
        <v>23</v>
      </c>
      <c r="I3">
        <v>-2</v>
      </c>
      <c r="J3">
        <v>2</v>
      </c>
      <c r="K3">
        <v>33</v>
      </c>
      <c r="L3" t="s">
        <v>369</v>
      </c>
      <c r="M3">
        <v>0.93103448275862066</v>
      </c>
      <c r="N3">
        <v>1.3333333333333333</v>
      </c>
      <c r="O3">
        <v>0</v>
      </c>
    </row>
    <row r="4" spans="1:15" x14ac:dyDescent="0.3">
      <c r="A4" s="1">
        <v>44170</v>
      </c>
      <c r="B4" s="2" t="s">
        <v>8</v>
      </c>
      <c r="C4">
        <v>29</v>
      </c>
      <c r="D4">
        <v>788</v>
      </c>
      <c r="E4">
        <v>31</v>
      </c>
      <c r="F4">
        <v>1</v>
      </c>
      <c r="G4">
        <v>132</v>
      </c>
      <c r="H4">
        <v>31</v>
      </c>
      <c r="I4">
        <v>5</v>
      </c>
      <c r="J4">
        <v>0</v>
      </c>
      <c r="K4">
        <v>70</v>
      </c>
      <c r="L4" t="s">
        <v>369</v>
      </c>
      <c r="M4">
        <v>1.1923076923076923</v>
      </c>
      <c r="N4">
        <v>1</v>
      </c>
      <c r="O4">
        <v>2</v>
      </c>
    </row>
    <row r="5" spans="1:15" x14ac:dyDescent="0.3">
      <c r="A5" s="1">
        <v>44170</v>
      </c>
      <c r="B5" s="2" t="s">
        <v>9</v>
      </c>
      <c r="C5">
        <v>18</v>
      </c>
      <c r="D5">
        <v>402</v>
      </c>
      <c r="E5">
        <v>37</v>
      </c>
      <c r="F5">
        <v>5</v>
      </c>
      <c r="G5">
        <v>295</v>
      </c>
      <c r="H5">
        <v>22</v>
      </c>
      <c r="I5">
        <v>1</v>
      </c>
      <c r="J5">
        <v>0</v>
      </c>
      <c r="K5">
        <v>38</v>
      </c>
      <c r="L5" t="s">
        <v>369</v>
      </c>
      <c r="M5">
        <v>1.0277777777777777</v>
      </c>
      <c r="N5">
        <v>1</v>
      </c>
      <c r="O5">
        <v>1</v>
      </c>
    </row>
    <row r="6" spans="1:15" x14ac:dyDescent="0.3">
      <c r="A6" s="1">
        <v>44170</v>
      </c>
      <c r="B6" s="2" t="s">
        <v>6</v>
      </c>
      <c r="C6">
        <v>30</v>
      </c>
      <c r="D6">
        <v>990</v>
      </c>
      <c r="E6">
        <v>42</v>
      </c>
      <c r="F6">
        <v>9</v>
      </c>
      <c r="G6">
        <v>60</v>
      </c>
      <c r="H6">
        <v>37</v>
      </c>
      <c r="I6">
        <v>0</v>
      </c>
      <c r="J6">
        <v>0</v>
      </c>
      <c r="K6">
        <v>71</v>
      </c>
      <c r="L6" t="s">
        <v>369</v>
      </c>
      <c r="M6">
        <v>1</v>
      </c>
      <c r="N6">
        <v>1</v>
      </c>
      <c r="O6">
        <v>1</v>
      </c>
    </row>
    <row r="7" spans="1:15" x14ac:dyDescent="0.3">
      <c r="A7" s="1">
        <v>44170</v>
      </c>
      <c r="B7" s="2" t="s">
        <v>7</v>
      </c>
      <c r="C7">
        <v>45</v>
      </c>
      <c r="D7">
        <v>784</v>
      </c>
      <c r="E7">
        <v>43</v>
      </c>
      <c r="F7">
        <v>6</v>
      </c>
      <c r="G7">
        <v>170</v>
      </c>
      <c r="H7">
        <v>52</v>
      </c>
      <c r="I7">
        <v>7</v>
      </c>
      <c r="J7">
        <v>0</v>
      </c>
      <c r="K7">
        <v>75</v>
      </c>
      <c r="L7" t="s">
        <v>369</v>
      </c>
      <c r="M7">
        <v>1.1944444444444444</v>
      </c>
      <c r="N7">
        <v>1</v>
      </c>
      <c r="O7">
        <v>0</v>
      </c>
    </row>
    <row r="8" spans="1:15" x14ac:dyDescent="0.3">
      <c r="A8" s="1">
        <v>44170</v>
      </c>
      <c r="B8" s="2" t="s">
        <v>2</v>
      </c>
      <c r="C8">
        <v>92</v>
      </c>
      <c r="D8">
        <v>1800</v>
      </c>
      <c r="E8">
        <v>65</v>
      </c>
      <c r="F8">
        <v>12</v>
      </c>
      <c r="G8">
        <v>224</v>
      </c>
      <c r="H8">
        <v>91</v>
      </c>
      <c r="I8">
        <v>0</v>
      </c>
      <c r="J8">
        <v>0</v>
      </c>
      <c r="K8">
        <v>133</v>
      </c>
      <c r="L8" t="s">
        <v>369</v>
      </c>
      <c r="M8">
        <v>1</v>
      </c>
      <c r="N8">
        <v>1</v>
      </c>
      <c r="O8">
        <v>0</v>
      </c>
    </row>
    <row r="9" spans="1:15" x14ac:dyDescent="0.3">
      <c r="A9" s="1">
        <v>44170</v>
      </c>
      <c r="B9" s="2" t="s">
        <v>3</v>
      </c>
      <c r="C9">
        <v>277</v>
      </c>
      <c r="D9">
        <v>6726</v>
      </c>
      <c r="E9">
        <v>342</v>
      </c>
      <c r="F9">
        <v>64</v>
      </c>
      <c r="G9">
        <v>1250</v>
      </c>
      <c r="H9">
        <v>296</v>
      </c>
      <c r="I9">
        <v>5</v>
      </c>
      <c r="J9">
        <v>3</v>
      </c>
      <c r="K9">
        <v>514</v>
      </c>
      <c r="L9" t="s">
        <v>369</v>
      </c>
      <c r="M9">
        <v>1.0148367952522255</v>
      </c>
      <c r="N9">
        <v>1.0491803278688525</v>
      </c>
      <c r="O9">
        <v>4</v>
      </c>
    </row>
    <row r="10" spans="1:15" x14ac:dyDescent="0.3">
      <c r="A10" s="1">
        <v>44171</v>
      </c>
      <c r="B10" s="2" t="s">
        <v>4</v>
      </c>
      <c r="C10">
        <v>52</v>
      </c>
      <c r="D10">
        <v>1349</v>
      </c>
      <c r="E10">
        <v>98</v>
      </c>
      <c r="F10">
        <v>22</v>
      </c>
      <c r="G10">
        <v>291</v>
      </c>
      <c r="H10">
        <v>53</v>
      </c>
      <c r="I10">
        <v>1</v>
      </c>
      <c r="J10">
        <v>-1</v>
      </c>
      <c r="K10">
        <v>80</v>
      </c>
      <c r="L10" t="s">
        <v>370</v>
      </c>
      <c r="M10">
        <v>1.0103092783505154</v>
      </c>
      <c r="N10">
        <v>0.95652173913043481</v>
      </c>
      <c r="O10">
        <v>0</v>
      </c>
    </row>
    <row r="11" spans="1:15" x14ac:dyDescent="0.3">
      <c r="A11" s="1">
        <v>44171</v>
      </c>
      <c r="B11" s="2" t="s">
        <v>5</v>
      </c>
      <c r="C11">
        <v>36</v>
      </c>
      <c r="D11">
        <v>576</v>
      </c>
      <c r="E11">
        <v>30</v>
      </c>
      <c r="F11">
        <v>6</v>
      </c>
      <c r="G11">
        <v>78</v>
      </c>
      <c r="H11">
        <v>36</v>
      </c>
      <c r="I11">
        <v>3</v>
      </c>
      <c r="J11">
        <v>-2</v>
      </c>
      <c r="K11">
        <v>46</v>
      </c>
      <c r="L11" t="s">
        <v>370</v>
      </c>
      <c r="M11">
        <v>1.1111111111111112</v>
      </c>
      <c r="N11">
        <v>0.75</v>
      </c>
      <c r="O11">
        <v>0</v>
      </c>
    </row>
    <row r="12" spans="1:15" x14ac:dyDescent="0.3">
      <c r="A12" s="1">
        <v>44171</v>
      </c>
      <c r="B12" s="2" t="s">
        <v>8</v>
      </c>
      <c r="C12">
        <v>28</v>
      </c>
      <c r="D12">
        <v>771</v>
      </c>
      <c r="E12">
        <v>30</v>
      </c>
      <c r="F12">
        <v>1</v>
      </c>
      <c r="G12">
        <v>133</v>
      </c>
      <c r="H12">
        <v>29</v>
      </c>
      <c r="I12">
        <v>-1</v>
      </c>
      <c r="J12">
        <v>0</v>
      </c>
      <c r="K12">
        <v>45</v>
      </c>
      <c r="L12" t="s">
        <v>370</v>
      </c>
      <c r="M12">
        <v>0.967741935483871</v>
      </c>
      <c r="N12">
        <v>1</v>
      </c>
      <c r="O12">
        <v>1</v>
      </c>
    </row>
    <row r="13" spans="1:15" x14ac:dyDescent="0.3">
      <c r="A13" s="1">
        <v>44171</v>
      </c>
      <c r="B13" s="2" t="s">
        <v>9</v>
      </c>
      <c r="C13">
        <v>19</v>
      </c>
      <c r="D13">
        <v>400</v>
      </c>
      <c r="E13">
        <v>39</v>
      </c>
      <c r="F13">
        <v>5</v>
      </c>
      <c r="G13">
        <v>296</v>
      </c>
      <c r="H13">
        <v>23</v>
      </c>
      <c r="I13">
        <v>2</v>
      </c>
      <c r="J13">
        <v>0</v>
      </c>
      <c r="K13">
        <v>24</v>
      </c>
      <c r="L13" t="s">
        <v>370</v>
      </c>
      <c r="M13">
        <v>1.0540540540540539</v>
      </c>
      <c r="N13">
        <v>1</v>
      </c>
      <c r="O13">
        <v>1</v>
      </c>
    </row>
    <row r="14" spans="1:15" x14ac:dyDescent="0.3">
      <c r="A14" s="1">
        <v>44171</v>
      </c>
      <c r="B14" s="2" t="s">
        <v>6</v>
      </c>
      <c r="C14">
        <v>29</v>
      </c>
      <c r="D14">
        <v>971</v>
      </c>
      <c r="E14">
        <v>44</v>
      </c>
      <c r="F14">
        <v>9</v>
      </c>
      <c r="G14">
        <v>60</v>
      </c>
      <c r="H14">
        <v>33</v>
      </c>
      <c r="I14">
        <v>2</v>
      </c>
      <c r="J14">
        <v>0</v>
      </c>
      <c r="K14">
        <v>52</v>
      </c>
      <c r="L14" t="s">
        <v>370</v>
      </c>
      <c r="M14">
        <v>1.0476190476190477</v>
      </c>
      <c r="N14">
        <v>1</v>
      </c>
      <c r="O14">
        <v>0</v>
      </c>
    </row>
    <row r="15" spans="1:15" x14ac:dyDescent="0.3">
      <c r="A15" s="1">
        <v>44171</v>
      </c>
      <c r="B15" s="2" t="s">
        <v>7</v>
      </c>
      <c r="C15">
        <v>43</v>
      </c>
      <c r="D15">
        <v>795</v>
      </c>
      <c r="E15">
        <v>45</v>
      </c>
      <c r="F15">
        <v>6</v>
      </c>
      <c r="G15">
        <v>170</v>
      </c>
      <c r="H15">
        <v>47</v>
      </c>
      <c r="I15">
        <v>2</v>
      </c>
      <c r="J15">
        <v>0</v>
      </c>
      <c r="K15">
        <v>36</v>
      </c>
      <c r="L15" t="s">
        <v>370</v>
      </c>
      <c r="M15">
        <v>1.0465116279069768</v>
      </c>
      <c r="N15">
        <v>1</v>
      </c>
      <c r="O15">
        <v>0</v>
      </c>
    </row>
    <row r="16" spans="1:15" x14ac:dyDescent="0.3">
      <c r="A16" s="1">
        <v>44171</v>
      </c>
      <c r="B16" s="2" t="s">
        <v>2</v>
      </c>
      <c r="C16">
        <v>53</v>
      </c>
      <c r="D16">
        <v>1782</v>
      </c>
      <c r="E16">
        <v>66</v>
      </c>
      <c r="F16">
        <v>11</v>
      </c>
      <c r="G16">
        <v>229</v>
      </c>
      <c r="H16">
        <v>53</v>
      </c>
      <c r="I16">
        <v>1</v>
      </c>
      <c r="J16">
        <v>-1</v>
      </c>
      <c r="K16">
        <v>66</v>
      </c>
      <c r="L16" t="s">
        <v>370</v>
      </c>
      <c r="M16">
        <v>1.0153846153846153</v>
      </c>
      <c r="N16">
        <v>0.91666666666666663</v>
      </c>
      <c r="O16">
        <v>5</v>
      </c>
    </row>
    <row r="17" spans="1:15" x14ac:dyDescent="0.3">
      <c r="A17" s="1">
        <v>44171</v>
      </c>
      <c r="B17" s="2" t="s">
        <v>3</v>
      </c>
      <c r="C17">
        <v>260</v>
      </c>
      <c r="D17">
        <v>6644</v>
      </c>
      <c r="E17">
        <v>352</v>
      </c>
      <c r="F17">
        <v>60</v>
      </c>
      <c r="G17">
        <v>1257</v>
      </c>
      <c r="H17">
        <v>274</v>
      </c>
      <c r="I17">
        <v>10</v>
      </c>
      <c r="J17">
        <v>-4</v>
      </c>
      <c r="K17">
        <v>349</v>
      </c>
      <c r="L17" t="s">
        <v>370</v>
      </c>
      <c r="M17">
        <v>1.0292397660818713</v>
      </c>
      <c r="N17">
        <v>0.9375</v>
      </c>
      <c r="O17">
        <v>7</v>
      </c>
    </row>
    <row r="18" spans="1:15" x14ac:dyDescent="0.3">
      <c r="A18" s="1">
        <v>44172</v>
      </c>
      <c r="B18" s="2" t="s">
        <v>4</v>
      </c>
      <c r="C18">
        <v>26</v>
      </c>
      <c r="D18">
        <v>1244</v>
      </c>
      <c r="E18">
        <v>87</v>
      </c>
      <c r="F18">
        <v>17</v>
      </c>
      <c r="G18">
        <v>293</v>
      </c>
      <c r="H18">
        <v>37</v>
      </c>
      <c r="I18">
        <v>-11</v>
      </c>
      <c r="J18">
        <v>-5</v>
      </c>
      <c r="K18">
        <v>140</v>
      </c>
      <c r="L18" t="s">
        <v>371</v>
      </c>
      <c r="M18">
        <v>0.88775510204081631</v>
      </c>
      <c r="N18">
        <v>0.77272727272727271</v>
      </c>
      <c r="O18">
        <v>2</v>
      </c>
    </row>
    <row r="19" spans="1:15" x14ac:dyDescent="0.3">
      <c r="A19" s="1">
        <v>44172</v>
      </c>
      <c r="B19" s="2" t="s">
        <v>5</v>
      </c>
      <c r="C19">
        <v>16</v>
      </c>
      <c r="D19">
        <v>552</v>
      </c>
      <c r="E19">
        <v>29</v>
      </c>
      <c r="F19">
        <v>4</v>
      </c>
      <c r="G19">
        <v>79</v>
      </c>
      <c r="H19">
        <v>16</v>
      </c>
      <c r="I19">
        <v>-1</v>
      </c>
      <c r="J19">
        <v>-2</v>
      </c>
      <c r="K19">
        <v>39</v>
      </c>
      <c r="L19" t="s">
        <v>371</v>
      </c>
      <c r="M19">
        <v>0.96666666666666667</v>
      </c>
      <c r="N19">
        <v>0.66666666666666663</v>
      </c>
      <c r="O19">
        <v>1</v>
      </c>
    </row>
    <row r="20" spans="1:15" x14ac:dyDescent="0.3">
      <c r="A20" s="1">
        <v>44172</v>
      </c>
      <c r="B20" s="2" t="s">
        <v>8</v>
      </c>
      <c r="C20">
        <v>16</v>
      </c>
      <c r="D20">
        <v>624</v>
      </c>
      <c r="E20">
        <v>23</v>
      </c>
      <c r="F20">
        <v>2</v>
      </c>
      <c r="G20">
        <v>136</v>
      </c>
      <c r="H20">
        <v>18</v>
      </c>
      <c r="I20">
        <v>-7</v>
      </c>
      <c r="J20">
        <v>1</v>
      </c>
      <c r="K20">
        <v>162</v>
      </c>
      <c r="L20" t="s">
        <v>371</v>
      </c>
      <c r="M20">
        <v>0.76666666666666672</v>
      </c>
      <c r="N20">
        <v>2</v>
      </c>
      <c r="O20">
        <v>3</v>
      </c>
    </row>
    <row r="21" spans="1:15" x14ac:dyDescent="0.3">
      <c r="A21" s="1">
        <v>44172</v>
      </c>
      <c r="B21" s="2" t="s">
        <v>9</v>
      </c>
      <c r="C21">
        <v>20</v>
      </c>
      <c r="D21">
        <v>377</v>
      </c>
      <c r="E21">
        <v>33</v>
      </c>
      <c r="F21">
        <v>3</v>
      </c>
      <c r="G21">
        <v>296</v>
      </c>
      <c r="H21">
        <v>22</v>
      </c>
      <c r="I21">
        <v>-6</v>
      </c>
      <c r="J21">
        <v>-2</v>
      </c>
      <c r="K21">
        <v>45</v>
      </c>
      <c r="L21" t="s">
        <v>371</v>
      </c>
      <c r="M21">
        <v>0.84615384615384615</v>
      </c>
      <c r="N21">
        <v>0.6</v>
      </c>
      <c r="O21">
        <v>0</v>
      </c>
    </row>
    <row r="22" spans="1:15" x14ac:dyDescent="0.3">
      <c r="A22" s="1">
        <v>44172</v>
      </c>
      <c r="B22" s="2" t="s">
        <v>6</v>
      </c>
      <c r="C22">
        <v>41</v>
      </c>
      <c r="D22">
        <v>899</v>
      </c>
      <c r="E22">
        <v>40</v>
      </c>
      <c r="F22">
        <v>9</v>
      </c>
      <c r="G22">
        <v>62</v>
      </c>
      <c r="H22">
        <v>44</v>
      </c>
      <c r="I22">
        <v>-4</v>
      </c>
      <c r="J22">
        <v>0</v>
      </c>
      <c r="K22">
        <v>114</v>
      </c>
      <c r="L22" t="s">
        <v>371</v>
      </c>
      <c r="M22">
        <v>0.90909090909090906</v>
      </c>
      <c r="N22">
        <v>1</v>
      </c>
      <c r="O22">
        <v>2</v>
      </c>
    </row>
    <row r="23" spans="1:15" x14ac:dyDescent="0.3">
      <c r="A23" s="1">
        <v>44172</v>
      </c>
      <c r="B23" s="2" t="s">
        <v>7</v>
      </c>
      <c r="C23">
        <v>54</v>
      </c>
      <c r="D23">
        <v>783</v>
      </c>
      <c r="E23">
        <v>51</v>
      </c>
      <c r="F23">
        <v>6</v>
      </c>
      <c r="G23">
        <v>170</v>
      </c>
      <c r="H23">
        <v>65</v>
      </c>
      <c r="I23">
        <v>6</v>
      </c>
      <c r="J23">
        <v>0</v>
      </c>
      <c r="K23">
        <v>77</v>
      </c>
      <c r="L23" t="s">
        <v>371</v>
      </c>
      <c r="M23">
        <v>1.1333333333333333</v>
      </c>
      <c r="N23">
        <v>1</v>
      </c>
      <c r="O23">
        <v>0</v>
      </c>
    </row>
    <row r="24" spans="1:15" x14ac:dyDescent="0.3">
      <c r="A24" s="1">
        <v>44172</v>
      </c>
      <c r="B24" s="2" t="s">
        <v>2</v>
      </c>
      <c r="C24">
        <v>59</v>
      </c>
      <c r="D24">
        <v>1517</v>
      </c>
      <c r="E24">
        <v>59</v>
      </c>
      <c r="F24">
        <v>9</v>
      </c>
      <c r="G24">
        <v>237</v>
      </c>
      <c r="H24">
        <v>60</v>
      </c>
      <c r="I24">
        <v>-7</v>
      </c>
      <c r="J24">
        <v>-2</v>
      </c>
      <c r="K24">
        <v>317</v>
      </c>
      <c r="L24" t="s">
        <v>371</v>
      </c>
      <c r="M24">
        <v>0.89393939393939392</v>
      </c>
      <c r="N24">
        <v>0.81818181818181823</v>
      </c>
      <c r="O24">
        <v>8</v>
      </c>
    </row>
    <row r="25" spans="1:15" x14ac:dyDescent="0.3">
      <c r="A25" s="1">
        <v>44172</v>
      </c>
      <c r="B25" s="2" t="s">
        <v>3</v>
      </c>
      <c r="C25">
        <v>232</v>
      </c>
      <c r="D25">
        <v>5996</v>
      </c>
      <c r="E25">
        <v>322</v>
      </c>
      <c r="F25">
        <v>50</v>
      </c>
      <c r="G25">
        <v>1273</v>
      </c>
      <c r="H25">
        <v>262</v>
      </c>
      <c r="I25">
        <v>-30</v>
      </c>
      <c r="J25">
        <v>-10</v>
      </c>
      <c r="K25">
        <v>894</v>
      </c>
      <c r="L25" t="s">
        <v>371</v>
      </c>
      <c r="M25">
        <v>0.91477272727272729</v>
      </c>
      <c r="N25">
        <v>0.83333333333333337</v>
      </c>
      <c r="O25">
        <v>16</v>
      </c>
    </row>
    <row r="26" spans="1:15" x14ac:dyDescent="0.3">
      <c r="A26" s="1">
        <v>44173</v>
      </c>
      <c r="B26" s="2" t="s">
        <v>4</v>
      </c>
      <c r="C26">
        <v>45</v>
      </c>
      <c r="D26">
        <v>1193</v>
      </c>
      <c r="E26">
        <v>84</v>
      </c>
      <c r="F26">
        <v>16</v>
      </c>
      <c r="G26">
        <v>293</v>
      </c>
      <c r="H26">
        <v>47</v>
      </c>
      <c r="I26">
        <v>-3</v>
      </c>
      <c r="J26">
        <v>-1</v>
      </c>
      <c r="K26">
        <v>98</v>
      </c>
      <c r="L26" t="s">
        <v>372</v>
      </c>
      <c r="M26">
        <v>0.96551724137931039</v>
      </c>
      <c r="N26">
        <v>0.94117647058823528</v>
      </c>
      <c r="O26">
        <v>0</v>
      </c>
    </row>
    <row r="27" spans="1:15" x14ac:dyDescent="0.3">
      <c r="A27" s="1">
        <v>44173</v>
      </c>
      <c r="B27" s="2" t="s">
        <v>5</v>
      </c>
      <c r="C27">
        <v>51</v>
      </c>
      <c r="D27">
        <v>596</v>
      </c>
      <c r="E27">
        <v>28</v>
      </c>
      <c r="F27">
        <v>4</v>
      </c>
      <c r="G27">
        <v>80</v>
      </c>
      <c r="H27">
        <v>51</v>
      </c>
      <c r="I27">
        <v>-1</v>
      </c>
      <c r="J27">
        <v>0</v>
      </c>
      <c r="K27">
        <v>6</v>
      </c>
      <c r="L27" t="s">
        <v>372</v>
      </c>
      <c r="M27">
        <v>0.96551724137931039</v>
      </c>
      <c r="N27">
        <v>1</v>
      </c>
      <c r="O27">
        <v>1</v>
      </c>
    </row>
    <row r="28" spans="1:15" x14ac:dyDescent="0.3">
      <c r="A28" s="1">
        <v>44173</v>
      </c>
      <c r="B28" s="2" t="s">
        <v>8</v>
      </c>
      <c r="C28">
        <v>31</v>
      </c>
      <c r="D28">
        <v>606</v>
      </c>
      <c r="E28">
        <v>27</v>
      </c>
      <c r="F28">
        <v>3</v>
      </c>
      <c r="G28">
        <v>137</v>
      </c>
      <c r="H28">
        <v>30</v>
      </c>
      <c r="I28">
        <v>4</v>
      </c>
      <c r="J28">
        <v>1</v>
      </c>
      <c r="K28">
        <v>47</v>
      </c>
      <c r="L28" t="s">
        <v>372</v>
      </c>
      <c r="M28">
        <v>1.173913043478261</v>
      </c>
      <c r="N28">
        <v>1.5</v>
      </c>
      <c r="O28">
        <v>1</v>
      </c>
    </row>
    <row r="29" spans="1:15" x14ac:dyDescent="0.3">
      <c r="A29" s="1">
        <v>44173</v>
      </c>
      <c r="B29" s="2" t="s">
        <v>9</v>
      </c>
      <c r="C29">
        <v>34</v>
      </c>
      <c r="D29">
        <v>377</v>
      </c>
      <c r="E29">
        <v>33</v>
      </c>
      <c r="F29">
        <v>3</v>
      </c>
      <c r="G29">
        <v>297</v>
      </c>
      <c r="H29">
        <v>34</v>
      </c>
      <c r="I29">
        <v>0</v>
      </c>
      <c r="J29">
        <v>0</v>
      </c>
      <c r="K29">
        <v>33</v>
      </c>
      <c r="L29" t="s">
        <v>372</v>
      </c>
      <c r="M29">
        <v>1</v>
      </c>
      <c r="N29">
        <v>1</v>
      </c>
      <c r="O29">
        <v>1</v>
      </c>
    </row>
    <row r="30" spans="1:15" x14ac:dyDescent="0.3">
      <c r="A30" s="1">
        <v>44173</v>
      </c>
      <c r="B30" s="2" t="s">
        <v>6</v>
      </c>
      <c r="C30">
        <v>43</v>
      </c>
      <c r="D30">
        <v>871</v>
      </c>
      <c r="E30">
        <v>41</v>
      </c>
      <c r="F30">
        <v>9</v>
      </c>
      <c r="G30">
        <v>65</v>
      </c>
      <c r="H30">
        <v>48</v>
      </c>
      <c r="I30">
        <v>1</v>
      </c>
      <c r="J30">
        <v>0</v>
      </c>
      <c r="K30">
        <v>73</v>
      </c>
      <c r="L30" t="s">
        <v>372</v>
      </c>
      <c r="M30">
        <v>1.0249999999999999</v>
      </c>
      <c r="N30">
        <v>1</v>
      </c>
      <c r="O30">
        <v>3</v>
      </c>
    </row>
    <row r="31" spans="1:15" x14ac:dyDescent="0.3">
      <c r="A31" s="1">
        <v>44173</v>
      </c>
      <c r="B31" s="2" t="s">
        <v>7</v>
      </c>
      <c r="C31">
        <v>50</v>
      </c>
      <c r="D31">
        <v>785</v>
      </c>
      <c r="E31">
        <v>52</v>
      </c>
      <c r="F31">
        <v>6</v>
      </c>
      <c r="G31">
        <v>172</v>
      </c>
      <c r="H31">
        <v>53</v>
      </c>
      <c r="I31">
        <v>1</v>
      </c>
      <c r="J31">
        <v>0</v>
      </c>
      <c r="K31">
        <v>49</v>
      </c>
      <c r="L31" t="s">
        <v>372</v>
      </c>
      <c r="M31">
        <v>1.0196078431372548</v>
      </c>
      <c r="N31">
        <v>1</v>
      </c>
      <c r="O31">
        <v>2</v>
      </c>
    </row>
    <row r="32" spans="1:15" x14ac:dyDescent="0.3">
      <c r="A32" s="1">
        <v>44173</v>
      </c>
      <c r="B32" s="2" t="s">
        <v>2</v>
      </c>
      <c r="C32">
        <v>75</v>
      </c>
      <c r="D32">
        <v>1499</v>
      </c>
      <c r="E32">
        <v>59</v>
      </c>
      <c r="F32">
        <v>10</v>
      </c>
      <c r="G32">
        <v>237</v>
      </c>
      <c r="H32">
        <v>79</v>
      </c>
      <c r="I32">
        <v>0</v>
      </c>
      <c r="J32">
        <v>1</v>
      </c>
      <c r="K32">
        <v>97</v>
      </c>
      <c r="L32" t="s">
        <v>372</v>
      </c>
      <c r="M32">
        <v>1</v>
      </c>
      <c r="N32">
        <v>1.1111111111111112</v>
      </c>
      <c r="O32">
        <v>0</v>
      </c>
    </row>
    <row r="33" spans="1:15" x14ac:dyDescent="0.3">
      <c r="A33" s="1">
        <v>44173</v>
      </c>
      <c r="B33" s="2" t="s">
        <v>3</v>
      </c>
      <c r="C33">
        <v>329</v>
      </c>
      <c r="D33">
        <v>5927</v>
      </c>
      <c r="E33">
        <v>324</v>
      </c>
      <c r="F33">
        <v>51</v>
      </c>
      <c r="G33">
        <v>1281</v>
      </c>
      <c r="H33">
        <v>342</v>
      </c>
      <c r="I33">
        <v>2</v>
      </c>
      <c r="J33">
        <v>1</v>
      </c>
      <c r="K33">
        <v>403</v>
      </c>
      <c r="L33" t="s">
        <v>372</v>
      </c>
      <c r="M33">
        <v>1.0062111801242235</v>
      </c>
      <c r="N33">
        <v>1.02</v>
      </c>
      <c r="O33">
        <v>8</v>
      </c>
    </row>
    <row r="34" spans="1:15" x14ac:dyDescent="0.3">
      <c r="A34" s="1">
        <v>44174</v>
      </c>
      <c r="B34" s="2" t="s">
        <v>4</v>
      </c>
      <c r="C34">
        <v>35</v>
      </c>
      <c r="D34">
        <v>1146</v>
      </c>
      <c r="E34">
        <v>76</v>
      </c>
      <c r="F34">
        <v>14</v>
      </c>
      <c r="G34">
        <v>293</v>
      </c>
      <c r="H34">
        <v>43</v>
      </c>
      <c r="I34">
        <v>-8</v>
      </c>
      <c r="J34">
        <v>-2</v>
      </c>
      <c r="K34">
        <v>90</v>
      </c>
      <c r="L34" t="s">
        <v>373</v>
      </c>
      <c r="M34">
        <v>0.90476190476190477</v>
      </c>
      <c r="N34">
        <v>0.875</v>
      </c>
      <c r="O34">
        <v>0</v>
      </c>
    </row>
    <row r="35" spans="1:15" x14ac:dyDescent="0.3">
      <c r="A35" s="1">
        <v>44174</v>
      </c>
      <c r="B35" s="2" t="s">
        <v>5</v>
      </c>
      <c r="C35">
        <v>25</v>
      </c>
      <c r="D35">
        <v>596</v>
      </c>
      <c r="E35">
        <v>27</v>
      </c>
      <c r="F35">
        <v>3</v>
      </c>
      <c r="G35">
        <v>81</v>
      </c>
      <c r="H35">
        <v>24</v>
      </c>
      <c r="I35">
        <v>-1</v>
      </c>
      <c r="J35">
        <v>-1</v>
      </c>
      <c r="K35">
        <v>23</v>
      </c>
      <c r="L35" t="s">
        <v>373</v>
      </c>
      <c r="M35">
        <v>0.9642857142857143</v>
      </c>
      <c r="N35">
        <v>0.75</v>
      </c>
      <c r="O35">
        <v>1</v>
      </c>
    </row>
    <row r="36" spans="1:15" x14ac:dyDescent="0.3">
      <c r="A36" s="1">
        <v>44174</v>
      </c>
      <c r="B36" s="2" t="s">
        <v>8</v>
      </c>
      <c r="C36">
        <v>16</v>
      </c>
      <c r="D36">
        <v>591</v>
      </c>
      <c r="E36">
        <v>27</v>
      </c>
      <c r="F36">
        <v>4</v>
      </c>
      <c r="G36">
        <v>137</v>
      </c>
      <c r="H36">
        <v>20</v>
      </c>
      <c r="I36">
        <v>0</v>
      </c>
      <c r="J36">
        <v>1</v>
      </c>
      <c r="K36">
        <v>35</v>
      </c>
      <c r="L36" t="s">
        <v>373</v>
      </c>
      <c r="M36">
        <v>1</v>
      </c>
      <c r="N36">
        <v>1.3333333333333333</v>
      </c>
      <c r="O36">
        <v>0</v>
      </c>
    </row>
    <row r="37" spans="1:15" x14ac:dyDescent="0.3">
      <c r="A37" s="1">
        <v>44174</v>
      </c>
      <c r="B37" s="2" t="s">
        <v>9</v>
      </c>
      <c r="C37">
        <v>30</v>
      </c>
      <c r="D37">
        <v>364</v>
      </c>
      <c r="E37">
        <v>34</v>
      </c>
      <c r="F37">
        <v>3</v>
      </c>
      <c r="G37">
        <v>300</v>
      </c>
      <c r="H37">
        <v>31</v>
      </c>
      <c r="I37">
        <v>1</v>
      </c>
      <c r="J37">
        <v>0</v>
      </c>
      <c r="K37">
        <v>41</v>
      </c>
      <c r="L37" t="s">
        <v>373</v>
      </c>
      <c r="M37">
        <v>1.0303030303030303</v>
      </c>
      <c r="N37">
        <v>1</v>
      </c>
      <c r="O37">
        <v>3</v>
      </c>
    </row>
    <row r="38" spans="1:15" x14ac:dyDescent="0.3">
      <c r="A38" s="1">
        <v>44174</v>
      </c>
      <c r="B38" s="2" t="s">
        <v>6</v>
      </c>
      <c r="C38">
        <v>34</v>
      </c>
      <c r="D38">
        <v>856</v>
      </c>
      <c r="E38">
        <v>42</v>
      </c>
      <c r="F38">
        <v>9</v>
      </c>
      <c r="G38">
        <v>67</v>
      </c>
      <c r="H38">
        <v>39</v>
      </c>
      <c r="I38">
        <v>1</v>
      </c>
      <c r="J38">
        <v>0</v>
      </c>
      <c r="K38">
        <v>53</v>
      </c>
      <c r="L38" t="s">
        <v>373</v>
      </c>
      <c r="M38">
        <v>1.024390243902439</v>
      </c>
      <c r="N38">
        <v>1</v>
      </c>
      <c r="O38">
        <v>2</v>
      </c>
    </row>
    <row r="39" spans="1:15" x14ac:dyDescent="0.3">
      <c r="A39" s="1">
        <v>44174</v>
      </c>
      <c r="B39" s="2" t="s">
        <v>7</v>
      </c>
      <c r="C39">
        <v>65</v>
      </c>
      <c r="D39">
        <v>817</v>
      </c>
      <c r="E39">
        <v>53</v>
      </c>
      <c r="F39">
        <v>6</v>
      </c>
      <c r="G39">
        <v>172</v>
      </c>
      <c r="H39">
        <v>77</v>
      </c>
      <c r="I39">
        <v>1</v>
      </c>
      <c r="J39">
        <v>0</v>
      </c>
      <c r="K39">
        <v>45</v>
      </c>
      <c r="L39" t="s">
        <v>373</v>
      </c>
      <c r="M39">
        <v>1.0192307692307692</v>
      </c>
      <c r="N39">
        <v>1</v>
      </c>
      <c r="O39">
        <v>0</v>
      </c>
    </row>
    <row r="40" spans="1:15" x14ac:dyDescent="0.3">
      <c r="A40" s="1">
        <v>44174</v>
      </c>
      <c r="B40" s="2" t="s">
        <v>2</v>
      </c>
      <c r="C40">
        <v>50</v>
      </c>
      <c r="D40">
        <v>1425</v>
      </c>
      <c r="E40">
        <v>62</v>
      </c>
      <c r="F40">
        <v>11</v>
      </c>
      <c r="G40">
        <v>237</v>
      </c>
      <c r="H40">
        <v>52</v>
      </c>
      <c r="I40">
        <v>3</v>
      </c>
      <c r="J40">
        <v>1</v>
      </c>
      <c r="K40">
        <v>126</v>
      </c>
      <c r="L40" t="s">
        <v>373</v>
      </c>
      <c r="M40">
        <v>1.0508474576271187</v>
      </c>
      <c r="N40">
        <v>1.1000000000000001</v>
      </c>
      <c r="O40">
        <v>0</v>
      </c>
    </row>
    <row r="41" spans="1:15" x14ac:dyDescent="0.3">
      <c r="A41" s="1">
        <v>44174</v>
      </c>
      <c r="B41" s="2" t="s">
        <v>3</v>
      </c>
      <c r="C41">
        <v>255</v>
      </c>
      <c r="D41">
        <v>5795</v>
      </c>
      <c r="E41">
        <v>321</v>
      </c>
      <c r="F41">
        <v>50</v>
      </c>
      <c r="G41">
        <v>1287</v>
      </c>
      <c r="H41">
        <v>286</v>
      </c>
      <c r="I41">
        <v>-3</v>
      </c>
      <c r="J41">
        <v>-1</v>
      </c>
      <c r="K41">
        <v>413</v>
      </c>
      <c r="L41" t="s">
        <v>373</v>
      </c>
      <c r="M41">
        <v>0.9907407407407407</v>
      </c>
      <c r="N41">
        <v>0.98039215686274506</v>
      </c>
      <c r="O41">
        <v>6</v>
      </c>
    </row>
    <row r="42" spans="1:15" x14ac:dyDescent="0.3">
      <c r="A42" s="1">
        <v>44175</v>
      </c>
      <c r="B42" s="2" t="s">
        <v>4</v>
      </c>
      <c r="C42">
        <v>34</v>
      </c>
      <c r="D42">
        <v>1093</v>
      </c>
      <c r="E42">
        <v>78</v>
      </c>
      <c r="F42">
        <v>13</v>
      </c>
      <c r="G42">
        <v>293</v>
      </c>
      <c r="H42">
        <v>43</v>
      </c>
      <c r="I42">
        <v>2</v>
      </c>
      <c r="J42">
        <v>-1</v>
      </c>
      <c r="K42">
        <v>96</v>
      </c>
      <c r="L42" t="s">
        <v>374</v>
      </c>
      <c r="M42">
        <v>1.0263157894736843</v>
      </c>
      <c r="N42">
        <v>0.9285714285714286</v>
      </c>
      <c r="O42">
        <v>0</v>
      </c>
    </row>
    <row r="43" spans="1:15" x14ac:dyDescent="0.3">
      <c r="A43" s="1">
        <v>44175</v>
      </c>
      <c r="B43" s="2" t="s">
        <v>5</v>
      </c>
      <c r="C43">
        <v>21</v>
      </c>
      <c r="D43">
        <v>573</v>
      </c>
      <c r="E43">
        <v>28</v>
      </c>
      <c r="F43">
        <v>3</v>
      </c>
      <c r="G43">
        <v>81</v>
      </c>
      <c r="H43">
        <v>23</v>
      </c>
      <c r="I43">
        <v>1</v>
      </c>
      <c r="J43">
        <v>0</v>
      </c>
      <c r="K43">
        <v>46</v>
      </c>
      <c r="L43" t="s">
        <v>374</v>
      </c>
      <c r="M43">
        <v>1.037037037037037</v>
      </c>
      <c r="N43">
        <v>1</v>
      </c>
      <c r="O43">
        <v>0</v>
      </c>
    </row>
    <row r="44" spans="1:15" x14ac:dyDescent="0.3">
      <c r="A44" s="1">
        <v>44175</v>
      </c>
      <c r="B44" s="2" t="s">
        <v>8</v>
      </c>
      <c r="C44">
        <v>25</v>
      </c>
      <c r="D44">
        <v>571</v>
      </c>
      <c r="E44">
        <v>23</v>
      </c>
      <c r="F44">
        <v>4</v>
      </c>
      <c r="G44">
        <v>139</v>
      </c>
      <c r="H44">
        <v>25</v>
      </c>
      <c r="I44">
        <v>-4</v>
      </c>
      <c r="J44">
        <v>0</v>
      </c>
      <c r="K44">
        <v>43</v>
      </c>
      <c r="L44" t="s">
        <v>374</v>
      </c>
      <c r="M44">
        <v>0.85185185185185186</v>
      </c>
      <c r="N44">
        <v>1</v>
      </c>
      <c r="O44">
        <v>2</v>
      </c>
    </row>
    <row r="45" spans="1:15" x14ac:dyDescent="0.3">
      <c r="A45" s="1">
        <v>44175</v>
      </c>
      <c r="B45" s="2" t="s">
        <v>9</v>
      </c>
      <c r="C45">
        <v>32</v>
      </c>
      <c r="D45">
        <v>383</v>
      </c>
      <c r="E45">
        <v>26</v>
      </c>
      <c r="F45">
        <v>2</v>
      </c>
      <c r="G45">
        <v>300</v>
      </c>
      <c r="H45">
        <v>37</v>
      </c>
      <c r="I45">
        <v>-8</v>
      </c>
      <c r="J45">
        <v>-1</v>
      </c>
      <c r="K45">
        <v>18</v>
      </c>
      <c r="L45" t="s">
        <v>374</v>
      </c>
      <c r="M45">
        <v>0.76470588235294112</v>
      </c>
      <c r="N45">
        <v>0.66666666666666663</v>
      </c>
      <c r="O45">
        <v>0</v>
      </c>
    </row>
    <row r="46" spans="1:15" x14ac:dyDescent="0.3">
      <c r="A46" s="1">
        <v>44175</v>
      </c>
      <c r="B46" s="2" t="s">
        <v>6</v>
      </c>
      <c r="C46">
        <v>39</v>
      </c>
      <c r="D46">
        <v>839</v>
      </c>
      <c r="E46">
        <v>42</v>
      </c>
      <c r="F46">
        <v>10</v>
      </c>
      <c r="G46">
        <v>68</v>
      </c>
      <c r="H46">
        <v>37</v>
      </c>
      <c r="I46">
        <v>0</v>
      </c>
      <c r="J46">
        <v>1</v>
      </c>
      <c r="K46">
        <v>53</v>
      </c>
      <c r="L46" t="s">
        <v>374</v>
      </c>
      <c r="M46">
        <v>1</v>
      </c>
      <c r="N46">
        <v>1.1111111111111112</v>
      </c>
      <c r="O46">
        <v>1</v>
      </c>
    </row>
    <row r="47" spans="1:15" x14ac:dyDescent="0.3">
      <c r="A47" s="1">
        <v>44175</v>
      </c>
      <c r="B47" s="2" t="s">
        <v>7</v>
      </c>
      <c r="C47">
        <v>47</v>
      </c>
      <c r="D47">
        <v>824</v>
      </c>
      <c r="E47">
        <v>52</v>
      </c>
      <c r="F47">
        <v>7</v>
      </c>
      <c r="G47">
        <v>173</v>
      </c>
      <c r="H47">
        <v>66</v>
      </c>
      <c r="I47">
        <v>-1</v>
      </c>
      <c r="J47">
        <v>1</v>
      </c>
      <c r="K47">
        <v>58</v>
      </c>
      <c r="L47" t="s">
        <v>374</v>
      </c>
      <c r="M47">
        <v>0.98113207547169812</v>
      </c>
      <c r="N47">
        <v>1.1666666666666667</v>
      </c>
      <c r="O47">
        <v>1</v>
      </c>
    </row>
    <row r="48" spans="1:15" x14ac:dyDescent="0.3">
      <c r="A48" s="1">
        <v>44175</v>
      </c>
      <c r="B48" s="2" t="s">
        <v>2</v>
      </c>
      <c r="C48">
        <v>126</v>
      </c>
      <c r="D48">
        <v>1401</v>
      </c>
      <c r="E48">
        <v>60</v>
      </c>
      <c r="F48">
        <v>12</v>
      </c>
      <c r="G48">
        <v>239</v>
      </c>
      <c r="H48">
        <v>127</v>
      </c>
      <c r="I48">
        <v>-2</v>
      </c>
      <c r="J48">
        <v>1</v>
      </c>
      <c r="K48">
        <v>149</v>
      </c>
      <c r="L48" t="s">
        <v>374</v>
      </c>
      <c r="M48">
        <v>0.967741935483871</v>
      </c>
      <c r="N48">
        <v>1.0909090909090908</v>
      </c>
      <c r="O48">
        <v>2</v>
      </c>
    </row>
    <row r="49" spans="1:15" x14ac:dyDescent="0.3">
      <c r="A49" s="1">
        <v>44175</v>
      </c>
      <c r="B49" s="2" t="s">
        <v>3</v>
      </c>
      <c r="C49">
        <v>324</v>
      </c>
      <c r="D49">
        <v>5684</v>
      </c>
      <c r="E49">
        <v>309</v>
      </c>
      <c r="F49">
        <v>51</v>
      </c>
      <c r="G49">
        <v>1293</v>
      </c>
      <c r="H49">
        <v>358</v>
      </c>
      <c r="I49">
        <v>-12</v>
      </c>
      <c r="J49">
        <v>1</v>
      </c>
      <c r="K49">
        <v>463</v>
      </c>
      <c r="L49" t="s">
        <v>374</v>
      </c>
      <c r="M49">
        <v>0.96261682242990654</v>
      </c>
      <c r="N49">
        <v>1.02</v>
      </c>
      <c r="O49">
        <v>6</v>
      </c>
    </row>
    <row r="50" spans="1:15" x14ac:dyDescent="0.3">
      <c r="A50" s="1">
        <v>44176</v>
      </c>
      <c r="B50" s="2" t="s">
        <v>4</v>
      </c>
      <c r="C50">
        <v>43</v>
      </c>
      <c r="D50">
        <v>1017</v>
      </c>
      <c r="E50">
        <v>74</v>
      </c>
      <c r="F50">
        <v>13</v>
      </c>
      <c r="G50">
        <v>296</v>
      </c>
      <c r="H50">
        <v>51</v>
      </c>
      <c r="I50">
        <v>-4</v>
      </c>
      <c r="J50">
        <v>0</v>
      </c>
      <c r="K50">
        <v>124</v>
      </c>
      <c r="L50" t="s">
        <v>375</v>
      </c>
      <c r="M50">
        <v>0.94871794871794868</v>
      </c>
      <c r="N50">
        <v>1</v>
      </c>
      <c r="O50">
        <v>3</v>
      </c>
    </row>
    <row r="51" spans="1:15" x14ac:dyDescent="0.3">
      <c r="A51" s="1">
        <v>44176</v>
      </c>
      <c r="B51" s="2" t="s">
        <v>5</v>
      </c>
      <c r="C51">
        <v>28</v>
      </c>
      <c r="D51">
        <v>547</v>
      </c>
      <c r="E51">
        <v>29</v>
      </c>
      <c r="F51">
        <v>4</v>
      </c>
      <c r="G51">
        <v>81</v>
      </c>
      <c r="H51">
        <v>31</v>
      </c>
      <c r="I51">
        <v>1</v>
      </c>
      <c r="J51">
        <v>1</v>
      </c>
      <c r="K51">
        <v>57</v>
      </c>
      <c r="L51" t="s">
        <v>375</v>
      </c>
      <c r="M51">
        <v>1.0357142857142858</v>
      </c>
      <c r="N51">
        <v>1.3333333333333333</v>
      </c>
      <c r="O51">
        <v>0</v>
      </c>
    </row>
    <row r="52" spans="1:15" x14ac:dyDescent="0.3">
      <c r="A52" s="1">
        <v>44176</v>
      </c>
      <c r="B52" s="2" t="s">
        <v>8</v>
      </c>
      <c r="C52">
        <v>18</v>
      </c>
      <c r="D52">
        <v>545</v>
      </c>
      <c r="E52">
        <v>25</v>
      </c>
      <c r="F52">
        <v>4</v>
      </c>
      <c r="G52">
        <v>139</v>
      </c>
      <c r="H52">
        <v>19</v>
      </c>
      <c r="I52">
        <v>2</v>
      </c>
      <c r="J52">
        <v>0</v>
      </c>
      <c r="K52">
        <v>45</v>
      </c>
      <c r="L52" t="s">
        <v>375</v>
      </c>
      <c r="M52">
        <v>1.0869565217391304</v>
      </c>
      <c r="N52">
        <v>1</v>
      </c>
      <c r="O52">
        <v>0</v>
      </c>
    </row>
    <row r="53" spans="1:15" x14ac:dyDescent="0.3">
      <c r="A53" s="1">
        <v>44176</v>
      </c>
      <c r="B53" s="2" t="s">
        <v>9</v>
      </c>
      <c r="C53">
        <v>30</v>
      </c>
      <c r="D53">
        <v>403</v>
      </c>
      <c r="E53">
        <v>30</v>
      </c>
      <c r="F53">
        <v>2</v>
      </c>
      <c r="G53">
        <v>301</v>
      </c>
      <c r="H53">
        <v>31</v>
      </c>
      <c r="I53">
        <v>4</v>
      </c>
      <c r="J53">
        <v>0</v>
      </c>
      <c r="K53">
        <v>9</v>
      </c>
      <c r="L53" t="s">
        <v>375</v>
      </c>
      <c r="M53">
        <v>1.1538461538461537</v>
      </c>
      <c r="N53">
        <v>1</v>
      </c>
      <c r="O53">
        <v>1</v>
      </c>
    </row>
    <row r="54" spans="1:15" x14ac:dyDescent="0.3">
      <c r="A54" s="1">
        <v>44176</v>
      </c>
      <c r="B54" s="2" t="s">
        <v>6</v>
      </c>
      <c r="C54">
        <v>58</v>
      </c>
      <c r="D54">
        <v>851</v>
      </c>
      <c r="E54">
        <v>39</v>
      </c>
      <c r="F54">
        <v>9</v>
      </c>
      <c r="G54">
        <v>69</v>
      </c>
      <c r="H54">
        <v>64</v>
      </c>
      <c r="I54">
        <v>-3</v>
      </c>
      <c r="J54">
        <v>-1</v>
      </c>
      <c r="K54">
        <v>51</v>
      </c>
      <c r="L54" t="s">
        <v>375</v>
      </c>
      <c r="M54">
        <v>0.9285714285714286</v>
      </c>
      <c r="N54">
        <v>0.9</v>
      </c>
      <c r="O54">
        <v>1</v>
      </c>
    </row>
    <row r="55" spans="1:15" x14ac:dyDescent="0.3">
      <c r="A55" s="1">
        <v>44176</v>
      </c>
      <c r="B55" s="2" t="s">
        <v>7</v>
      </c>
      <c r="C55">
        <v>72</v>
      </c>
      <c r="D55">
        <v>852</v>
      </c>
      <c r="E55">
        <v>50</v>
      </c>
      <c r="F55">
        <v>11</v>
      </c>
      <c r="G55">
        <v>174</v>
      </c>
      <c r="H55">
        <v>91</v>
      </c>
      <c r="I55">
        <v>-2</v>
      </c>
      <c r="J55">
        <v>4</v>
      </c>
      <c r="K55">
        <v>63</v>
      </c>
      <c r="L55" t="s">
        <v>375</v>
      </c>
      <c r="M55">
        <v>0.96153846153846156</v>
      </c>
      <c r="N55">
        <v>1.5714285714285714</v>
      </c>
      <c r="O55">
        <v>1</v>
      </c>
    </row>
    <row r="56" spans="1:15" x14ac:dyDescent="0.3">
      <c r="A56" s="1">
        <v>44176</v>
      </c>
      <c r="B56" s="2" t="s">
        <v>2</v>
      </c>
      <c r="C56">
        <v>52</v>
      </c>
      <c r="D56">
        <v>1315</v>
      </c>
      <c r="E56">
        <v>51</v>
      </c>
      <c r="F56">
        <v>11</v>
      </c>
      <c r="G56">
        <v>243</v>
      </c>
      <c r="H56">
        <v>53</v>
      </c>
      <c r="I56">
        <v>-9</v>
      </c>
      <c r="J56">
        <v>-1</v>
      </c>
      <c r="K56">
        <v>135</v>
      </c>
      <c r="L56" t="s">
        <v>375</v>
      </c>
      <c r="M56">
        <v>0.85</v>
      </c>
      <c r="N56">
        <v>0.91666666666666663</v>
      </c>
      <c r="O56">
        <v>4</v>
      </c>
    </row>
    <row r="57" spans="1:15" x14ac:dyDescent="0.3">
      <c r="A57" s="1">
        <v>44176</v>
      </c>
      <c r="B57" s="2" t="s">
        <v>3</v>
      </c>
      <c r="C57">
        <v>301</v>
      </c>
      <c r="D57">
        <v>5530</v>
      </c>
      <c r="E57">
        <v>298</v>
      </c>
      <c r="F57">
        <v>54</v>
      </c>
      <c r="G57">
        <v>1303</v>
      </c>
      <c r="H57">
        <v>340</v>
      </c>
      <c r="I57">
        <v>-11</v>
      </c>
      <c r="J57">
        <v>3</v>
      </c>
      <c r="K57">
        <v>484</v>
      </c>
      <c r="L57" t="s">
        <v>375</v>
      </c>
      <c r="M57">
        <v>0.96440129449838186</v>
      </c>
      <c r="N57">
        <v>1.0588235294117647</v>
      </c>
      <c r="O57">
        <v>10</v>
      </c>
    </row>
    <row r="58" spans="1:15" x14ac:dyDescent="0.3">
      <c r="A58" s="1">
        <v>44177</v>
      </c>
      <c r="B58" s="2" t="s">
        <v>4</v>
      </c>
      <c r="C58">
        <v>41</v>
      </c>
      <c r="D58">
        <v>993</v>
      </c>
      <c r="E58">
        <v>74</v>
      </c>
      <c r="F58">
        <v>13</v>
      </c>
      <c r="G58">
        <v>296</v>
      </c>
      <c r="H58">
        <v>42</v>
      </c>
      <c r="I58">
        <v>0</v>
      </c>
      <c r="J58">
        <v>0</v>
      </c>
      <c r="K58">
        <v>66</v>
      </c>
      <c r="L58" t="s">
        <v>376</v>
      </c>
      <c r="M58">
        <v>1</v>
      </c>
      <c r="N58">
        <v>1</v>
      </c>
      <c r="O58">
        <v>0</v>
      </c>
    </row>
    <row r="59" spans="1:15" x14ac:dyDescent="0.3">
      <c r="A59" s="1">
        <v>44177</v>
      </c>
      <c r="B59" s="2" t="s">
        <v>5</v>
      </c>
      <c r="C59">
        <v>26</v>
      </c>
      <c r="D59">
        <v>533</v>
      </c>
      <c r="E59">
        <v>28</v>
      </c>
      <c r="F59">
        <v>4</v>
      </c>
      <c r="G59">
        <v>82</v>
      </c>
      <c r="H59">
        <v>26</v>
      </c>
      <c r="I59">
        <v>-1</v>
      </c>
      <c r="J59">
        <v>0</v>
      </c>
      <c r="K59">
        <v>39</v>
      </c>
      <c r="L59" t="s">
        <v>376</v>
      </c>
      <c r="M59">
        <v>0.96551724137931039</v>
      </c>
      <c r="N59">
        <v>1</v>
      </c>
      <c r="O59">
        <v>1</v>
      </c>
    </row>
    <row r="60" spans="1:15" x14ac:dyDescent="0.3">
      <c r="A60" s="1">
        <v>44177</v>
      </c>
      <c r="B60" s="2" t="s">
        <v>8</v>
      </c>
      <c r="C60">
        <v>24</v>
      </c>
      <c r="D60">
        <v>498</v>
      </c>
      <c r="E60">
        <v>22</v>
      </c>
      <c r="F60">
        <v>4</v>
      </c>
      <c r="G60">
        <v>139</v>
      </c>
      <c r="H60">
        <v>23</v>
      </c>
      <c r="I60">
        <v>-3</v>
      </c>
      <c r="J60">
        <v>0</v>
      </c>
      <c r="K60">
        <v>70</v>
      </c>
      <c r="L60" t="s">
        <v>376</v>
      </c>
      <c r="M60">
        <v>0.88</v>
      </c>
      <c r="N60">
        <v>1</v>
      </c>
      <c r="O60">
        <v>0</v>
      </c>
    </row>
    <row r="61" spans="1:15" x14ac:dyDescent="0.3">
      <c r="A61" s="1">
        <v>44177</v>
      </c>
      <c r="B61" s="2" t="s">
        <v>9</v>
      </c>
      <c r="C61">
        <v>48</v>
      </c>
      <c r="D61">
        <v>424</v>
      </c>
      <c r="E61">
        <v>32</v>
      </c>
      <c r="F61">
        <v>2</v>
      </c>
      <c r="G61">
        <v>301</v>
      </c>
      <c r="H61">
        <v>48</v>
      </c>
      <c r="I61">
        <v>2</v>
      </c>
      <c r="J61">
        <v>0</v>
      </c>
      <c r="K61">
        <v>27</v>
      </c>
      <c r="L61" t="s">
        <v>376</v>
      </c>
      <c r="M61">
        <v>1.0666666666666667</v>
      </c>
      <c r="N61">
        <v>1</v>
      </c>
      <c r="O61">
        <v>0</v>
      </c>
    </row>
    <row r="62" spans="1:15" x14ac:dyDescent="0.3">
      <c r="A62" s="1">
        <v>44177</v>
      </c>
      <c r="B62" s="2" t="s">
        <v>6</v>
      </c>
      <c r="C62">
        <v>63</v>
      </c>
      <c r="D62">
        <v>851</v>
      </c>
      <c r="E62">
        <v>38</v>
      </c>
      <c r="F62">
        <v>8</v>
      </c>
      <c r="G62">
        <v>70</v>
      </c>
      <c r="H62">
        <v>68</v>
      </c>
      <c r="I62">
        <v>-1</v>
      </c>
      <c r="J62">
        <v>-1</v>
      </c>
      <c r="K62">
        <v>67</v>
      </c>
      <c r="L62" t="s">
        <v>376</v>
      </c>
      <c r="M62">
        <v>0.97435897435897434</v>
      </c>
      <c r="N62">
        <v>0.88888888888888884</v>
      </c>
      <c r="O62">
        <v>1</v>
      </c>
    </row>
    <row r="63" spans="1:15" x14ac:dyDescent="0.3">
      <c r="A63" s="1">
        <v>44177</v>
      </c>
      <c r="B63" s="2" t="s">
        <v>7</v>
      </c>
      <c r="C63">
        <v>73</v>
      </c>
      <c r="D63">
        <v>905</v>
      </c>
      <c r="E63">
        <v>56</v>
      </c>
      <c r="F63">
        <v>10</v>
      </c>
      <c r="G63">
        <v>174</v>
      </c>
      <c r="H63">
        <v>96</v>
      </c>
      <c r="I63">
        <v>6</v>
      </c>
      <c r="J63">
        <v>-1</v>
      </c>
      <c r="K63">
        <v>43</v>
      </c>
      <c r="L63" t="s">
        <v>376</v>
      </c>
      <c r="M63">
        <v>1.1200000000000001</v>
      </c>
      <c r="N63">
        <v>0.90909090909090906</v>
      </c>
      <c r="O63">
        <v>0</v>
      </c>
    </row>
    <row r="64" spans="1:15" x14ac:dyDescent="0.3">
      <c r="A64" s="1">
        <v>44177</v>
      </c>
      <c r="B64" s="2" t="s">
        <v>2</v>
      </c>
      <c r="C64">
        <v>98</v>
      </c>
      <c r="D64">
        <v>1317</v>
      </c>
      <c r="E64">
        <v>47</v>
      </c>
      <c r="F64">
        <v>11</v>
      </c>
      <c r="G64">
        <v>244</v>
      </c>
      <c r="H64">
        <v>93</v>
      </c>
      <c r="I64">
        <v>-4</v>
      </c>
      <c r="J64">
        <v>0</v>
      </c>
      <c r="K64">
        <v>90</v>
      </c>
      <c r="L64" t="s">
        <v>376</v>
      </c>
      <c r="M64">
        <v>0.92156862745098034</v>
      </c>
      <c r="N64">
        <v>1</v>
      </c>
      <c r="O64">
        <v>1</v>
      </c>
    </row>
    <row r="65" spans="1:15" x14ac:dyDescent="0.3">
      <c r="A65" s="1">
        <v>44177</v>
      </c>
      <c r="B65" s="2" t="s">
        <v>3</v>
      </c>
      <c r="C65">
        <v>373</v>
      </c>
      <c r="D65">
        <v>5521</v>
      </c>
      <c r="E65">
        <v>297</v>
      </c>
      <c r="F65">
        <v>52</v>
      </c>
      <c r="G65">
        <v>1306</v>
      </c>
      <c r="H65">
        <v>396</v>
      </c>
      <c r="I65">
        <v>-1</v>
      </c>
      <c r="J65">
        <v>-2</v>
      </c>
      <c r="K65">
        <v>402</v>
      </c>
      <c r="L65" t="s">
        <v>376</v>
      </c>
      <c r="M65">
        <v>0.99664429530201337</v>
      </c>
      <c r="N65">
        <v>0.96296296296296291</v>
      </c>
      <c r="O65">
        <v>3</v>
      </c>
    </row>
    <row r="66" spans="1:15" x14ac:dyDescent="0.3">
      <c r="A66" s="1">
        <v>44178</v>
      </c>
      <c r="B66" s="2" t="s">
        <v>4</v>
      </c>
      <c r="C66">
        <v>61</v>
      </c>
      <c r="D66">
        <v>955</v>
      </c>
      <c r="E66">
        <v>75</v>
      </c>
      <c r="F66">
        <v>13</v>
      </c>
      <c r="G66">
        <v>298</v>
      </c>
      <c r="H66">
        <v>65</v>
      </c>
      <c r="I66">
        <v>1</v>
      </c>
      <c r="J66">
        <v>0</v>
      </c>
      <c r="K66">
        <v>101</v>
      </c>
      <c r="L66" t="s">
        <v>377</v>
      </c>
      <c r="M66">
        <v>1.0135135135135136</v>
      </c>
      <c r="N66">
        <v>1</v>
      </c>
      <c r="O66">
        <v>2</v>
      </c>
    </row>
    <row r="67" spans="1:15" x14ac:dyDescent="0.3">
      <c r="A67" s="1">
        <v>44178</v>
      </c>
      <c r="B67" s="2" t="s">
        <v>5</v>
      </c>
      <c r="C67">
        <v>48</v>
      </c>
      <c r="D67">
        <v>563</v>
      </c>
      <c r="E67">
        <v>30</v>
      </c>
      <c r="F67">
        <v>4</v>
      </c>
      <c r="G67">
        <v>84</v>
      </c>
      <c r="H67">
        <v>49</v>
      </c>
      <c r="I67">
        <v>2</v>
      </c>
      <c r="J67">
        <v>0</v>
      </c>
      <c r="K67">
        <v>17</v>
      </c>
      <c r="L67" t="s">
        <v>377</v>
      </c>
      <c r="M67">
        <v>1.0714285714285714</v>
      </c>
      <c r="N67">
        <v>1</v>
      </c>
      <c r="O67">
        <v>2</v>
      </c>
    </row>
    <row r="68" spans="1:15" x14ac:dyDescent="0.3">
      <c r="A68" s="1">
        <v>44178</v>
      </c>
      <c r="B68" s="2" t="s">
        <v>8</v>
      </c>
      <c r="C68">
        <v>18</v>
      </c>
      <c r="D68">
        <v>486</v>
      </c>
      <c r="E68">
        <v>21</v>
      </c>
      <c r="F68">
        <v>6</v>
      </c>
      <c r="G68">
        <v>139</v>
      </c>
      <c r="H68">
        <v>20</v>
      </c>
      <c r="I68">
        <v>-1</v>
      </c>
      <c r="J68">
        <v>2</v>
      </c>
      <c r="K68">
        <v>32</v>
      </c>
      <c r="L68" t="s">
        <v>377</v>
      </c>
      <c r="M68">
        <v>0.95454545454545459</v>
      </c>
      <c r="N68">
        <v>1.5</v>
      </c>
      <c r="O68">
        <v>0</v>
      </c>
    </row>
    <row r="69" spans="1:15" x14ac:dyDescent="0.3">
      <c r="A69" s="1">
        <v>44178</v>
      </c>
      <c r="B69" s="2" t="s">
        <v>9</v>
      </c>
      <c r="C69">
        <v>36</v>
      </c>
      <c r="D69">
        <v>452</v>
      </c>
      <c r="E69">
        <v>36</v>
      </c>
      <c r="F69">
        <v>1</v>
      </c>
      <c r="G69">
        <v>302</v>
      </c>
      <c r="H69">
        <v>41</v>
      </c>
      <c r="I69">
        <v>4</v>
      </c>
      <c r="J69">
        <v>-1</v>
      </c>
      <c r="K69">
        <v>12</v>
      </c>
      <c r="L69" t="s">
        <v>377</v>
      </c>
      <c r="M69">
        <v>1.125</v>
      </c>
      <c r="N69">
        <v>0.5</v>
      </c>
      <c r="O69">
        <v>1</v>
      </c>
    </row>
    <row r="70" spans="1:15" x14ac:dyDescent="0.3">
      <c r="A70" s="1">
        <v>44178</v>
      </c>
      <c r="B70" s="2" t="s">
        <v>6</v>
      </c>
      <c r="C70">
        <v>43</v>
      </c>
      <c r="D70">
        <v>848</v>
      </c>
      <c r="E70">
        <v>42</v>
      </c>
      <c r="F70">
        <v>8</v>
      </c>
      <c r="G70">
        <v>70</v>
      </c>
      <c r="H70">
        <v>52</v>
      </c>
      <c r="I70">
        <v>4</v>
      </c>
      <c r="J70">
        <v>0</v>
      </c>
      <c r="K70">
        <v>55</v>
      </c>
      <c r="L70" t="s">
        <v>377</v>
      </c>
      <c r="M70">
        <v>1.1052631578947369</v>
      </c>
      <c r="N70">
        <v>1</v>
      </c>
      <c r="O70">
        <v>0</v>
      </c>
    </row>
    <row r="71" spans="1:15" x14ac:dyDescent="0.3">
      <c r="A71" s="1">
        <v>44178</v>
      </c>
      <c r="B71" s="2" t="s">
        <v>7</v>
      </c>
      <c r="C71">
        <v>70</v>
      </c>
      <c r="D71">
        <v>952</v>
      </c>
      <c r="E71">
        <v>62</v>
      </c>
      <c r="F71">
        <v>11</v>
      </c>
      <c r="G71">
        <v>174</v>
      </c>
      <c r="H71">
        <v>88</v>
      </c>
      <c r="I71">
        <v>6</v>
      </c>
      <c r="J71">
        <v>1</v>
      </c>
      <c r="K71">
        <v>41</v>
      </c>
      <c r="L71" t="s">
        <v>377</v>
      </c>
      <c r="M71">
        <v>1.1071428571428572</v>
      </c>
      <c r="N71">
        <v>1.1000000000000001</v>
      </c>
      <c r="O71">
        <v>0</v>
      </c>
    </row>
    <row r="72" spans="1:15" x14ac:dyDescent="0.3">
      <c r="A72" s="1">
        <v>44178</v>
      </c>
      <c r="B72" s="2" t="s">
        <v>2</v>
      </c>
      <c r="C72">
        <v>47</v>
      </c>
      <c r="D72">
        <v>1304</v>
      </c>
      <c r="E72">
        <v>44</v>
      </c>
      <c r="F72">
        <v>12</v>
      </c>
      <c r="G72">
        <v>245</v>
      </c>
      <c r="H72">
        <v>56</v>
      </c>
      <c r="I72">
        <v>-3</v>
      </c>
      <c r="J72">
        <v>1</v>
      </c>
      <c r="K72">
        <v>68</v>
      </c>
      <c r="L72" t="s">
        <v>377</v>
      </c>
      <c r="M72">
        <v>0.93617021276595747</v>
      </c>
      <c r="N72">
        <v>1.0909090909090908</v>
      </c>
      <c r="O72">
        <v>1</v>
      </c>
    </row>
    <row r="73" spans="1:15" x14ac:dyDescent="0.3">
      <c r="A73" s="1">
        <v>44178</v>
      </c>
      <c r="B73" s="2" t="s">
        <v>3</v>
      </c>
      <c r="C73">
        <v>323</v>
      </c>
      <c r="D73">
        <v>5560</v>
      </c>
      <c r="E73">
        <v>310</v>
      </c>
      <c r="F73">
        <v>55</v>
      </c>
      <c r="G73">
        <v>1312</v>
      </c>
      <c r="H73">
        <v>371</v>
      </c>
      <c r="I73">
        <v>13</v>
      </c>
      <c r="J73">
        <v>3</v>
      </c>
      <c r="K73">
        <v>326</v>
      </c>
      <c r="L73" t="s">
        <v>377</v>
      </c>
      <c r="M73">
        <v>1.0437710437710437</v>
      </c>
      <c r="N73">
        <v>1.0576923076923077</v>
      </c>
      <c r="O73">
        <v>6</v>
      </c>
    </row>
    <row r="74" spans="1:15" x14ac:dyDescent="0.3">
      <c r="A74" s="1">
        <v>44179</v>
      </c>
      <c r="B74" s="2" t="s">
        <v>4</v>
      </c>
      <c r="C74">
        <v>17</v>
      </c>
      <c r="D74">
        <v>929</v>
      </c>
      <c r="E74">
        <v>72</v>
      </c>
      <c r="F74">
        <v>14</v>
      </c>
      <c r="G74">
        <v>300</v>
      </c>
      <c r="H74">
        <v>21</v>
      </c>
      <c r="I74">
        <v>-3</v>
      </c>
      <c r="J74">
        <v>1</v>
      </c>
      <c r="K74">
        <v>45</v>
      </c>
      <c r="L74" t="s">
        <v>378</v>
      </c>
      <c r="M74">
        <v>0.96</v>
      </c>
      <c r="N74">
        <v>1.0769230769230769</v>
      </c>
      <c r="O74">
        <v>2</v>
      </c>
    </row>
    <row r="75" spans="1:15" x14ac:dyDescent="0.3">
      <c r="A75" s="1">
        <v>44179</v>
      </c>
      <c r="B75" s="2" t="s">
        <v>5</v>
      </c>
      <c r="C75">
        <v>18</v>
      </c>
      <c r="D75">
        <v>562</v>
      </c>
      <c r="E75">
        <v>30</v>
      </c>
      <c r="F75">
        <v>5</v>
      </c>
      <c r="G75">
        <v>84</v>
      </c>
      <c r="H75">
        <v>18</v>
      </c>
      <c r="I75">
        <v>0</v>
      </c>
      <c r="J75">
        <v>1</v>
      </c>
      <c r="K75">
        <v>19</v>
      </c>
      <c r="L75" t="s">
        <v>378</v>
      </c>
      <c r="M75">
        <v>1</v>
      </c>
      <c r="N75">
        <v>1.25</v>
      </c>
      <c r="O75">
        <v>0</v>
      </c>
    </row>
    <row r="76" spans="1:15" x14ac:dyDescent="0.3">
      <c r="A76" s="1">
        <v>44179</v>
      </c>
      <c r="B76" s="2" t="s">
        <v>8</v>
      </c>
      <c r="C76">
        <v>10</v>
      </c>
      <c r="D76">
        <v>470</v>
      </c>
      <c r="E76">
        <v>20</v>
      </c>
      <c r="F76">
        <v>6</v>
      </c>
      <c r="G76">
        <v>140</v>
      </c>
      <c r="H76">
        <v>13</v>
      </c>
      <c r="I76">
        <v>-1</v>
      </c>
      <c r="J76">
        <v>0</v>
      </c>
      <c r="K76">
        <v>28</v>
      </c>
      <c r="L76" t="s">
        <v>378</v>
      </c>
      <c r="M76">
        <v>0.95238095238095233</v>
      </c>
      <c r="N76">
        <v>1</v>
      </c>
      <c r="O76">
        <v>1</v>
      </c>
    </row>
    <row r="77" spans="1:15" x14ac:dyDescent="0.3">
      <c r="A77" s="1">
        <v>44179</v>
      </c>
      <c r="B77" s="2" t="s">
        <v>9</v>
      </c>
      <c r="C77">
        <v>9</v>
      </c>
      <c r="D77">
        <v>436</v>
      </c>
      <c r="E77">
        <v>38</v>
      </c>
      <c r="F77">
        <v>1</v>
      </c>
      <c r="G77">
        <v>303</v>
      </c>
      <c r="H77">
        <v>12</v>
      </c>
      <c r="I77">
        <v>2</v>
      </c>
      <c r="J77">
        <v>0</v>
      </c>
      <c r="K77">
        <v>27</v>
      </c>
      <c r="L77" t="s">
        <v>378</v>
      </c>
      <c r="M77">
        <v>1.0555555555555556</v>
      </c>
      <c r="N77">
        <v>1</v>
      </c>
      <c r="O77">
        <v>1</v>
      </c>
    </row>
    <row r="78" spans="1:15" x14ac:dyDescent="0.3">
      <c r="A78" s="1">
        <v>44179</v>
      </c>
      <c r="B78" s="2" t="s">
        <v>6</v>
      </c>
      <c r="C78">
        <v>70</v>
      </c>
      <c r="D78">
        <v>867</v>
      </c>
      <c r="E78">
        <v>44</v>
      </c>
      <c r="F78">
        <v>8</v>
      </c>
      <c r="G78">
        <v>71</v>
      </c>
      <c r="H78">
        <v>82</v>
      </c>
      <c r="I78">
        <v>2</v>
      </c>
      <c r="J78">
        <v>0</v>
      </c>
      <c r="K78">
        <v>63</v>
      </c>
      <c r="L78" t="s">
        <v>378</v>
      </c>
      <c r="M78">
        <v>1.0476190476190477</v>
      </c>
      <c r="N78">
        <v>1</v>
      </c>
      <c r="O78">
        <v>1</v>
      </c>
    </row>
    <row r="79" spans="1:15" x14ac:dyDescent="0.3">
      <c r="A79" s="1">
        <v>44179</v>
      </c>
      <c r="B79" s="2" t="s">
        <v>7</v>
      </c>
      <c r="C79">
        <v>56</v>
      </c>
      <c r="D79">
        <v>1005</v>
      </c>
      <c r="E79">
        <v>67</v>
      </c>
      <c r="F79">
        <v>8</v>
      </c>
      <c r="G79">
        <v>175</v>
      </c>
      <c r="H79">
        <v>78</v>
      </c>
      <c r="I79">
        <v>5</v>
      </c>
      <c r="J79">
        <v>-3</v>
      </c>
      <c r="K79">
        <v>24</v>
      </c>
      <c r="L79" t="s">
        <v>378</v>
      </c>
      <c r="M79">
        <v>1.0806451612903225</v>
      </c>
      <c r="N79">
        <v>0.72727272727272729</v>
      </c>
      <c r="O79">
        <v>1</v>
      </c>
    </row>
    <row r="80" spans="1:15" x14ac:dyDescent="0.3">
      <c r="A80" s="1">
        <v>44179</v>
      </c>
      <c r="B80" s="2" t="s">
        <v>2</v>
      </c>
      <c r="C80">
        <v>47</v>
      </c>
      <c r="D80">
        <v>1329</v>
      </c>
      <c r="E80">
        <v>48</v>
      </c>
      <c r="F80">
        <v>14</v>
      </c>
      <c r="G80">
        <v>246</v>
      </c>
      <c r="H80">
        <v>50</v>
      </c>
      <c r="I80">
        <v>4</v>
      </c>
      <c r="J80">
        <v>2</v>
      </c>
      <c r="K80">
        <v>24</v>
      </c>
      <c r="L80" t="s">
        <v>378</v>
      </c>
      <c r="M80">
        <v>1.0909090909090908</v>
      </c>
      <c r="N80">
        <v>1.1666666666666667</v>
      </c>
      <c r="O80">
        <v>1</v>
      </c>
    </row>
    <row r="81" spans="1:15" x14ac:dyDescent="0.3">
      <c r="A81" s="1">
        <v>44179</v>
      </c>
      <c r="B81" s="2" t="s">
        <v>3</v>
      </c>
      <c r="C81">
        <v>227</v>
      </c>
      <c r="D81">
        <v>5598</v>
      </c>
      <c r="E81">
        <v>319</v>
      </c>
      <c r="F81">
        <v>56</v>
      </c>
      <c r="G81">
        <v>1319</v>
      </c>
      <c r="H81">
        <v>274</v>
      </c>
      <c r="I81">
        <v>9</v>
      </c>
      <c r="J81">
        <v>1</v>
      </c>
      <c r="K81">
        <v>230</v>
      </c>
      <c r="L81" t="s">
        <v>378</v>
      </c>
      <c r="M81">
        <v>1.0290322580645161</v>
      </c>
      <c r="N81">
        <v>1.0181818181818181</v>
      </c>
      <c r="O81">
        <v>7</v>
      </c>
    </row>
    <row r="82" spans="1:15" x14ac:dyDescent="0.3">
      <c r="A82" s="1">
        <v>44180</v>
      </c>
      <c r="B82" s="2" t="s">
        <v>4</v>
      </c>
      <c r="C82">
        <v>40</v>
      </c>
      <c r="D82">
        <v>907</v>
      </c>
      <c r="E82">
        <v>63</v>
      </c>
      <c r="F82">
        <v>13</v>
      </c>
      <c r="G82">
        <v>301</v>
      </c>
      <c r="H82">
        <v>45</v>
      </c>
      <c r="I82">
        <v>-9</v>
      </c>
      <c r="J82">
        <v>-1</v>
      </c>
      <c r="K82">
        <v>66</v>
      </c>
      <c r="L82" t="s">
        <v>379</v>
      </c>
      <c r="M82">
        <v>0.875</v>
      </c>
      <c r="N82">
        <v>0.9285714285714286</v>
      </c>
      <c r="O82">
        <v>1</v>
      </c>
    </row>
    <row r="83" spans="1:15" x14ac:dyDescent="0.3">
      <c r="A83" s="1">
        <v>44180</v>
      </c>
      <c r="B83" s="2" t="s">
        <v>5</v>
      </c>
      <c r="C83">
        <v>32</v>
      </c>
      <c r="D83">
        <v>570</v>
      </c>
      <c r="E83">
        <v>30</v>
      </c>
      <c r="F83">
        <v>4</v>
      </c>
      <c r="G83">
        <v>84</v>
      </c>
      <c r="H83">
        <v>34</v>
      </c>
      <c r="I83">
        <v>0</v>
      </c>
      <c r="J83">
        <v>-1</v>
      </c>
      <c r="K83">
        <v>26</v>
      </c>
      <c r="L83" t="s">
        <v>379</v>
      </c>
      <c r="M83">
        <v>1</v>
      </c>
      <c r="N83">
        <v>0.8</v>
      </c>
      <c r="O83">
        <v>0</v>
      </c>
    </row>
    <row r="84" spans="1:15" x14ac:dyDescent="0.3">
      <c r="A84" s="1">
        <v>44180</v>
      </c>
      <c r="B84" s="2" t="s">
        <v>8</v>
      </c>
      <c r="C84">
        <v>34</v>
      </c>
      <c r="D84">
        <v>462</v>
      </c>
      <c r="E84">
        <v>18</v>
      </c>
      <c r="F84">
        <v>6</v>
      </c>
      <c r="G84">
        <v>140</v>
      </c>
      <c r="H84">
        <v>33</v>
      </c>
      <c r="I84">
        <v>-2</v>
      </c>
      <c r="J84">
        <v>0</v>
      </c>
      <c r="K84">
        <v>41</v>
      </c>
      <c r="L84" t="s">
        <v>379</v>
      </c>
      <c r="M84">
        <v>0.9</v>
      </c>
      <c r="N84">
        <v>1</v>
      </c>
      <c r="O84">
        <v>0</v>
      </c>
    </row>
    <row r="85" spans="1:15" x14ac:dyDescent="0.3">
      <c r="A85" s="1">
        <v>44180</v>
      </c>
      <c r="B85" s="2" t="s">
        <v>9</v>
      </c>
      <c r="C85">
        <v>28</v>
      </c>
      <c r="D85">
        <v>448</v>
      </c>
      <c r="E85">
        <v>35</v>
      </c>
      <c r="F85">
        <v>2</v>
      </c>
      <c r="G85">
        <v>303</v>
      </c>
      <c r="H85">
        <v>28</v>
      </c>
      <c r="I85">
        <v>-3</v>
      </c>
      <c r="J85">
        <v>1</v>
      </c>
      <c r="K85">
        <v>16</v>
      </c>
      <c r="L85" t="s">
        <v>379</v>
      </c>
      <c r="M85">
        <v>0.92105263157894735</v>
      </c>
      <c r="N85">
        <v>2</v>
      </c>
      <c r="O85">
        <v>0</v>
      </c>
    </row>
    <row r="86" spans="1:15" x14ac:dyDescent="0.3">
      <c r="A86" s="1">
        <v>44180</v>
      </c>
      <c r="B86" s="2" t="s">
        <v>6</v>
      </c>
      <c r="C86">
        <v>29</v>
      </c>
      <c r="D86">
        <v>869</v>
      </c>
      <c r="E86">
        <v>44</v>
      </c>
      <c r="F86">
        <v>8</v>
      </c>
      <c r="G86">
        <v>72</v>
      </c>
      <c r="H86">
        <v>45</v>
      </c>
      <c r="I86">
        <v>0</v>
      </c>
      <c r="J86">
        <v>0</v>
      </c>
      <c r="K86">
        <v>42</v>
      </c>
      <c r="L86" t="s">
        <v>379</v>
      </c>
      <c r="M86">
        <v>1</v>
      </c>
      <c r="N86">
        <v>1</v>
      </c>
      <c r="O86">
        <v>1</v>
      </c>
    </row>
    <row r="87" spans="1:15" x14ac:dyDescent="0.3">
      <c r="A87" s="1">
        <v>44180</v>
      </c>
      <c r="B87" s="2" t="s">
        <v>7</v>
      </c>
      <c r="C87">
        <v>101</v>
      </c>
      <c r="D87">
        <v>1054</v>
      </c>
      <c r="E87">
        <v>64</v>
      </c>
      <c r="F87">
        <v>7</v>
      </c>
      <c r="G87">
        <v>175</v>
      </c>
      <c r="H87">
        <v>118</v>
      </c>
      <c r="I87">
        <v>-3</v>
      </c>
      <c r="J87">
        <v>-1</v>
      </c>
      <c r="K87">
        <v>69</v>
      </c>
      <c r="L87" t="s">
        <v>379</v>
      </c>
      <c r="M87">
        <v>0.95522388059701491</v>
      </c>
      <c r="N87">
        <v>0.875</v>
      </c>
      <c r="O87">
        <v>0</v>
      </c>
    </row>
    <row r="88" spans="1:15" x14ac:dyDescent="0.3">
      <c r="A88" s="1">
        <v>44180</v>
      </c>
      <c r="B88" s="2" t="s">
        <v>2</v>
      </c>
      <c r="C88">
        <v>116</v>
      </c>
      <c r="D88">
        <v>1343</v>
      </c>
      <c r="E88">
        <v>47</v>
      </c>
      <c r="F88">
        <v>13</v>
      </c>
      <c r="G88">
        <v>248</v>
      </c>
      <c r="H88">
        <v>121</v>
      </c>
      <c r="I88">
        <v>-1</v>
      </c>
      <c r="J88">
        <v>-1</v>
      </c>
      <c r="K88">
        <v>105</v>
      </c>
      <c r="L88" t="s">
        <v>379</v>
      </c>
      <c r="M88">
        <v>0.97916666666666663</v>
      </c>
      <c r="N88">
        <v>0.9285714285714286</v>
      </c>
      <c r="O88">
        <v>2</v>
      </c>
    </row>
    <row r="89" spans="1:15" x14ac:dyDescent="0.3">
      <c r="A89" s="1">
        <v>44180</v>
      </c>
      <c r="B89" s="2" t="s">
        <v>3</v>
      </c>
      <c r="C89">
        <v>380</v>
      </c>
      <c r="D89">
        <v>5653</v>
      </c>
      <c r="E89">
        <v>301</v>
      </c>
      <c r="F89">
        <v>53</v>
      </c>
      <c r="G89">
        <v>1323</v>
      </c>
      <c r="H89">
        <v>424</v>
      </c>
      <c r="I89">
        <v>-18</v>
      </c>
      <c r="J89">
        <v>-3</v>
      </c>
      <c r="K89">
        <v>365</v>
      </c>
      <c r="L89" t="s">
        <v>379</v>
      </c>
      <c r="M89">
        <v>0.94357366771159878</v>
      </c>
      <c r="N89">
        <v>0.9464285714285714</v>
      </c>
      <c r="O89">
        <v>4</v>
      </c>
    </row>
    <row r="90" spans="1:15" x14ac:dyDescent="0.3">
      <c r="A90" s="1">
        <v>44181</v>
      </c>
      <c r="B90" s="2" t="s">
        <v>4</v>
      </c>
      <c r="C90">
        <v>53</v>
      </c>
      <c r="D90">
        <v>899</v>
      </c>
      <c r="E90">
        <v>69</v>
      </c>
      <c r="F90">
        <v>12</v>
      </c>
      <c r="G90">
        <v>303</v>
      </c>
      <c r="H90">
        <v>61</v>
      </c>
      <c r="I90">
        <v>6</v>
      </c>
      <c r="J90">
        <v>-1</v>
      </c>
      <c r="K90">
        <v>67</v>
      </c>
      <c r="L90" t="s">
        <v>380</v>
      </c>
      <c r="M90">
        <v>1.0952380952380953</v>
      </c>
      <c r="N90">
        <v>0.92307692307692313</v>
      </c>
      <c r="O90">
        <v>2</v>
      </c>
    </row>
    <row r="91" spans="1:15" x14ac:dyDescent="0.3">
      <c r="A91" s="1">
        <v>44181</v>
      </c>
      <c r="B91" s="2" t="s">
        <v>5</v>
      </c>
      <c r="C91">
        <v>15</v>
      </c>
      <c r="D91">
        <v>555</v>
      </c>
      <c r="E91">
        <v>28</v>
      </c>
      <c r="F91">
        <v>4</v>
      </c>
      <c r="G91">
        <v>84</v>
      </c>
      <c r="H91">
        <v>16</v>
      </c>
      <c r="I91">
        <v>-2</v>
      </c>
      <c r="J91">
        <v>0</v>
      </c>
      <c r="K91">
        <v>31</v>
      </c>
      <c r="L91" t="s">
        <v>380</v>
      </c>
      <c r="M91">
        <v>0.93333333333333335</v>
      </c>
      <c r="N91">
        <v>1</v>
      </c>
      <c r="O91">
        <v>0</v>
      </c>
    </row>
    <row r="92" spans="1:15" x14ac:dyDescent="0.3">
      <c r="A92" s="1">
        <v>44181</v>
      </c>
      <c r="B92" s="2" t="s">
        <v>8</v>
      </c>
      <c r="C92">
        <v>15</v>
      </c>
      <c r="D92">
        <v>433</v>
      </c>
      <c r="E92">
        <v>18</v>
      </c>
      <c r="F92">
        <v>5</v>
      </c>
      <c r="G92">
        <v>141</v>
      </c>
      <c r="H92">
        <v>23</v>
      </c>
      <c r="I92">
        <v>0</v>
      </c>
      <c r="J92">
        <v>-1</v>
      </c>
      <c r="K92">
        <v>51</v>
      </c>
      <c r="L92" t="s">
        <v>380</v>
      </c>
      <c r="M92">
        <v>1</v>
      </c>
      <c r="N92">
        <v>0.83333333333333337</v>
      </c>
      <c r="O92">
        <v>1</v>
      </c>
    </row>
    <row r="93" spans="1:15" x14ac:dyDescent="0.3">
      <c r="A93" s="1">
        <v>44181</v>
      </c>
      <c r="B93" s="2" t="s">
        <v>9</v>
      </c>
      <c r="C93">
        <v>42</v>
      </c>
      <c r="D93">
        <v>458</v>
      </c>
      <c r="E93">
        <v>36</v>
      </c>
      <c r="F93">
        <v>1</v>
      </c>
      <c r="G93">
        <v>303</v>
      </c>
      <c r="H93">
        <v>41</v>
      </c>
      <c r="I93">
        <v>1</v>
      </c>
      <c r="J93">
        <v>-1</v>
      </c>
      <c r="K93">
        <v>32</v>
      </c>
      <c r="L93" t="s">
        <v>380</v>
      </c>
      <c r="M93">
        <v>1.0285714285714285</v>
      </c>
      <c r="N93">
        <v>0.5</v>
      </c>
      <c r="O93">
        <v>0</v>
      </c>
    </row>
    <row r="94" spans="1:15" x14ac:dyDescent="0.3">
      <c r="A94" s="1">
        <v>44181</v>
      </c>
      <c r="B94" s="2" t="s">
        <v>6</v>
      </c>
      <c r="C94">
        <v>49</v>
      </c>
      <c r="D94">
        <v>865</v>
      </c>
      <c r="E94">
        <v>44</v>
      </c>
      <c r="F94">
        <v>9</v>
      </c>
      <c r="G94">
        <v>72</v>
      </c>
      <c r="H94">
        <v>61</v>
      </c>
      <c r="I94">
        <v>0</v>
      </c>
      <c r="J94">
        <v>1</v>
      </c>
      <c r="K94">
        <v>65</v>
      </c>
      <c r="L94" t="s">
        <v>380</v>
      </c>
      <c r="M94">
        <v>1</v>
      </c>
      <c r="N94">
        <v>1.125</v>
      </c>
      <c r="O94">
        <v>0</v>
      </c>
    </row>
    <row r="95" spans="1:15" x14ac:dyDescent="0.3">
      <c r="A95" s="1">
        <v>44181</v>
      </c>
      <c r="B95" s="2" t="s">
        <v>7</v>
      </c>
      <c r="C95">
        <v>91</v>
      </c>
      <c r="D95">
        <v>1100</v>
      </c>
      <c r="E95">
        <v>62</v>
      </c>
      <c r="F95">
        <v>6</v>
      </c>
      <c r="G95">
        <v>175</v>
      </c>
      <c r="H95">
        <v>110</v>
      </c>
      <c r="I95">
        <v>-2</v>
      </c>
      <c r="J95">
        <v>-1</v>
      </c>
      <c r="K95">
        <v>63</v>
      </c>
      <c r="L95" t="s">
        <v>380</v>
      </c>
      <c r="M95">
        <v>0.96875</v>
      </c>
      <c r="N95">
        <v>0.8571428571428571</v>
      </c>
      <c r="O95">
        <v>0</v>
      </c>
    </row>
    <row r="96" spans="1:15" x14ac:dyDescent="0.3">
      <c r="A96" s="1">
        <v>44181</v>
      </c>
      <c r="B96" s="2" t="s">
        <v>2</v>
      </c>
      <c r="C96">
        <v>92</v>
      </c>
      <c r="D96">
        <v>1308</v>
      </c>
      <c r="E96">
        <v>45</v>
      </c>
      <c r="F96">
        <v>13</v>
      </c>
      <c r="G96">
        <v>249</v>
      </c>
      <c r="H96">
        <v>95</v>
      </c>
      <c r="I96">
        <v>-2</v>
      </c>
      <c r="J96">
        <v>0</v>
      </c>
      <c r="K96">
        <v>129</v>
      </c>
      <c r="L96" t="s">
        <v>380</v>
      </c>
      <c r="M96">
        <v>0.95744680851063835</v>
      </c>
      <c r="N96">
        <v>1</v>
      </c>
      <c r="O96">
        <v>1</v>
      </c>
    </row>
    <row r="97" spans="1:15" x14ac:dyDescent="0.3">
      <c r="A97" s="1">
        <v>44181</v>
      </c>
      <c r="B97" s="2" t="s">
        <v>3</v>
      </c>
      <c r="C97">
        <v>357</v>
      </c>
      <c r="D97">
        <v>5618</v>
      </c>
      <c r="E97">
        <v>302</v>
      </c>
      <c r="F97">
        <v>50</v>
      </c>
      <c r="G97">
        <v>1327</v>
      </c>
      <c r="H97">
        <v>407</v>
      </c>
      <c r="I97">
        <v>1</v>
      </c>
      <c r="J97">
        <v>-3</v>
      </c>
      <c r="K97">
        <v>438</v>
      </c>
      <c r="L97" t="s">
        <v>380</v>
      </c>
      <c r="M97">
        <v>1.0033222591362125</v>
      </c>
      <c r="N97">
        <v>0.94339622641509435</v>
      </c>
      <c r="O97">
        <v>4</v>
      </c>
    </row>
    <row r="98" spans="1:15" x14ac:dyDescent="0.3">
      <c r="A98" s="1">
        <v>44182</v>
      </c>
      <c r="B98" s="2" t="s">
        <v>4</v>
      </c>
      <c r="C98">
        <v>46</v>
      </c>
      <c r="D98">
        <v>861</v>
      </c>
      <c r="E98">
        <v>64</v>
      </c>
      <c r="F98">
        <v>14</v>
      </c>
      <c r="G98">
        <v>305</v>
      </c>
      <c r="H98">
        <v>44</v>
      </c>
      <c r="I98">
        <v>-5</v>
      </c>
      <c r="J98">
        <v>2</v>
      </c>
      <c r="K98">
        <v>80</v>
      </c>
      <c r="L98" t="s">
        <v>381</v>
      </c>
      <c r="M98">
        <v>0.92753623188405798</v>
      </c>
      <c r="N98">
        <v>1.1666666666666667</v>
      </c>
      <c r="O98">
        <v>2</v>
      </c>
    </row>
    <row r="99" spans="1:15" x14ac:dyDescent="0.3">
      <c r="A99" s="1">
        <v>44182</v>
      </c>
      <c r="B99" s="2" t="s">
        <v>5</v>
      </c>
      <c r="C99">
        <v>29</v>
      </c>
      <c r="D99">
        <v>556</v>
      </c>
      <c r="E99">
        <v>30</v>
      </c>
      <c r="F99">
        <v>5</v>
      </c>
      <c r="G99">
        <v>84</v>
      </c>
      <c r="H99">
        <v>29</v>
      </c>
      <c r="I99">
        <v>2</v>
      </c>
      <c r="J99">
        <v>1</v>
      </c>
      <c r="K99">
        <v>28</v>
      </c>
      <c r="L99" t="s">
        <v>381</v>
      </c>
      <c r="M99">
        <v>1.0714285714285714</v>
      </c>
      <c r="N99">
        <v>1.25</v>
      </c>
      <c r="O99">
        <v>0</v>
      </c>
    </row>
    <row r="100" spans="1:15" x14ac:dyDescent="0.3">
      <c r="A100" s="1">
        <v>44182</v>
      </c>
      <c r="B100" s="2" t="s">
        <v>8</v>
      </c>
      <c r="C100">
        <v>7</v>
      </c>
      <c r="D100">
        <v>401</v>
      </c>
      <c r="E100">
        <v>17</v>
      </c>
      <c r="F100">
        <v>6</v>
      </c>
      <c r="G100">
        <v>141</v>
      </c>
      <c r="H100">
        <v>13</v>
      </c>
      <c r="I100">
        <v>-1</v>
      </c>
      <c r="J100">
        <v>1</v>
      </c>
      <c r="K100">
        <v>44</v>
      </c>
      <c r="L100" t="s">
        <v>381</v>
      </c>
      <c r="M100">
        <v>0.94444444444444442</v>
      </c>
      <c r="N100">
        <v>1.2</v>
      </c>
      <c r="O100">
        <v>0</v>
      </c>
    </row>
    <row r="101" spans="1:15" x14ac:dyDescent="0.3">
      <c r="A101" s="1">
        <v>44182</v>
      </c>
      <c r="B101" s="2" t="s">
        <v>9</v>
      </c>
      <c r="C101">
        <v>49</v>
      </c>
      <c r="D101">
        <v>480</v>
      </c>
      <c r="E101">
        <v>36</v>
      </c>
      <c r="F101">
        <v>2</v>
      </c>
      <c r="G101">
        <v>304</v>
      </c>
      <c r="H101">
        <v>51</v>
      </c>
      <c r="I101">
        <v>0</v>
      </c>
      <c r="J101">
        <v>1</v>
      </c>
      <c r="K101">
        <v>28</v>
      </c>
      <c r="L101" t="s">
        <v>381</v>
      </c>
      <c r="M101">
        <v>1</v>
      </c>
      <c r="N101">
        <v>2</v>
      </c>
      <c r="O101">
        <v>1</v>
      </c>
    </row>
    <row r="102" spans="1:15" x14ac:dyDescent="0.3">
      <c r="A102" s="1">
        <v>44182</v>
      </c>
      <c r="B102" s="2" t="s">
        <v>6</v>
      </c>
      <c r="C102">
        <v>62</v>
      </c>
      <c r="D102">
        <v>897</v>
      </c>
      <c r="E102">
        <v>46</v>
      </c>
      <c r="F102">
        <v>9</v>
      </c>
      <c r="G102">
        <v>72</v>
      </c>
      <c r="H102">
        <v>72</v>
      </c>
      <c r="I102">
        <v>2</v>
      </c>
      <c r="J102">
        <v>0</v>
      </c>
      <c r="K102">
        <v>40</v>
      </c>
      <c r="L102" t="s">
        <v>381</v>
      </c>
      <c r="M102">
        <v>1.0454545454545454</v>
      </c>
      <c r="N102">
        <v>1</v>
      </c>
      <c r="O102">
        <v>0</v>
      </c>
    </row>
    <row r="103" spans="1:15" x14ac:dyDescent="0.3">
      <c r="A103" s="1">
        <v>44182</v>
      </c>
      <c r="B103" s="2" t="s">
        <v>7</v>
      </c>
      <c r="C103">
        <v>84</v>
      </c>
      <c r="D103">
        <v>1144</v>
      </c>
      <c r="E103">
        <v>63</v>
      </c>
      <c r="F103">
        <v>6</v>
      </c>
      <c r="G103">
        <v>176</v>
      </c>
      <c r="H103">
        <v>104</v>
      </c>
      <c r="I103">
        <v>1</v>
      </c>
      <c r="J103">
        <v>0</v>
      </c>
      <c r="K103">
        <v>60</v>
      </c>
      <c r="L103" t="s">
        <v>381</v>
      </c>
      <c r="M103">
        <v>1.0161290322580645</v>
      </c>
      <c r="N103">
        <v>1</v>
      </c>
      <c r="O103">
        <v>1</v>
      </c>
    </row>
    <row r="104" spans="1:15" x14ac:dyDescent="0.3">
      <c r="A104" s="1">
        <v>44182</v>
      </c>
      <c r="B104" s="2" t="s">
        <v>2</v>
      </c>
      <c r="C104">
        <v>90</v>
      </c>
      <c r="D104">
        <v>1302</v>
      </c>
      <c r="E104">
        <v>53</v>
      </c>
      <c r="F104">
        <v>13</v>
      </c>
      <c r="G104">
        <v>250</v>
      </c>
      <c r="H104">
        <v>95</v>
      </c>
      <c r="I104">
        <v>8</v>
      </c>
      <c r="J104">
        <v>0</v>
      </c>
      <c r="K104">
        <v>100</v>
      </c>
      <c r="L104" t="s">
        <v>381</v>
      </c>
      <c r="M104">
        <v>1.1777777777777778</v>
      </c>
      <c r="N104">
        <v>1</v>
      </c>
      <c r="O104">
        <v>1</v>
      </c>
    </row>
    <row r="105" spans="1:15" x14ac:dyDescent="0.3">
      <c r="A105" s="1">
        <v>44182</v>
      </c>
      <c r="B105" s="2" t="s">
        <v>3</v>
      </c>
      <c r="C105">
        <v>367</v>
      </c>
      <c r="D105">
        <v>5641</v>
      </c>
      <c r="E105">
        <v>309</v>
      </c>
      <c r="F105">
        <v>55</v>
      </c>
      <c r="G105">
        <v>1332</v>
      </c>
      <c r="H105">
        <v>408</v>
      </c>
      <c r="I105">
        <v>7</v>
      </c>
      <c r="J105">
        <v>5</v>
      </c>
      <c r="K105">
        <v>380</v>
      </c>
      <c r="L105" t="s">
        <v>381</v>
      </c>
      <c r="M105">
        <v>1.0231788079470199</v>
      </c>
      <c r="N105">
        <v>1.1000000000000001</v>
      </c>
      <c r="O105">
        <v>5</v>
      </c>
    </row>
    <row r="106" spans="1:15" x14ac:dyDescent="0.3">
      <c r="A106" s="1">
        <v>44183</v>
      </c>
      <c r="B106" s="2" t="s">
        <v>4</v>
      </c>
      <c r="C106">
        <v>69</v>
      </c>
      <c r="D106">
        <v>870</v>
      </c>
      <c r="E106">
        <v>58</v>
      </c>
      <c r="F106">
        <v>14</v>
      </c>
      <c r="G106">
        <v>305</v>
      </c>
      <c r="H106">
        <v>77</v>
      </c>
      <c r="I106">
        <v>-6</v>
      </c>
      <c r="J106">
        <v>0</v>
      </c>
      <c r="K106">
        <v>68</v>
      </c>
      <c r="L106" t="s">
        <v>382</v>
      </c>
      <c r="M106">
        <v>0.90625</v>
      </c>
      <c r="N106">
        <v>1</v>
      </c>
      <c r="O106">
        <v>0</v>
      </c>
    </row>
    <row r="107" spans="1:15" x14ac:dyDescent="0.3">
      <c r="A107" s="1">
        <v>44183</v>
      </c>
      <c r="B107" s="2" t="s">
        <v>5</v>
      </c>
      <c r="C107">
        <v>9</v>
      </c>
      <c r="D107">
        <v>534</v>
      </c>
      <c r="E107">
        <v>31</v>
      </c>
      <c r="F107">
        <v>6</v>
      </c>
      <c r="G107">
        <v>84</v>
      </c>
      <c r="H107">
        <v>10</v>
      </c>
      <c r="I107">
        <v>1</v>
      </c>
      <c r="J107">
        <v>1</v>
      </c>
      <c r="K107">
        <v>32</v>
      </c>
      <c r="L107" t="s">
        <v>382</v>
      </c>
      <c r="M107">
        <v>1.0333333333333334</v>
      </c>
      <c r="N107">
        <v>1.2</v>
      </c>
      <c r="O107">
        <v>0</v>
      </c>
    </row>
    <row r="108" spans="1:15" x14ac:dyDescent="0.3">
      <c r="A108" s="1">
        <v>44183</v>
      </c>
      <c r="B108" s="2" t="s">
        <v>8</v>
      </c>
      <c r="C108">
        <v>32</v>
      </c>
      <c r="D108">
        <v>404</v>
      </c>
      <c r="E108">
        <v>12</v>
      </c>
      <c r="F108">
        <v>7</v>
      </c>
      <c r="G108">
        <v>141</v>
      </c>
      <c r="H108">
        <v>31</v>
      </c>
      <c r="I108">
        <v>-5</v>
      </c>
      <c r="J108">
        <v>1</v>
      </c>
      <c r="K108">
        <v>28</v>
      </c>
      <c r="L108" t="s">
        <v>382</v>
      </c>
      <c r="M108">
        <v>0.70588235294117652</v>
      </c>
      <c r="N108">
        <v>1.1666666666666667</v>
      </c>
      <c r="O108">
        <v>0</v>
      </c>
    </row>
    <row r="109" spans="1:15" x14ac:dyDescent="0.3">
      <c r="A109" s="1">
        <v>44183</v>
      </c>
      <c r="B109" s="2" t="s">
        <v>9</v>
      </c>
      <c r="C109">
        <v>18</v>
      </c>
      <c r="D109">
        <v>478</v>
      </c>
      <c r="E109">
        <v>32</v>
      </c>
      <c r="F109">
        <v>3</v>
      </c>
      <c r="G109">
        <v>306</v>
      </c>
      <c r="H109">
        <v>23</v>
      </c>
      <c r="I109">
        <v>-4</v>
      </c>
      <c r="J109">
        <v>1</v>
      </c>
      <c r="K109">
        <v>23</v>
      </c>
      <c r="L109" t="s">
        <v>382</v>
      </c>
      <c r="M109">
        <v>0.88888888888888884</v>
      </c>
      <c r="N109">
        <v>1.5</v>
      </c>
      <c r="O109">
        <v>2</v>
      </c>
    </row>
    <row r="110" spans="1:15" x14ac:dyDescent="0.3">
      <c r="A110" s="1">
        <v>44183</v>
      </c>
      <c r="B110" s="2" t="s">
        <v>6</v>
      </c>
      <c r="C110">
        <v>62</v>
      </c>
      <c r="D110">
        <v>925</v>
      </c>
      <c r="E110">
        <v>37</v>
      </c>
      <c r="F110">
        <v>8</v>
      </c>
      <c r="G110">
        <v>73</v>
      </c>
      <c r="H110">
        <v>64</v>
      </c>
      <c r="I110">
        <v>-9</v>
      </c>
      <c r="J110">
        <v>-1</v>
      </c>
      <c r="K110">
        <v>35</v>
      </c>
      <c r="L110" t="s">
        <v>382</v>
      </c>
      <c r="M110">
        <v>0.80434782608695654</v>
      </c>
      <c r="N110">
        <v>0.88888888888888884</v>
      </c>
      <c r="O110">
        <v>1</v>
      </c>
    </row>
    <row r="111" spans="1:15" x14ac:dyDescent="0.3">
      <c r="A111" s="1">
        <v>44183</v>
      </c>
      <c r="B111" s="2" t="s">
        <v>7</v>
      </c>
      <c r="C111">
        <v>74</v>
      </c>
      <c r="D111">
        <v>1195</v>
      </c>
      <c r="E111">
        <v>66</v>
      </c>
      <c r="F111">
        <v>6</v>
      </c>
      <c r="G111">
        <v>176</v>
      </c>
      <c r="H111">
        <v>101</v>
      </c>
      <c r="I111">
        <v>3</v>
      </c>
      <c r="J111">
        <v>0</v>
      </c>
      <c r="K111">
        <v>50</v>
      </c>
      <c r="L111" t="s">
        <v>382</v>
      </c>
      <c r="M111">
        <v>1.0476190476190477</v>
      </c>
      <c r="N111">
        <v>1</v>
      </c>
      <c r="O111">
        <v>0</v>
      </c>
    </row>
    <row r="112" spans="1:15" x14ac:dyDescent="0.3">
      <c r="A112" s="1">
        <v>44183</v>
      </c>
      <c r="B112" s="2" t="s">
        <v>2</v>
      </c>
      <c r="C112">
        <v>75</v>
      </c>
      <c r="D112">
        <v>1247</v>
      </c>
      <c r="E112">
        <v>45</v>
      </c>
      <c r="F112">
        <v>12</v>
      </c>
      <c r="G112">
        <v>251</v>
      </c>
      <c r="H112">
        <v>83</v>
      </c>
      <c r="I112">
        <v>-8</v>
      </c>
      <c r="J112">
        <v>-1</v>
      </c>
      <c r="K112">
        <v>137</v>
      </c>
      <c r="L112" t="s">
        <v>382</v>
      </c>
      <c r="M112">
        <v>0.84905660377358494</v>
      </c>
      <c r="N112">
        <v>0.92307692307692313</v>
      </c>
      <c r="O112">
        <v>1</v>
      </c>
    </row>
    <row r="113" spans="1:15" x14ac:dyDescent="0.3">
      <c r="A113" s="1">
        <v>44183</v>
      </c>
      <c r="B113" s="2" t="s">
        <v>3</v>
      </c>
      <c r="C113">
        <v>339</v>
      </c>
      <c r="D113">
        <v>5653</v>
      </c>
      <c r="E113">
        <v>281</v>
      </c>
      <c r="F113">
        <v>56</v>
      </c>
      <c r="G113">
        <v>1336</v>
      </c>
      <c r="H113">
        <v>389</v>
      </c>
      <c r="I113">
        <v>-28</v>
      </c>
      <c r="J113">
        <v>1</v>
      </c>
      <c r="K113">
        <v>373</v>
      </c>
      <c r="L113" t="s">
        <v>382</v>
      </c>
      <c r="M113">
        <v>0.90938511326860838</v>
      </c>
      <c r="N113">
        <v>1.0181818181818181</v>
      </c>
      <c r="O113">
        <v>4</v>
      </c>
    </row>
    <row r="114" spans="1:15" x14ac:dyDescent="0.3">
      <c r="A114" s="1">
        <v>44184</v>
      </c>
      <c r="B114" s="2" t="s">
        <v>4</v>
      </c>
      <c r="C114">
        <v>64</v>
      </c>
      <c r="D114">
        <v>887</v>
      </c>
      <c r="E114">
        <v>59</v>
      </c>
      <c r="F114">
        <v>14</v>
      </c>
      <c r="G114">
        <v>305</v>
      </c>
      <c r="H114">
        <v>67</v>
      </c>
      <c r="I114">
        <v>1</v>
      </c>
      <c r="J114">
        <v>0</v>
      </c>
      <c r="K114">
        <v>50</v>
      </c>
      <c r="L114" t="s">
        <v>383</v>
      </c>
      <c r="M114">
        <v>1.0172413793103448</v>
      </c>
      <c r="N114">
        <v>1</v>
      </c>
      <c r="O114">
        <v>0</v>
      </c>
    </row>
    <row r="115" spans="1:15" x14ac:dyDescent="0.3">
      <c r="A115" s="1">
        <v>44184</v>
      </c>
      <c r="B115" s="2" t="s">
        <v>5</v>
      </c>
      <c r="C115">
        <v>12</v>
      </c>
      <c r="D115">
        <v>486</v>
      </c>
      <c r="E115">
        <v>29</v>
      </c>
      <c r="F115">
        <v>5</v>
      </c>
      <c r="G115">
        <v>84</v>
      </c>
      <c r="H115">
        <v>11</v>
      </c>
      <c r="I115">
        <v>-2</v>
      </c>
      <c r="J115">
        <v>-1</v>
      </c>
      <c r="K115">
        <v>59</v>
      </c>
      <c r="L115" t="s">
        <v>383</v>
      </c>
      <c r="M115">
        <v>0.93548387096774188</v>
      </c>
      <c r="N115">
        <v>0.83333333333333337</v>
      </c>
      <c r="O115">
        <v>0</v>
      </c>
    </row>
    <row r="116" spans="1:15" x14ac:dyDescent="0.3">
      <c r="A116" s="1">
        <v>44184</v>
      </c>
      <c r="B116" s="2" t="s">
        <v>8</v>
      </c>
      <c r="C116">
        <v>26</v>
      </c>
      <c r="D116">
        <v>371</v>
      </c>
      <c r="E116">
        <v>13</v>
      </c>
      <c r="F116">
        <v>6</v>
      </c>
      <c r="G116">
        <v>141</v>
      </c>
      <c r="H116">
        <v>29</v>
      </c>
      <c r="I116">
        <v>1</v>
      </c>
      <c r="J116">
        <v>-1</v>
      </c>
      <c r="K116">
        <v>62</v>
      </c>
      <c r="L116" t="s">
        <v>383</v>
      </c>
      <c r="M116">
        <v>1.0833333333333333</v>
      </c>
      <c r="N116">
        <v>0.8571428571428571</v>
      </c>
      <c r="O116">
        <v>0</v>
      </c>
    </row>
    <row r="117" spans="1:15" x14ac:dyDescent="0.3">
      <c r="A117" s="1">
        <v>44184</v>
      </c>
      <c r="B117" s="2" t="s">
        <v>9</v>
      </c>
      <c r="C117">
        <v>13</v>
      </c>
      <c r="D117">
        <v>470</v>
      </c>
      <c r="E117">
        <v>32</v>
      </c>
      <c r="F117">
        <v>3</v>
      </c>
      <c r="G117">
        <v>306</v>
      </c>
      <c r="H117">
        <v>15</v>
      </c>
      <c r="I117">
        <v>0</v>
      </c>
      <c r="J117">
        <v>0</v>
      </c>
      <c r="K117">
        <v>23</v>
      </c>
      <c r="L117" t="s">
        <v>383</v>
      </c>
      <c r="M117">
        <v>1</v>
      </c>
      <c r="N117">
        <v>1</v>
      </c>
      <c r="O117">
        <v>0</v>
      </c>
    </row>
    <row r="118" spans="1:15" x14ac:dyDescent="0.3">
      <c r="A118" s="1">
        <v>44184</v>
      </c>
      <c r="B118" s="2" t="s">
        <v>6</v>
      </c>
      <c r="C118">
        <v>57</v>
      </c>
      <c r="D118">
        <v>936</v>
      </c>
      <c r="E118">
        <v>40</v>
      </c>
      <c r="F118">
        <v>8</v>
      </c>
      <c r="G118">
        <v>75</v>
      </c>
      <c r="H118">
        <v>58</v>
      </c>
      <c r="I118">
        <v>3</v>
      </c>
      <c r="J118">
        <v>0</v>
      </c>
      <c r="K118">
        <v>45</v>
      </c>
      <c r="L118" t="s">
        <v>383</v>
      </c>
      <c r="M118">
        <v>1.0810810810810811</v>
      </c>
      <c r="N118">
        <v>1</v>
      </c>
      <c r="O118">
        <v>2</v>
      </c>
    </row>
    <row r="119" spans="1:15" x14ac:dyDescent="0.3">
      <c r="A119" s="1">
        <v>44184</v>
      </c>
      <c r="B119" s="2" t="s">
        <v>7</v>
      </c>
      <c r="C119">
        <v>77</v>
      </c>
      <c r="D119">
        <v>1216</v>
      </c>
      <c r="E119">
        <v>73</v>
      </c>
      <c r="F119">
        <v>5</v>
      </c>
      <c r="G119">
        <v>176</v>
      </c>
      <c r="H119">
        <v>81</v>
      </c>
      <c r="I119">
        <v>7</v>
      </c>
      <c r="J119">
        <v>-1</v>
      </c>
      <c r="K119">
        <v>60</v>
      </c>
      <c r="L119" t="s">
        <v>383</v>
      </c>
      <c r="M119">
        <v>1.106060606060606</v>
      </c>
      <c r="N119">
        <v>0.83333333333333337</v>
      </c>
      <c r="O119">
        <v>0</v>
      </c>
    </row>
    <row r="120" spans="1:15" x14ac:dyDescent="0.3">
      <c r="A120" s="1">
        <v>44184</v>
      </c>
      <c r="B120" s="2" t="s">
        <v>2</v>
      </c>
      <c r="C120">
        <v>79</v>
      </c>
      <c r="D120">
        <v>1243</v>
      </c>
      <c r="E120">
        <v>47</v>
      </c>
      <c r="F120">
        <v>12</v>
      </c>
      <c r="G120">
        <v>251</v>
      </c>
      <c r="H120">
        <v>76</v>
      </c>
      <c r="I120">
        <v>2</v>
      </c>
      <c r="J120">
        <v>0</v>
      </c>
      <c r="K120">
        <v>80</v>
      </c>
      <c r="L120" t="s">
        <v>383</v>
      </c>
      <c r="M120">
        <v>1.0444444444444445</v>
      </c>
      <c r="N120">
        <v>1</v>
      </c>
      <c r="O120">
        <v>0</v>
      </c>
    </row>
    <row r="121" spans="1:15" x14ac:dyDescent="0.3">
      <c r="A121" s="1">
        <v>44184</v>
      </c>
      <c r="B121" s="2" t="s">
        <v>3</v>
      </c>
      <c r="C121">
        <v>328</v>
      </c>
      <c r="D121">
        <v>5609</v>
      </c>
      <c r="E121">
        <v>293</v>
      </c>
      <c r="F121">
        <v>53</v>
      </c>
      <c r="G121">
        <v>1338</v>
      </c>
      <c r="H121">
        <v>337</v>
      </c>
      <c r="I121">
        <v>12</v>
      </c>
      <c r="J121">
        <v>-3</v>
      </c>
      <c r="K121">
        <v>379</v>
      </c>
      <c r="L121" t="s">
        <v>383</v>
      </c>
      <c r="M121">
        <v>1.0427046263345197</v>
      </c>
      <c r="N121">
        <v>0.9464285714285714</v>
      </c>
      <c r="O121">
        <v>2</v>
      </c>
    </row>
    <row r="122" spans="1:15" x14ac:dyDescent="0.3">
      <c r="A122" s="1">
        <v>44185</v>
      </c>
      <c r="B122" s="2" t="s">
        <v>4</v>
      </c>
      <c r="C122">
        <v>46</v>
      </c>
      <c r="D122">
        <v>882</v>
      </c>
      <c r="E122">
        <v>60</v>
      </c>
      <c r="F122">
        <v>14</v>
      </c>
      <c r="G122">
        <v>305</v>
      </c>
      <c r="H122">
        <v>53</v>
      </c>
      <c r="I122">
        <v>1</v>
      </c>
      <c r="J122">
        <v>0</v>
      </c>
      <c r="K122">
        <v>58</v>
      </c>
      <c r="L122" t="s">
        <v>384</v>
      </c>
      <c r="M122">
        <v>1.0169491525423728</v>
      </c>
      <c r="N122">
        <v>1</v>
      </c>
      <c r="O122">
        <v>0</v>
      </c>
    </row>
    <row r="123" spans="1:15" x14ac:dyDescent="0.3">
      <c r="A123" s="1">
        <v>44185</v>
      </c>
      <c r="B123" s="2" t="s">
        <v>5</v>
      </c>
      <c r="C123">
        <v>13</v>
      </c>
      <c r="D123">
        <v>458</v>
      </c>
      <c r="E123">
        <v>30</v>
      </c>
      <c r="F123">
        <v>4</v>
      </c>
      <c r="G123">
        <v>84</v>
      </c>
      <c r="H123">
        <v>13</v>
      </c>
      <c r="I123">
        <v>1</v>
      </c>
      <c r="J123">
        <v>-1</v>
      </c>
      <c r="K123">
        <v>41</v>
      </c>
      <c r="L123" t="s">
        <v>384</v>
      </c>
      <c r="M123">
        <v>1.0344827586206897</v>
      </c>
      <c r="N123">
        <v>0.8</v>
      </c>
      <c r="O123">
        <v>0</v>
      </c>
    </row>
    <row r="124" spans="1:15" x14ac:dyDescent="0.3">
      <c r="A124" s="1">
        <v>44185</v>
      </c>
      <c r="B124" s="2" t="s">
        <v>8</v>
      </c>
      <c r="C124">
        <v>17</v>
      </c>
      <c r="D124">
        <v>369</v>
      </c>
      <c r="E124">
        <v>14</v>
      </c>
      <c r="F124">
        <v>6</v>
      </c>
      <c r="G124">
        <v>141</v>
      </c>
      <c r="H124">
        <v>17</v>
      </c>
      <c r="I124">
        <v>1</v>
      </c>
      <c r="J124">
        <v>0</v>
      </c>
      <c r="K124">
        <v>19</v>
      </c>
      <c r="L124" t="s">
        <v>384</v>
      </c>
      <c r="M124">
        <v>1.0769230769230769</v>
      </c>
      <c r="N124">
        <v>1</v>
      </c>
      <c r="O124">
        <v>0</v>
      </c>
    </row>
    <row r="125" spans="1:15" x14ac:dyDescent="0.3">
      <c r="A125" s="1">
        <v>44185</v>
      </c>
      <c r="B125" s="2" t="s">
        <v>9</v>
      </c>
      <c r="C125">
        <v>42</v>
      </c>
      <c r="D125">
        <v>489</v>
      </c>
      <c r="E125">
        <v>30</v>
      </c>
      <c r="F125">
        <v>4</v>
      </c>
      <c r="G125">
        <v>307</v>
      </c>
      <c r="H125">
        <v>44</v>
      </c>
      <c r="I125">
        <v>-2</v>
      </c>
      <c r="J125">
        <v>1</v>
      </c>
      <c r="K125">
        <v>24</v>
      </c>
      <c r="L125" t="s">
        <v>384</v>
      </c>
      <c r="M125">
        <v>0.9375</v>
      </c>
      <c r="N125">
        <v>1.3333333333333333</v>
      </c>
      <c r="O125">
        <v>1</v>
      </c>
    </row>
    <row r="126" spans="1:15" x14ac:dyDescent="0.3">
      <c r="A126" s="1">
        <v>44185</v>
      </c>
      <c r="B126" s="2" t="s">
        <v>6</v>
      </c>
      <c r="C126">
        <v>21</v>
      </c>
      <c r="D126">
        <v>917</v>
      </c>
      <c r="E126">
        <v>42</v>
      </c>
      <c r="F126">
        <v>7</v>
      </c>
      <c r="G126">
        <v>76</v>
      </c>
      <c r="H126">
        <v>26</v>
      </c>
      <c r="I126">
        <v>2</v>
      </c>
      <c r="J126">
        <v>-1</v>
      </c>
      <c r="K126">
        <v>44</v>
      </c>
      <c r="L126" t="s">
        <v>384</v>
      </c>
      <c r="M126">
        <v>1.05</v>
      </c>
      <c r="N126">
        <v>0.875</v>
      </c>
      <c r="O126">
        <v>1</v>
      </c>
    </row>
    <row r="127" spans="1:15" x14ac:dyDescent="0.3">
      <c r="A127" s="1">
        <v>44185</v>
      </c>
      <c r="B127" s="2" t="s">
        <v>7</v>
      </c>
      <c r="C127">
        <v>61</v>
      </c>
      <c r="D127">
        <v>1235</v>
      </c>
      <c r="E127">
        <v>76</v>
      </c>
      <c r="F127">
        <v>6</v>
      </c>
      <c r="G127">
        <v>177</v>
      </c>
      <c r="H127">
        <v>64</v>
      </c>
      <c r="I127">
        <v>3</v>
      </c>
      <c r="J127">
        <v>1</v>
      </c>
      <c r="K127">
        <v>44</v>
      </c>
      <c r="L127" t="s">
        <v>384</v>
      </c>
      <c r="M127">
        <v>1.0410958904109588</v>
      </c>
      <c r="N127">
        <v>1.2</v>
      </c>
      <c r="O127">
        <v>1</v>
      </c>
    </row>
    <row r="128" spans="1:15" x14ac:dyDescent="0.3">
      <c r="A128" s="1">
        <v>44185</v>
      </c>
      <c r="B128" s="2" t="s">
        <v>2</v>
      </c>
      <c r="C128">
        <v>68</v>
      </c>
      <c r="D128">
        <v>1246</v>
      </c>
      <c r="E128">
        <v>49</v>
      </c>
      <c r="F128">
        <v>12</v>
      </c>
      <c r="G128">
        <v>251</v>
      </c>
      <c r="H128">
        <v>69</v>
      </c>
      <c r="I128">
        <v>2</v>
      </c>
      <c r="J128">
        <v>0</v>
      </c>
      <c r="K128">
        <v>66</v>
      </c>
      <c r="L128" t="s">
        <v>384</v>
      </c>
      <c r="M128">
        <v>1.0425531914893618</v>
      </c>
      <c r="N128">
        <v>1</v>
      </c>
      <c r="O128">
        <v>0</v>
      </c>
    </row>
    <row r="129" spans="1:15" x14ac:dyDescent="0.3">
      <c r="A129" s="1">
        <v>44185</v>
      </c>
      <c r="B129" s="2" t="s">
        <v>3</v>
      </c>
      <c r="C129">
        <v>268</v>
      </c>
      <c r="D129">
        <v>5596</v>
      </c>
      <c r="E129">
        <v>301</v>
      </c>
      <c r="F129">
        <v>53</v>
      </c>
      <c r="G129">
        <v>1341</v>
      </c>
      <c r="H129">
        <v>286</v>
      </c>
      <c r="I129">
        <v>8</v>
      </c>
      <c r="J129">
        <v>0</v>
      </c>
      <c r="K129">
        <v>296</v>
      </c>
      <c r="L129" t="s">
        <v>384</v>
      </c>
      <c r="M129">
        <v>1.0273037542662116</v>
      </c>
      <c r="N129">
        <v>1</v>
      </c>
      <c r="O129">
        <v>3</v>
      </c>
    </row>
    <row r="130" spans="1:15" x14ac:dyDescent="0.3">
      <c r="A130" s="1">
        <v>44186</v>
      </c>
      <c r="B130" s="2" t="s">
        <v>4</v>
      </c>
      <c r="C130">
        <v>10</v>
      </c>
      <c r="D130">
        <v>866</v>
      </c>
      <c r="E130">
        <v>63</v>
      </c>
      <c r="F130">
        <v>15</v>
      </c>
      <c r="G130">
        <v>305</v>
      </c>
      <c r="H130">
        <v>23</v>
      </c>
      <c r="I130">
        <v>3</v>
      </c>
      <c r="J130">
        <v>1</v>
      </c>
      <c r="K130">
        <v>39</v>
      </c>
      <c r="L130" t="s">
        <v>385</v>
      </c>
      <c r="M130">
        <v>1.05</v>
      </c>
      <c r="N130">
        <v>1.0714285714285714</v>
      </c>
      <c r="O130">
        <v>0</v>
      </c>
    </row>
    <row r="131" spans="1:15" x14ac:dyDescent="0.3">
      <c r="A131" s="1">
        <v>44186</v>
      </c>
      <c r="B131" s="2" t="s">
        <v>5</v>
      </c>
      <c r="C131">
        <v>12</v>
      </c>
      <c r="D131">
        <v>446</v>
      </c>
      <c r="E131">
        <v>33</v>
      </c>
      <c r="F131">
        <v>4</v>
      </c>
      <c r="G131">
        <v>85</v>
      </c>
      <c r="H131">
        <v>12</v>
      </c>
      <c r="I131">
        <v>3</v>
      </c>
      <c r="J131">
        <v>0</v>
      </c>
      <c r="K131">
        <v>23</v>
      </c>
      <c r="L131" t="s">
        <v>385</v>
      </c>
      <c r="M131">
        <v>1.1000000000000001</v>
      </c>
      <c r="N131">
        <v>1</v>
      </c>
      <c r="O131">
        <v>1</v>
      </c>
    </row>
    <row r="132" spans="1:15" x14ac:dyDescent="0.3">
      <c r="A132" s="1">
        <v>44186</v>
      </c>
      <c r="B132" s="2" t="s">
        <v>8</v>
      </c>
      <c r="C132">
        <v>14</v>
      </c>
      <c r="D132">
        <v>360</v>
      </c>
      <c r="E132">
        <v>14</v>
      </c>
      <c r="F132">
        <v>4</v>
      </c>
      <c r="G132">
        <v>143</v>
      </c>
      <c r="H132">
        <v>17</v>
      </c>
      <c r="I132">
        <v>0</v>
      </c>
      <c r="J132">
        <v>-2</v>
      </c>
      <c r="K132">
        <v>24</v>
      </c>
      <c r="L132" t="s">
        <v>385</v>
      </c>
      <c r="M132">
        <v>1</v>
      </c>
      <c r="N132">
        <v>0.66666666666666663</v>
      </c>
      <c r="O132">
        <v>2</v>
      </c>
    </row>
    <row r="133" spans="1:15" x14ac:dyDescent="0.3">
      <c r="A133" s="1">
        <v>44186</v>
      </c>
      <c r="B133" s="2" t="s">
        <v>9</v>
      </c>
      <c r="C133">
        <v>44</v>
      </c>
      <c r="D133">
        <v>519</v>
      </c>
      <c r="E133">
        <v>30</v>
      </c>
      <c r="F133">
        <v>4</v>
      </c>
      <c r="G133">
        <v>307</v>
      </c>
      <c r="H133">
        <v>51</v>
      </c>
      <c r="I133">
        <v>0</v>
      </c>
      <c r="J133">
        <v>0</v>
      </c>
      <c r="K133">
        <v>21</v>
      </c>
      <c r="L133" t="s">
        <v>385</v>
      </c>
      <c r="M133">
        <v>1</v>
      </c>
      <c r="N133">
        <v>1</v>
      </c>
      <c r="O133">
        <v>0</v>
      </c>
    </row>
    <row r="134" spans="1:15" x14ac:dyDescent="0.3">
      <c r="A134" s="1">
        <v>44186</v>
      </c>
      <c r="B134" s="2" t="s">
        <v>6</v>
      </c>
      <c r="C134">
        <v>39</v>
      </c>
      <c r="D134">
        <v>922</v>
      </c>
      <c r="E134">
        <v>42</v>
      </c>
      <c r="F134">
        <v>8</v>
      </c>
      <c r="G134">
        <v>76</v>
      </c>
      <c r="H134">
        <v>45</v>
      </c>
      <c r="I134">
        <v>0</v>
      </c>
      <c r="J134">
        <v>1</v>
      </c>
      <c r="K134">
        <v>40</v>
      </c>
      <c r="L134" t="s">
        <v>385</v>
      </c>
      <c r="M134">
        <v>1</v>
      </c>
      <c r="N134">
        <v>1.1428571428571428</v>
      </c>
      <c r="O134">
        <v>0</v>
      </c>
    </row>
    <row r="135" spans="1:15" x14ac:dyDescent="0.3">
      <c r="A135" s="1">
        <v>44186</v>
      </c>
      <c r="B135" s="2" t="s">
        <v>7</v>
      </c>
      <c r="C135">
        <v>42</v>
      </c>
      <c r="D135">
        <v>1248</v>
      </c>
      <c r="E135">
        <v>73</v>
      </c>
      <c r="F135">
        <v>7</v>
      </c>
      <c r="G135">
        <v>177</v>
      </c>
      <c r="H135">
        <v>55</v>
      </c>
      <c r="I135">
        <v>-3</v>
      </c>
      <c r="J135">
        <v>1</v>
      </c>
      <c r="K135">
        <v>42</v>
      </c>
      <c r="L135" t="s">
        <v>385</v>
      </c>
      <c r="M135">
        <v>0.96052631578947367</v>
      </c>
      <c r="N135">
        <v>1.1666666666666667</v>
      </c>
      <c r="O135">
        <v>0</v>
      </c>
    </row>
    <row r="136" spans="1:15" x14ac:dyDescent="0.3">
      <c r="A136" s="1">
        <v>44186</v>
      </c>
      <c r="B136" s="2" t="s">
        <v>2</v>
      </c>
      <c r="C136">
        <v>41</v>
      </c>
      <c r="D136">
        <v>1242</v>
      </c>
      <c r="E136">
        <v>51</v>
      </c>
      <c r="F136">
        <v>9</v>
      </c>
      <c r="G136">
        <v>253</v>
      </c>
      <c r="H136">
        <v>46</v>
      </c>
      <c r="I136">
        <v>2</v>
      </c>
      <c r="J136">
        <v>-3</v>
      </c>
      <c r="K136">
        <v>48</v>
      </c>
      <c r="L136" t="s">
        <v>385</v>
      </c>
      <c r="M136">
        <v>1.0408163265306123</v>
      </c>
      <c r="N136">
        <v>0.75</v>
      </c>
      <c r="O136">
        <v>2</v>
      </c>
    </row>
    <row r="137" spans="1:15" x14ac:dyDescent="0.3">
      <c r="A137" s="1">
        <v>44186</v>
      </c>
      <c r="B137" s="2" t="s">
        <v>3</v>
      </c>
      <c r="C137">
        <v>202</v>
      </c>
      <c r="D137">
        <v>5603</v>
      </c>
      <c r="E137">
        <v>306</v>
      </c>
      <c r="F137">
        <v>51</v>
      </c>
      <c r="G137">
        <v>1346</v>
      </c>
      <c r="H137">
        <v>249</v>
      </c>
      <c r="I137">
        <v>5</v>
      </c>
      <c r="J137">
        <v>-2</v>
      </c>
      <c r="K137">
        <v>237</v>
      </c>
      <c r="L137" t="s">
        <v>385</v>
      </c>
      <c r="M137">
        <v>1.0166112956810631</v>
      </c>
      <c r="N137">
        <v>0.96226415094339623</v>
      </c>
      <c r="O137">
        <v>5</v>
      </c>
    </row>
    <row r="138" spans="1:15" x14ac:dyDescent="0.3">
      <c r="A138" s="1">
        <v>44187</v>
      </c>
      <c r="B138" s="2" t="s">
        <v>4</v>
      </c>
      <c r="C138">
        <v>68</v>
      </c>
      <c r="D138">
        <v>880</v>
      </c>
      <c r="E138">
        <v>56</v>
      </c>
      <c r="F138">
        <v>15</v>
      </c>
      <c r="G138">
        <v>305</v>
      </c>
      <c r="H138">
        <v>64</v>
      </c>
      <c r="I138">
        <v>-7</v>
      </c>
      <c r="J138">
        <v>0</v>
      </c>
      <c r="K138">
        <v>50</v>
      </c>
      <c r="L138" t="s">
        <v>386</v>
      </c>
      <c r="M138">
        <v>0.88888888888888884</v>
      </c>
      <c r="N138">
        <v>1</v>
      </c>
      <c r="O138">
        <v>0</v>
      </c>
    </row>
    <row r="139" spans="1:15" x14ac:dyDescent="0.3">
      <c r="A139" s="1">
        <v>44187</v>
      </c>
      <c r="B139" s="2" t="s">
        <v>5</v>
      </c>
      <c r="C139">
        <v>15</v>
      </c>
      <c r="D139">
        <v>426</v>
      </c>
      <c r="E139">
        <v>30</v>
      </c>
      <c r="F139">
        <v>3</v>
      </c>
      <c r="G139">
        <v>85</v>
      </c>
      <c r="H139">
        <v>17</v>
      </c>
      <c r="I139">
        <v>-3</v>
      </c>
      <c r="J139">
        <v>-1</v>
      </c>
      <c r="K139">
        <v>37</v>
      </c>
      <c r="L139" t="s">
        <v>386</v>
      </c>
      <c r="M139">
        <v>0.90909090909090906</v>
      </c>
      <c r="N139">
        <v>0.75</v>
      </c>
      <c r="O139">
        <v>0</v>
      </c>
    </row>
    <row r="140" spans="1:15" x14ac:dyDescent="0.3">
      <c r="A140" s="1">
        <v>44187</v>
      </c>
      <c r="B140" s="2" t="s">
        <v>8</v>
      </c>
      <c r="C140">
        <v>26</v>
      </c>
      <c r="D140">
        <v>356</v>
      </c>
      <c r="E140">
        <v>9</v>
      </c>
      <c r="F140">
        <v>4</v>
      </c>
      <c r="G140">
        <v>144</v>
      </c>
      <c r="H140">
        <v>26</v>
      </c>
      <c r="I140">
        <v>-5</v>
      </c>
      <c r="J140">
        <v>0</v>
      </c>
      <c r="K140">
        <v>29</v>
      </c>
      <c r="L140" t="s">
        <v>386</v>
      </c>
      <c r="M140">
        <v>0.6428571428571429</v>
      </c>
      <c r="N140">
        <v>1</v>
      </c>
      <c r="O140">
        <v>1</v>
      </c>
    </row>
    <row r="141" spans="1:15" x14ac:dyDescent="0.3">
      <c r="A141" s="1">
        <v>44187</v>
      </c>
      <c r="B141" s="2" t="s">
        <v>9</v>
      </c>
      <c r="C141">
        <v>22</v>
      </c>
      <c r="D141">
        <v>506</v>
      </c>
      <c r="E141">
        <v>24</v>
      </c>
      <c r="F141">
        <v>4</v>
      </c>
      <c r="G141">
        <v>307</v>
      </c>
      <c r="H141">
        <v>27</v>
      </c>
      <c r="I141">
        <v>-6</v>
      </c>
      <c r="J141">
        <v>0</v>
      </c>
      <c r="K141">
        <v>40</v>
      </c>
      <c r="L141" t="s">
        <v>386</v>
      </c>
      <c r="M141">
        <v>0.8</v>
      </c>
      <c r="N141">
        <v>1</v>
      </c>
      <c r="O141">
        <v>0</v>
      </c>
    </row>
    <row r="142" spans="1:15" x14ac:dyDescent="0.3">
      <c r="A142" s="1">
        <v>44187</v>
      </c>
      <c r="B142" s="2" t="s">
        <v>6</v>
      </c>
      <c r="C142">
        <v>25</v>
      </c>
      <c r="D142">
        <v>911</v>
      </c>
      <c r="E142">
        <v>42</v>
      </c>
      <c r="F142">
        <v>6</v>
      </c>
      <c r="G142">
        <v>76</v>
      </c>
      <c r="H142">
        <v>36</v>
      </c>
      <c r="I142">
        <v>0</v>
      </c>
      <c r="J142">
        <v>-2</v>
      </c>
      <c r="K142">
        <v>47</v>
      </c>
      <c r="L142" t="s">
        <v>386</v>
      </c>
      <c r="M142">
        <v>1</v>
      </c>
      <c r="N142">
        <v>0.75</v>
      </c>
      <c r="O142">
        <v>0</v>
      </c>
    </row>
    <row r="143" spans="1:15" x14ac:dyDescent="0.3">
      <c r="A143" s="1">
        <v>44187</v>
      </c>
      <c r="B143" s="2" t="s">
        <v>7</v>
      </c>
      <c r="C143">
        <v>61</v>
      </c>
      <c r="D143">
        <v>1270</v>
      </c>
      <c r="E143">
        <v>76</v>
      </c>
      <c r="F143">
        <v>5</v>
      </c>
      <c r="G143">
        <v>179</v>
      </c>
      <c r="H143">
        <v>80</v>
      </c>
      <c r="I143">
        <v>3</v>
      </c>
      <c r="J143">
        <v>-2</v>
      </c>
      <c r="K143">
        <v>56</v>
      </c>
      <c r="L143" t="s">
        <v>386</v>
      </c>
      <c r="M143">
        <v>1.0410958904109588</v>
      </c>
      <c r="N143">
        <v>0.7142857142857143</v>
      </c>
      <c r="O143">
        <v>2</v>
      </c>
    </row>
    <row r="144" spans="1:15" x14ac:dyDescent="0.3">
      <c r="A144" s="1">
        <v>44187</v>
      </c>
      <c r="B144" s="2" t="s">
        <v>2</v>
      </c>
      <c r="C144">
        <v>82</v>
      </c>
      <c r="D144">
        <v>1216</v>
      </c>
      <c r="E144">
        <v>56</v>
      </c>
      <c r="F144">
        <v>11</v>
      </c>
      <c r="G144">
        <v>254</v>
      </c>
      <c r="H144">
        <v>92</v>
      </c>
      <c r="I144">
        <v>5</v>
      </c>
      <c r="J144">
        <v>2</v>
      </c>
      <c r="K144">
        <v>117</v>
      </c>
      <c r="L144" t="s">
        <v>386</v>
      </c>
      <c r="M144">
        <v>1.0980392156862746</v>
      </c>
      <c r="N144">
        <v>1.2222222222222223</v>
      </c>
      <c r="O144">
        <v>1</v>
      </c>
    </row>
    <row r="145" spans="1:15" x14ac:dyDescent="0.3">
      <c r="A145" s="1">
        <v>44187</v>
      </c>
      <c r="B145" s="2" t="s">
        <v>3</v>
      </c>
      <c r="C145">
        <v>299</v>
      </c>
      <c r="D145">
        <v>5565</v>
      </c>
      <c r="E145">
        <v>293</v>
      </c>
      <c r="F145">
        <v>48</v>
      </c>
      <c r="G145">
        <v>1350</v>
      </c>
      <c r="H145">
        <v>342</v>
      </c>
      <c r="I145">
        <v>-13</v>
      </c>
      <c r="J145">
        <v>-3</v>
      </c>
      <c r="K145">
        <v>376</v>
      </c>
      <c r="L145" t="s">
        <v>386</v>
      </c>
      <c r="M145">
        <v>0.95751633986928109</v>
      </c>
      <c r="N145">
        <v>0.94117647058823528</v>
      </c>
      <c r="O145">
        <v>4</v>
      </c>
    </row>
    <row r="146" spans="1:15" x14ac:dyDescent="0.3">
      <c r="A146" s="1">
        <v>44188</v>
      </c>
      <c r="B146" s="2" t="s">
        <v>4</v>
      </c>
      <c r="C146">
        <v>41</v>
      </c>
      <c r="D146">
        <v>878</v>
      </c>
      <c r="E146">
        <v>55</v>
      </c>
      <c r="F146">
        <v>17</v>
      </c>
      <c r="G146">
        <v>305</v>
      </c>
      <c r="H146">
        <v>60</v>
      </c>
      <c r="I146">
        <v>-1</v>
      </c>
      <c r="J146">
        <v>2</v>
      </c>
      <c r="K146">
        <v>62</v>
      </c>
      <c r="L146" t="s">
        <v>367</v>
      </c>
      <c r="M146">
        <v>0.9821428571428571</v>
      </c>
      <c r="N146">
        <v>1.1333333333333333</v>
      </c>
      <c r="O146">
        <v>0</v>
      </c>
    </row>
    <row r="147" spans="1:15" x14ac:dyDescent="0.3">
      <c r="A147" s="1">
        <v>44188</v>
      </c>
      <c r="B147" s="2" t="s">
        <v>5</v>
      </c>
      <c r="C147">
        <v>18</v>
      </c>
      <c r="D147">
        <v>395</v>
      </c>
      <c r="E147">
        <v>30</v>
      </c>
      <c r="F147">
        <v>2</v>
      </c>
      <c r="G147">
        <v>85</v>
      </c>
      <c r="H147">
        <v>20</v>
      </c>
      <c r="I147">
        <v>0</v>
      </c>
      <c r="J147">
        <v>-1</v>
      </c>
      <c r="K147">
        <v>51</v>
      </c>
      <c r="L147" t="s">
        <v>367</v>
      </c>
      <c r="M147">
        <v>1</v>
      </c>
      <c r="N147">
        <v>0.66666666666666663</v>
      </c>
      <c r="O147">
        <v>0</v>
      </c>
    </row>
    <row r="148" spans="1:15" x14ac:dyDescent="0.3">
      <c r="A148" s="1">
        <v>44188</v>
      </c>
      <c r="B148" s="2" t="s">
        <v>8</v>
      </c>
      <c r="C148">
        <v>34</v>
      </c>
      <c r="D148">
        <v>370</v>
      </c>
      <c r="E148">
        <v>10</v>
      </c>
      <c r="F148">
        <v>3</v>
      </c>
      <c r="G148">
        <v>144</v>
      </c>
      <c r="H148">
        <v>35</v>
      </c>
      <c r="I148">
        <v>1</v>
      </c>
      <c r="J148">
        <v>-1</v>
      </c>
      <c r="K148">
        <v>21</v>
      </c>
      <c r="L148" t="s">
        <v>367</v>
      </c>
      <c r="M148">
        <v>1.1111111111111112</v>
      </c>
      <c r="N148">
        <v>0.75</v>
      </c>
      <c r="O148">
        <v>0</v>
      </c>
    </row>
    <row r="149" spans="1:15" x14ac:dyDescent="0.3">
      <c r="A149" s="1">
        <v>44188</v>
      </c>
      <c r="B149" s="2" t="s">
        <v>9</v>
      </c>
      <c r="C149">
        <v>34</v>
      </c>
      <c r="D149">
        <v>522</v>
      </c>
      <c r="E149">
        <v>27</v>
      </c>
      <c r="F149">
        <v>4</v>
      </c>
      <c r="G149">
        <v>308</v>
      </c>
      <c r="H149">
        <v>45</v>
      </c>
      <c r="I149">
        <v>3</v>
      </c>
      <c r="J149">
        <v>0</v>
      </c>
      <c r="K149">
        <v>28</v>
      </c>
      <c r="L149" t="s">
        <v>367</v>
      </c>
      <c r="M149">
        <v>1.125</v>
      </c>
      <c r="N149">
        <v>1</v>
      </c>
      <c r="O149">
        <v>1</v>
      </c>
    </row>
    <row r="150" spans="1:15" x14ac:dyDescent="0.3">
      <c r="A150" s="1">
        <v>44188</v>
      </c>
      <c r="B150" s="2" t="s">
        <v>6</v>
      </c>
      <c r="C150">
        <v>53</v>
      </c>
      <c r="D150">
        <v>904</v>
      </c>
      <c r="E150">
        <v>40</v>
      </c>
      <c r="F150">
        <v>8</v>
      </c>
      <c r="G150">
        <v>76</v>
      </c>
      <c r="H150">
        <v>60</v>
      </c>
      <c r="I150">
        <v>-2</v>
      </c>
      <c r="J150">
        <v>2</v>
      </c>
      <c r="K150">
        <v>67</v>
      </c>
      <c r="L150" t="s">
        <v>367</v>
      </c>
      <c r="M150">
        <v>0.95238095238095233</v>
      </c>
      <c r="N150">
        <v>1.3333333333333333</v>
      </c>
      <c r="O150">
        <v>0</v>
      </c>
    </row>
    <row r="151" spans="1:15" x14ac:dyDescent="0.3">
      <c r="A151" s="1">
        <v>44188</v>
      </c>
      <c r="B151" s="2" t="s">
        <v>7</v>
      </c>
      <c r="C151">
        <v>103</v>
      </c>
      <c r="D151">
        <v>1321</v>
      </c>
      <c r="E151">
        <v>70</v>
      </c>
      <c r="F151">
        <v>6</v>
      </c>
      <c r="G151">
        <v>179</v>
      </c>
      <c r="H151">
        <v>114</v>
      </c>
      <c r="I151">
        <v>-6</v>
      </c>
      <c r="J151">
        <v>1</v>
      </c>
      <c r="K151">
        <v>63</v>
      </c>
      <c r="L151" t="s">
        <v>367</v>
      </c>
      <c r="M151">
        <v>0.92105263157894735</v>
      </c>
      <c r="N151">
        <v>1.2</v>
      </c>
      <c r="O151">
        <v>0</v>
      </c>
    </row>
    <row r="152" spans="1:15" x14ac:dyDescent="0.3">
      <c r="A152" s="1">
        <v>44188</v>
      </c>
      <c r="B152" s="2" t="s">
        <v>2</v>
      </c>
      <c r="C152">
        <v>111</v>
      </c>
      <c r="D152">
        <v>1265</v>
      </c>
      <c r="E152">
        <v>54</v>
      </c>
      <c r="F152">
        <v>11</v>
      </c>
      <c r="G152">
        <v>257</v>
      </c>
      <c r="H152">
        <v>117</v>
      </c>
      <c r="I152">
        <v>-2</v>
      </c>
      <c r="J152">
        <v>0</v>
      </c>
      <c r="K152">
        <v>65</v>
      </c>
      <c r="L152" t="s">
        <v>367</v>
      </c>
      <c r="M152">
        <v>0.9642857142857143</v>
      </c>
      <c r="N152">
        <v>1</v>
      </c>
      <c r="O152">
        <v>3</v>
      </c>
    </row>
    <row r="153" spans="1:15" x14ac:dyDescent="0.3">
      <c r="A153" s="1">
        <v>44188</v>
      </c>
      <c r="B153" s="2" t="s">
        <v>3</v>
      </c>
      <c r="C153">
        <v>394</v>
      </c>
      <c r="D153">
        <v>5655</v>
      </c>
      <c r="E153">
        <v>286</v>
      </c>
      <c r="F153">
        <v>51</v>
      </c>
      <c r="G153">
        <v>1354</v>
      </c>
      <c r="H153">
        <v>451</v>
      </c>
      <c r="I153">
        <v>-7</v>
      </c>
      <c r="J153">
        <v>3</v>
      </c>
      <c r="K153">
        <v>357</v>
      </c>
      <c r="L153" t="s">
        <v>367</v>
      </c>
      <c r="M153">
        <v>0.97610921501706482</v>
      </c>
      <c r="N153">
        <v>1.0625</v>
      </c>
      <c r="O153">
        <v>4</v>
      </c>
    </row>
    <row r="154" spans="1:15" x14ac:dyDescent="0.3">
      <c r="A154" s="1">
        <v>44189</v>
      </c>
      <c r="B154" s="2" t="s">
        <v>4</v>
      </c>
      <c r="C154">
        <v>64</v>
      </c>
      <c r="D154">
        <v>899</v>
      </c>
      <c r="E154">
        <v>56</v>
      </c>
      <c r="F154">
        <v>18</v>
      </c>
      <c r="G154">
        <v>305</v>
      </c>
      <c r="H154">
        <v>67</v>
      </c>
      <c r="I154">
        <v>1</v>
      </c>
      <c r="J154">
        <v>1</v>
      </c>
      <c r="K154">
        <v>46</v>
      </c>
      <c r="L154" t="s">
        <v>343</v>
      </c>
      <c r="M154">
        <v>1.0181818181818181</v>
      </c>
      <c r="N154">
        <v>1.0588235294117647</v>
      </c>
      <c r="O154">
        <v>0</v>
      </c>
    </row>
    <row r="155" spans="1:15" x14ac:dyDescent="0.3">
      <c r="A155" s="1">
        <v>44189</v>
      </c>
      <c r="B155" s="2" t="s">
        <v>5</v>
      </c>
      <c r="C155">
        <v>20</v>
      </c>
      <c r="D155">
        <v>398</v>
      </c>
      <c r="E155">
        <v>29</v>
      </c>
      <c r="F155">
        <v>1</v>
      </c>
      <c r="G155">
        <v>85</v>
      </c>
      <c r="H155">
        <v>22</v>
      </c>
      <c r="I155">
        <v>-1</v>
      </c>
      <c r="J155">
        <v>-1</v>
      </c>
      <c r="K155">
        <v>19</v>
      </c>
      <c r="L155" t="s">
        <v>343</v>
      </c>
      <c r="M155">
        <v>0.96666666666666667</v>
      </c>
      <c r="N155">
        <v>0.5</v>
      </c>
      <c r="O155">
        <v>0</v>
      </c>
    </row>
    <row r="156" spans="1:15" x14ac:dyDescent="0.3">
      <c r="A156" s="1">
        <v>44189</v>
      </c>
      <c r="B156" s="2" t="s">
        <v>8</v>
      </c>
      <c r="C156">
        <v>23</v>
      </c>
      <c r="D156">
        <v>382</v>
      </c>
      <c r="E156">
        <v>10</v>
      </c>
      <c r="F156">
        <v>3</v>
      </c>
      <c r="G156">
        <v>144</v>
      </c>
      <c r="H156">
        <v>28</v>
      </c>
      <c r="I156">
        <v>0</v>
      </c>
      <c r="J156">
        <v>0</v>
      </c>
      <c r="K156">
        <v>16</v>
      </c>
      <c r="L156" t="s">
        <v>343</v>
      </c>
      <c r="M156">
        <v>1</v>
      </c>
      <c r="N156">
        <v>1</v>
      </c>
      <c r="O156">
        <v>0</v>
      </c>
    </row>
    <row r="157" spans="1:15" x14ac:dyDescent="0.3">
      <c r="A157" s="1">
        <v>44189</v>
      </c>
      <c r="B157" s="2" t="s">
        <v>9</v>
      </c>
      <c r="C157">
        <v>38</v>
      </c>
      <c r="D157">
        <v>551</v>
      </c>
      <c r="E157">
        <v>18</v>
      </c>
      <c r="F157">
        <v>4</v>
      </c>
      <c r="G157">
        <v>308</v>
      </c>
      <c r="H157">
        <v>52</v>
      </c>
      <c r="I157">
        <v>-9</v>
      </c>
      <c r="J157">
        <v>0</v>
      </c>
      <c r="K157">
        <v>23</v>
      </c>
      <c r="L157" t="s">
        <v>343</v>
      </c>
      <c r="M157">
        <v>0.66666666666666663</v>
      </c>
      <c r="N157">
        <v>1</v>
      </c>
      <c r="O157">
        <v>0</v>
      </c>
    </row>
    <row r="158" spans="1:15" x14ac:dyDescent="0.3">
      <c r="A158" s="1">
        <v>44189</v>
      </c>
      <c r="B158" s="2" t="s">
        <v>6</v>
      </c>
      <c r="C158">
        <v>49</v>
      </c>
      <c r="D158">
        <v>922</v>
      </c>
      <c r="E158">
        <v>39</v>
      </c>
      <c r="F158">
        <v>9</v>
      </c>
      <c r="G158">
        <v>76</v>
      </c>
      <c r="H158">
        <v>58</v>
      </c>
      <c r="I158">
        <v>-1</v>
      </c>
      <c r="J158">
        <v>1</v>
      </c>
      <c r="K158">
        <v>40</v>
      </c>
      <c r="L158" t="s">
        <v>343</v>
      </c>
      <c r="M158">
        <v>0.97499999999999998</v>
      </c>
      <c r="N158">
        <v>1.125</v>
      </c>
      <c r="O158">
        <v>0</v>
      </c>
    </row>
    <row r="159" spans="1:15" x14ac:dyDescent="0.3">
      <c r="A159" s="1">
        <v>44189</v>
      </c>
      <c r="B159" s="2" t="s">
        <v>7</v>
      </c>
      <c r="C159">
        <v>63</v>
      </c>
      <c r="D159">
        <v>1323</v>
      </c>
      <c r="E159">
        <v>63</v>
      </c>
      <c r="F159">
        <v>7</v>
      </c>
      <c r="G159">
        <v>179</v>
      </c>
      <c r="H159">
        <v>78</v>
      </c>
      <c r="I159">
        <v>-7</v>
      </c>
      <c r="J159">
        <v>1</v>
      </c>
      <c r="K159">
        <v>76</v>
      </c>
      <c r="L159" t="s">
        <v>343</v>
      </c>
      <c r="M159">
        <v>0.9</v>
      </c>
      <c r="N159">
        <v>1.1666666666666667</v>
      </c>
      <c r="O159">
        <v>0</v>
      </c>
    </row>
    <row r="160" spans="1:15" x14ac:dyDescent="0.3">
      <c r="A160" s="1">
        <v>44189</v>
      </c>
      <c r="B160" s="2" t="s">
        <v>2</v>
      </c>
      <c r="C160">
        <v>52</v>
      </c>
      <c r="D160">
        <v>1279</v>
      </c>
      <c r="E160">
        <v>50</v>
      </c>
      <c r="F160">
        <v>12</v>
      </c>
      <c r="G160">
        <v>257</v>
      </c>
      <c r="H160">
        <v>65</v>
      </c>
      <c r="I160">
        <v>-4</v>
      </c>
      <c r="J160">
        <v>1</v>
      </c>
      <c r="K160">
        <v>51</v>
      </c>
      <c r="L160" t="s">
        <v>343</v>
      </c>
      <c r="M160">
        <v>0.92592592592592593</v>
      </c>
      <c r="N160">
        <v>1.0909090909090908</v>
      </c>
      <c r="O160">
        <v>0</v>
      </c>
    </row>
    <row r="161" spans="1:15" x14ac:dyDescent="0.3">
      <c r="A161" s="1">
        <v>44189</v>
      </c>
      <c r="B161" s="2" t="s">
        <v>3</v>
      </c>
      <c r="C161">
        <v>309</v>
      </c>
      <c r="D161">
        <v>5754</v>
      </c>
      <c r="E161">
        <v>265</v>
      </c>
      <c r="F161">
        <v>54</v>
      </c>
      <c r="G161">
        <v>1354</v>
      </c>
      <c r="H161">
        <v>370</v>
      </c>
      <c r="I161">
        <v>-21</v>
      </c>
      <c r="J161">
        <v>3</v>
      </c>
      <c r="K161">
        <v>271</v>
      </c>
      <c r="L161" t="s">
        <v>343</v>
      </c>
      <c r="M161">
        <v>0.92657342657342656</v>
      </c>
      <c r="N161">
        <v>1.0588235294117647</v>
      </c>
      <c r="O161">
        <v>0</v>
      </c>
    </row>
    <row r="162" spans="1:15" x14ac:dyDescent="0.3">
      <c r="A162" s="1">
        <v>44190</v>
      </c>
      <c r="B162" s="2" t="s">
        <v>4</v>
      </c>
      <c r="C162">
        <v>61</v>
      </c>
      <c r="D162">
        <v>901</v>
      </c>
      <c r="E162">
        <v>56</v>
      </c>
      <c r="F162">
        <v>17</v>
      </c>
      <c r="G162">
        <v>307</v>
      </c>
      <c r="H162">
        <v>59</v>
      </c>
      <c r="I162">
        <v>0</v>
      </c>
      <c r="J162">
        <v>-1</v>
      </c>
      <c r="K162">
        <v>55</v>
      </c>
      <c r="L162" t="s">
        <v>344</v>
      </c>
      <c r="M162">
        <v>1</v>
      </c>
      <c r="N162">
        <v>0.94444444444444442</v>
      </c>
      <c r="O162">
        <v>2</v>
      </c>
    </row>
    <row r="163" spans="1:15" x14ac:dyDescent="0.3">
      <c r="A163" s="1">
        <v>44190</v>
      </c>
      <c r="B163" s="2" t="s">
        <v>5</v>
      </c>
      <c r="C163">
        <v>12</v>
      </c>
      <c r="D163">
        <v>382</v>
      </c>
      <c r="E163">
        <v>26</v>
      </c>
      <c r="F163">
        <v>2</v>
      </c>
      <c r="G163">
        <v>87</v>
      </c>
      <c r="H163">
        <v>12</v>
      </c>
      <c r="I163">
        <v>-3</v>
      </c>
      <c r="J163">
        <v>1</v>
      </c>
      <c r="K163">
        <v>26</v>
      </c>
      <c r="L163" t="s">
        <v>344</v>
      </c>
      <c r="M163">
        <v>0.89655172413793105</v>
      </c>
      <c r="N163">
        <v>2</v>
      </c>
      <c r="O163">
        <v>2</v>
      </c>
    </row>
    <row r="164" spans="1:15" x14ac:dyDescent="0.3">
      <c r="A164" s="1">
        <v>44190</v>
      </c>
      <c r="B164" s="2" t="s">
        <v>8</v>
      </c>
      <c r="C164">
        <v>33</v>
      </c>
      <c r="D164">
        <v>381</v>
      </c>
      <c r="E164">
        <v>10</v>
      </c>
      <c r="F164">
        <v>4</v>
      </c>
      <c r="G164">
        <v>144</v>
      </c>
      <c r="H164">
        <v>35</v>
      </c>
      <c r="I164">
        <v>0</v>
      </c>
      <c r="J164">
        <v>1</v>
      </c>
      <c r="K164">
        <v>36</v>
      </c>
      <c r="L164" t="s">
        <v>344</v>
      </c>
      <c r="M164">
        <v>1</v>
      </c>
      <c r="N164">
        <v>1.3333333333333333</v>
      </c>
      <c r="O164">
        <v>0</v>
      </c>
    </row>
    <row r="165" spans="1:15" x14ac:dyDescent="0.3">
      <c r="A165" s="1">
        <v>44190</v>
      </c>
      <c r="B165" s="2" t="s">
        <v>9</v>
      </c>
      <c r="C165">
        <v>39</v>
      </c>
      <c r="D165">
        <v>558</v>
      </c>
      <c r="E165">
        <v>20</v>
      </c>
      <c r="F165">
        <v>3</v>
      </c>
      <c r="G165">
        <v>308</v>
      </c>
      <c r="H165">
        <v>42</v>
      </c>
      <c r="I165">
        <v>2</v>
      </c>
      <c r="J165">
        <v>-1</v>
      </c>
      <c r="K165">
        <v>35</v>
      </c>
      <c r="L165" t="s">
        <v>344</v>
      </c>
      <c r="M165">
        <v>1.1111111111111112</v>
      </c>
      <c r="N165">
        <v>0.75</v>
      </c>
      <c r="O165">
        <v>0</v>
      </c>
    </row>
    <row r="166" spans="1:15" x14ac:dyDescent="0.3">
      <c r="A166" s="1">
        <v>44190</v>
      </c>
      <c r="B166" s="2" t="s">
        <v>6</v>
      </c>
      <c r="C166">
        <v>38</v>
      </c>
      <c r="D166">
        <v>907</v>
      </c>
      <c r="E166">
        <v>45</v>
      </c>
      <c r="F166">
        <v>9</v>
      </c>
      <c r="G166">
        <v>77</v>
      </c>
      <c r="H166">
        <v>39</v>
      </c>
      <c r="I166">
        <v>6</v>
      </c>
      <c r="J166">
        <v>0</v>
      </c>
      <c r="K166">
        <v>53</v>
      </c>
      <c r="L166" t="s">
        <v>344</v>
      </c>
      <c r="M166">
        <v>1.1538461538461537</v>
      </c>
      <c r="N166">
        <v>1</v>
      </c>
      <c r="O166">
        <v>1</v>
      </c>
    </row>
    <row r="167" spans="1:15" x14ac:dyDescent="0.3">
      <c r="A167" s="1">
        <v>44190</v>
      </c>
      <c r="B167" s="2" t="s">
        <v>7</v>
      </c>
      <c r="C167">
        <v>96</v>
      </c>
      <c r="D167">
        <v>1355</v>
      </c>
      <c r="E167">
        <v>65</v>
      </c>
      <c r="F167">
        <v>7</v>
      </c>
      <c r="G167">
        <v>182</v>
      </c>
      <c r="H167">
        <v>99</v>
      </c>
      <c r="I167">
        <v>2</v>
      </c>
      <c r="J167">
        <v>0</v>
      </c>
      <c r="K167">
        <v>64</v>
      </c>
      <c r="L167" t="s">
        <v>344</v>
      </c>
      <c r="M167">
        <v>1.0317460317460319</v>
      </c>
      <c r="N167">
        <v>1</v>
      </c>
      <c r="O167">
        <v>3</v>
      </c>
    </row>
    <row r="168" spans="1:15" x14ac:dyDescent="0.3">
      <c r="A168" s="1">
        <v>44190</v>
      </c>
      <c r="B168" s="2" t="s">
        <v>2</v>
      </c>
      <c r="C168">
        <v>94</v>
      </c>
      <c r="D168">
        <v>1232</v>
      </c>
      <c r="E168">
        <v>51</v>
      </c>
      <c r="F168">
        <v>13</v>
      </c>
      <c r="G168">
        <v>258</v>
      </c>
      <c r="H168">
        <v>88</v>
      </c>
      <c r="I168">
        <v>1</v>
      </c>
      <c r="J168">
        <v>1</v>
      </c>
      <c r="K168">
        <v>134</v>
      </c>
      <c r="L168" t="s">
        <v>344</v>
      </c>
      <c r="M168">
        <v>1.02</v>
      </c>
      <c r="N168">
        <v>1.0833333333333333</v>
      </c>
      <c r="O168">
        <v>1</v>
      </c>
    </row>
    <row r="169" spans="1:15" x14ac:dyDescent="0.3">
      <c r="A169" s="1">
        <v>44190</v>
      </c>
      <c r="B169" s="2" t="s">
        <v>3</v>
      </c>
      <c r="C169">
        <v>373</v>
      </c>
      <c r="D169">
        <v>5716</v>
      </c>
      <c r="E169">
        <v>273</v>
      </c>
      <c r="F169">
        <v>55</v>
      </c>
      <c r="G169">
        <v>1363</v>
      </c>
      <c r="H169">
        <v>374</v>
      </c>
      <c r="I169">
        <v>8</v>
      </c>
      <c r="J169">
        <v>1</v>
      </c>
      <c r="K169">
        <v>403</v>
      </c>
      <c r="L169" t="s">
        <v>344</v>
      </c>
      <c r="M169">
        <v>1.030188679245283</v>
      </c>
      <c r="N169">
        <v>1.0185185185185186</v>
      </c>
      <c r="O169">
        <v>9</v>
      </c>
    </row>
    <row r="170" spans="1:15" x14ac:dyDescent="0.3">
      <c r="A170" s="1">
        <v>44191</v>
      </c>
      <c r="B170" s="2" t="s">
        <v>4</v>
      </c>
      <c r="C170">
        <v>32</v>
      </c>
      <c r="D170">
        <v>873</v>
      </c>
      <c r="E170">
        <v>61</v>
      </c>
      <c r="F170">
        <v>18</v>
      </c>
      <c r="G170">
        <v>307</v>
      </c>
      <c r="H170">
        <v>36</v>
      </c>
      <c r="I170">
        <v>5</v>
      </c>
      <c r="J170">
        <v>1</v>
      </c>
      <c r="K170">
        <v>64</v>
      </c>
      <c r="L170" t="s">
        <v>345</v>
      </c>
      <c r="M170">
        <v>1.0892857142857142</v>
      </c>
      <c r="N170">
        <v>1.0588235294117647</v>
      </c>
      <c r="O170">
        <v>0</v>
      </c>
    </row>
    <row r="171" spans="1:15" x14ac:dyDescent="0.3">
      <c r="A171" s="1">
        <v>44191</v>
      </c>
      <c r="B171" s="2" t="s">
        <v>5</v>
      </c>
      <c r="C171">
        <v>8</v>
      </c>
      <c r="D171">
        <v>348</v>
      </c>
      <c r="E171">
        <v>25</v>
      </c>
      <c r="F171">
        <v>3</v>
      </c>
      <c r="G171">
        <v>87</v>
      </c>
      <c r="H171">
        <v>9</v>
      </c>
      <c r="I171">
        <v>-1</v>
      </c>
      <c r="J171">
        <v>1</v>
      </c>
      <c r="K171">
        <v>43</v>
      </c>
      <c r="L171" t="s">
        <v>345</v>
      </c>
      <c r="M171">
        <v>0.96153846153846156</v>
      </c>
      <c r="N171">
        <v>1.5</v>
      </c>
      <c r="O171">
        <v>0</v>
      </c>
    </row>
    <row r="172" spans="1:15" x14ac:dyDescent="0.3">
      <c r="A172" s="1">
        <v>44191</v>
      </c>
      <c r="B172" s="2" t="s">
        <v>8</v>
      </c>
      <c r="C172">
        <v>7</v>
      </c>
      <c r="D172">
        <v>374</v>
      </c>
      <c r="E172">
        <v>9</v>
      </c>
      <c r="F172">
        <v>4</v>
      </c>
      <c r="G172">
        <v>145</v>
      </c>
      <c r="H172">
        <v>11</v>
      </c>
      <c r="I172">
        <v>-1</v>
      </c>
      <c r="J172">
        <v>0</v>
      </c>
      <c r="K172">
        <v>17</v>
      </c>
      <c r="L172" t="s">
        <v>345</v>
      </c>
      <c r="M172">
        <v>0.9</v>
      </c>
      <c r="N172">
        <v>1</v>
      </c>
      <c r="O172">
        <v>1</v>
      </c>
    </row>
    <row r="173" spans="1:15" x14ac:dyDescent="0.3">
      <c r="A173" s="1">
        <v>44191</v>
      </c>
      <c r="B173" s="2" t="s">
        <v>9</v>
      </c>
      <c r="C173">
        <v>13</v>
      </c>
      <c r="D173">
        <v>540</v>
      </c>
      <c r="E173">
        <v>19</v>
      </c>
      <c r="F173">
        <v>4</v>
      </c>
      <c r="G173">
        <v>308</v>
      </c>
      <c r="H173">
        <v>16</v>
      </c>
      <c r="I173">
        <v>-1</v>
      </c>
      <c r="J173">
        <v>1</v>
      </c>
      <c r="K173">
        <v>34</v>
      </c>
      <c r="L173" t="s">
        <v>345</v>
      </c>
      <c r="M173">
        <v>0.95</v>
      </c>
      <c r="N173">
        <v>1.3333333333333333</v>
      </c>
      <c r="O173">
        <v>0</v>
      </c>
    </row>
    <row r="174" spans="1:15" x14ac:dyDescent="0.3">
      <c r="A174" s="1">
        <v>44191</v>
      </c>
      <c r="B174" s="2" t="s">
        <v>6</v>
      </c>
      <c r="C174">
        <v>47</v>
      </c>
      <c r="D174">
        <v>896</v>
      </c>
      <c r="E174">
        <v>45</v>
      </c>
      <c r="F174">
        <v>11</v>
      </c>
      <c r="G174">
        <v>77</v>
      </c>
      <c r="H174">
        <v>46</v>
      </c>
      <c r="I174">
        <v>0</v>
      </c>
      <c r="J174">
        <v>2</v>
      </c>
      <c r="K174">
        <v>57</v>
      </c>
      <c r="L174" t="s">
        <v>345</v>
      </c>
      <c r="M174">
        <v>1</v>
      </c>
      <c r="N174">
        <v>1.2222222222222223</v>
      </c>
      <c r="O174">
        <v>0</v>
      </c>
    </row>
    <row r="175" spans="1:15" x14ac:dyDescent="0.3">
      <c r="A175" s="1">
        <v>44191</v>
      </c>
      <c r="B175" s="2" t="s">
        <v>7</v>
      </c>
      <c r="C175">
        <v>68</v>
      </c>
      <c r="D175">
        <v>1352</v>
      </c>
      <c r="E175">
        <v>69</v>
      </c>
      <c r="F175">
        <v>7</v>
      </c>
      <c r="G175">
        <v>184</v>
      </c>
      <c r="H175">
        <v>79</v>
      </c>
      <c r="I175">
        <v>4</v>
      </c>
      <c r="J175">
        <v>0</v>
      </c>
      <c r="K175">
        <v>80</v>
      </c>
      <c r="L175" t="s">
        <v>345</v>
      </c>
      <c r="M175">
        <v>1.0615384615384615</v>
      </c>
      <c r="N175">
        <v>1</v>
      </c>
      <c r="O175">
        <v>2</v>
      </c>
    </row>
    <row r="176" spans="1:15" x14ac:dyDescent="0.3">
      <c r="A176" s="1">
        <v>44191</v>
      </c>
      <c r="B176" s="2" t="s">
        <v>2</v>
      </c>
      <c r="C176">
        <v>38</v>
      </c>
      <c r="D176">
        <v>1226</v>
      </c>
      <c r="E176">
        <v>50</v>
      </c>
      <c r="F176">
        <v>11</v>
      </c>
      <c r="G176">
        <v>261</v>
      </c>
      <c r="H176">
        <v>39</v>
      </c>
      <c r="I176">
        <v>-1</v>
      </c>
      <c r="J176">
        <v>-2</v>
      </c>
      <c r="K176">
        <v>42</v>
      </c>
      <c r="L176" t="s">
        <v>345</v>
      </c>
      <c r="M176">
        <v>0.98039215686274506</v>
      </c>
      <c r="N176">
        <v>0.84615384615384615</v>
      </c>
      <c r="O176">
        <v>3</v>
      </c>
    </row>
    <row r="177" spans="1:15" x14ac:dyDescent="0.3">
      <c r="A177" s="1">
        <v>44191</v>
      </c>
      <c r="B177" s="2" t="s">
        <v>3</v>
      </c>
      <c r="C177">
        <v>213</v>
      </c>
      <c r="D177">
        <v>5609</v>
      </c>
      <c r="E177">
        <v>278</v>
      </c>
      <c r="F177">
        <v>58</v>
      </c>
      <c r="G177">
        <v>1369</v>
      </c>
      <c r="H177">
        <v>236</v>
      </c>
      <c r="I177">
        <v>5</v>
      </c>
      <c r="J177">
        <v>3</v>
      </c>
      <c r="K177">
        <v>337</v>
      </c>
      <c r="L177" t="s">
        <v>345</v>
      </c>
      <c r="M177">
        <v>1.0183150183150182</v>
      </c>
      <c r="N177">
        <v>1.0545454545454545</v>
      </c>
      <c r="O177">
        <v>6</v>
      </c>
    </row>
    <row r="178" spans="1:15" x14ac:dyDescent="0.3">
      <c r="A178" s="1">
        <v>44192</v>
      </c>
      <c r="B178" s="2" t="s">
        <v>4</v>
      </c>
      <c r="C178">
        <v>50</v>
      </c>
      <c r="D178">
        <v>860</v>
      </c>
      <c r="E178">
        <v>66</v>
      </c>
      <c r="F178">
        <v>17</v>
      </c>
      <c r="G178">
        <v>307</v>
      </c>
      <c r="H178">
        <v>48</v>
      </c>
      <c r="I178">
        <v>5</v>
      </c>
      <c r="J178">
        <v>-1</v>
      </c>
      <c r="K178">
        <v>61</v>
      </c>
      <c r="L178" t="s">
        <v>346</v>
      </c>
      <c r="M178">
        <v>1.0819672131147542</v>
      </c>
      <c r="N178">
        <v>0.94444444444444442</v>
      </c>
      <c r="O178">
        <v>0</v>
      </c>
    </row>
    <row r="179" spans="1:15" x14ac:dyDescent="0.3">
      <c r="A179" s="1">
        <v>44192</v>
      </c>
      <c r="B179" s="2" t="s">
        <v>5</v>
      </c>
      <c r="C179">
        <v>14</v>
      </c>
      <c r="D179">
        <v>336</v>
      </c>
      <c r="E179">
        <v>24</v>
      </c>
      <c r="F179">
        <v>4</v>
      </c>
      <c r="G179">
        <v>87</v>
      </c>
      <c r="H179">
        <v>16</v>
      </c>
      <c r="I179">
        <v>-1</v>
      </c>
      <c r="J179">
        <v>1</v>
      </c>
      <c r="K179">
        <v>28</v>
      </c>
      <c r="L179" t="s">
        <v>346</v>
      </c>
      <c r="M179">
        <v>0.96</v>
      </c>
      <c r="N179">
        <v>1.3333333333333333</v>
      </c>
      <c r="O179">
        <v>0</v>
      </c>
    </row>
    <row r="180" spans="1:15" x14ac:dyDescent="0.3">
      <c r="A180" s="1">
        <v>44192</v>
      </c>
      <c r="B180" s="2" t="s">
        <v>8</v>
      </c>
      <c r="C180">
        <v>41</v>
      </c>
      <c r="D180">
        <v>397</v>
      </c>
      <c r="E180">
        <v>11</v>
      </c>
      <c r="F180">
        <v>3</v>
      </c>
      <c r="G180">
        <v>145</v>
      </c>
      <c r="H180">
        <v>43</v>
      </c>
      <c r="I180">
        <v>2</v>
      </c>
      <c r="J180">
        <v>-1</v>
      </c>
      <c r="K180">
        <v>20</v>
      </c>
      <c r="L180" t="s">
        <v>346</v>
      </c>
      <c r="M180">
        <v>1.2222222222222223</v>
      </c>
      <c r="N180">
        <v>0.75</v>
      </c>
      <c r="O180">
        <v>0</v>
      </c>
    </row>
    <row r="181" spans="1:15" x14ac:dyDescent="0.3">
      <c r="A181" s="1">
        <v>44192</v>
      </c>
      <c r="B181" s="2" t="s">
        <v>9</v>
      </c>
      <c r="C181">
        <v>18</v>
      </c>
      <c r="D181">
        <v>525</v>
      </c>
      <c r="E181">
        <v>22</v>
      </c>
      <c r="F181">
        <v>4</v>
      </c>
      <c r="G181">
        <v>308</v>
      </c>
      <c r="H181">
        <v>21</v>
      </c>
      <c r="I181">
        <v>3</v>
      </c>
      <c r="J181">
        <v>0</v>
      </c>
      <c r="K181">
        <v>36</v>
      </c>
      <c r="L181" t="s">
        <v>346</v>
      </c>
      <c r="M181">
        <v>1.1578947368421053</v>
      </c>
      <c r="N181">
        <v>1</v>
      </c>
      <c r="O181">
        <v>0</v>
      </c>
    </row>
    <row r="182" spans="1:15" x14ac:dyDescent="0.3">
      <c r="A182" s="1">
        <v>44192</v>
      </c>
      <c r="B182" s="2" t="s">
        <v>6</v>
      </c>
      <c r="C182">
        <v>33</v>
      </c>
      <c r="D182">
        <v>866</v>
      </c>
      <c r="E182">
        <v>50</v>
      </c>
      <c r="F182">
        <v>11</v>
      </c>
      <c r="G182">
        <v>77</v>
      </c>
      <c r="H182">
        <v>37</v>
      </c>
      <c r="I182">
        <v>5</v>
      </c>
      <c r="J182">
        <v>0</v>
      </c>
      <c r="K182">
        <v>67</v>
      </c>
      <c r="L182" t="s">
        <v>346</v>
      </c>
      <c r="M182">
        <v>1.1111111111111112</v>
      </c>
      <c r="N182">
        <v>1</v>
      </c>
      <c r="O182">
        <v>0</v>
      </c>
    </row>
    <row r="183" spans="1:15" x14ac:dyDescent="0.3">
      <c r="A183" s="1">
        <v>44192</v>
      </c>
      <c r="B183" s="2" t="s">
        <v>7</v>
      </c>
      <c r="C183">
        <v>70</v>
      </c>
      <c r="D183">
        <v>1347</v>
      </c>
      <c r="E183">
        <v>71</v>
      </c>
      <c r="F183">
        <v>7</v>
      </c>
      <c r="G183">
        <v>184</v>
      </c>
      <c r="H183">
        <v>76</v>
      </c>
      <c r="I183">
        <v>2</v>
      </c>
      <c r="J183">
        <v>0</v>
      </c>
      <c r="K183">
        <v>81</v>
      </c>
      <c r="L183" t="s">
        <v>346</v>
      </c>
      <c r="M183">
        <v>1.0289855072463767</v>
      </c>
      <c r="N183">
        <v>1</v>
      </c>
      <c r="O183">
        <v>0</v>
      </c>
    </row>
    <row r="184" spans="1:15" x14ac:dyDescent="0.3">
      <c r="A184" s="1">
        <v>44192</v>
      </c>
      <c r="B184" s="2" t="s">
        <v>2</v>
      </c>
      <c r="C184">
        <v>51</v>
      </c>
      <c r="D184">
        <v>1177</v>
      </c>
      <c r="E184">
        <v>51</v>
      </c>
      <c r="F184">
        <v>12</v>
      </c>
      <c r="G184">
        <v>262</v>
      </c>
      <c r="H184">
        <v>52</v>
      </c>
      <c r="I184">
        <v>1</v>
      </c>
      <c r="J184">
        <v>1</v>
      </c>
      <c r="K184">
        <v>100</v>
      </c>
      <c r="L184" t="s">
        <v>346</v>
      </c>
      <c r="M184">
        <v>1.02</v>
      </c>
      <c r="N184">
        <v>1.0909090909090908</v>
      </c>
      <c r="O184">
        <v>1</v>
      </c>
    </row>
    <row r="185" spans="1:15" x14ac:dyDescent="0.3">
      <c r="A185" s="1">
        <v>44192</v>
      </c>
      <c r="B185" s="2" t="s">
        <v>3</v>
      </c>
      <c r="C185">
        <v>277</v>
      </c>
      <c r="D185">
        <v>5508</v>
      </c>
      <c r="E185">
        <v>295</v>
      </c>
      <c r="F185">
        <v>58</v>
      </c>
      <c r="G185">
        <v>1370</v>
      </c>
      <c r="H185">
        <v>293</v>
      </c>
      <c r="I185">
        <v>17</v>
      </c>
      <c r="J185">
        <v>0</v>
      </c>
      <c r="K185">
        <v>393</v>
      </c>
      <c r="L185" t="s">
        <v>346</v>
      </c>
      <c r="M185">
        <v>1.0611510791366907</v>
      </c>
      <c r="N185">
        <v>1</v>
      </c>
      <c r="O185">
        <v>1</v>
      </c>
    </row>
    <row r="186" spans="1:15" x14ac:dyDescent="0.3">
      <c r="A186" s="1">
        <v>44193</v>
      </c>
      <c r="B186" s="2" t="s">
        <v>4</v>
      </c>
      <c r="C186">
        <v>42</v>
      </c>
      <c r="D186">
        <v>884</v>
      </c>
      <c r="E186">
        <v>71</v>
      </c>
      <c r="F186">
        <v>18</v>
      </c>
      <c r="G186">
        <v>311</v>
      </c>
      <c r="H186">
        <v>54</v>
      </c>
      <c r="I186">
        <v>5</v>
      </c>
      <c r="J186">
        <v>1</v>
      </c>
      <c r="K186">
        <v>26</v>
      </c>
      <c r="L186" t="s">
        <v>347</v>
      </c>
      <c r="M186">
        <v>1.0757575757575757</v>
      </c>
      <c r="N186">
        <v>1.0588235294117647</v>
      </c>
      <c r="O186">
        <v>4</v>
      </c>
    </row>
    <row r="187" spans="1:15" x14ac:dyDescent="0.3">
      <c r="A187" s="1">
        <v>44193</v>
      </c>
      <c r="B187" s="2" t="s">
        <v>5</v>
      </c>
      <c r="C187">
        <v>30</v>
      </c>
      <c r="D187">
        <v>337</v>
      </c>
      <c r="E187">
        <v>27</v>
      </c>
      <c r="F187">
        <v>4</v>
      </c>
      <c r="G187">
        <v>88</v>
      </c>
      <c r="H187">
        <v>29</v>
      </c>
      <c r="I187">
        <v>3</v>
      </c>
      <c r="J187">
        <v>0</v>
      </c>
      <c r="K187">
        <v>27</v>
      </c>
      <c r="L187" t="s">
        <v>347</v>
      </c>
      <c r="M187">
        <v>1.125</v>
      </c>
      <c r="N187">
        <v>1</v>
      </c>
      <c r="O187">
        <v>1</v>
      </c>
    </row>
    <row r="188" spans="1:15" x14ac:dyDescent="0.3">
      <c r="A188" s="1">
        <v>44193</v>
      </c>
      <c r="B188" s="2" t="s">
        <v>8</v>
      </c>
      <c r="C188">
        <v>13</v>
      </c>
      <c r="D188">
        <v>397</v>
      </c>
      <c r="E188">
        <v>10</v>
      </c>
      <c r="F188">
        <v>3</v>
      </c>
      <c r="G188">
        <v>145</v>
      </c>
      <c r="H188">
        <v>16</v>
      </c>
      <c r="I188">
        <v>-1</v>
      </c>
      <c r="J188">
        <v>0</v>
      </c>
      <c r="K188">
        <v>16</v>
      </c>
      <c r="L188" t="s">
        <v>347</v>
      </c>
      <c r="M188">
        <v>0.90909090909090906</v>
      </c>
      <c r="N188">
        <v>1</v>
      </c>
      <c r="O188">
        <v>0</v>
      </c>
    </row>
    <row r="189" spans="1:15" x14ac:dyDescent="0.3">
      <c r="A189" s="1">
        <v>44193</v>
      </c>
      <c r="B189" s="2" t="s">
        <v>9</v>
      </c>
      <c r="C189">
        <v>20</v>
      </c>
      <c r="D189">
        <v>525</v>
      </c>
      <c r="E189">
        <v>21</v>
      </c>
      <c r="F189">
        <v>4</v>
      </c>
      <c r="G189">
        <v>308</v>
      </c>
      <c r="H189">
        <v>27</v>
      </c>
      <c r="I189">
        <v>-1</v>
      </c>
      <c r="J189">
        <v>0</v>
      </c>
      <c r="K189">
        <v>27</v>
      </c>
      <c r="L189" t="s">
        <v>347</v>
      </c>
      <c r="M189">
        <v>0.95454545454545459</v>
      </c>
      <c r="N189">
        <v>1</v>
      </c>
      <c r="O189">
        <v>0</v>
      </c>
    </row>
    <row r="190" spans="1:15" x14ac:dyDescent="0.3">
      <c r="A190" s="1">
        <v>44193</v>
      </c>
      <c r="B190" s="2" t="s">
        <v>6</v>
      </c>
      <c r="C190">
        <v>32</v>
      </c>
      <c r="D190">
        <v>852</v>
      </c>
      <c r="E190">
        <v>44</v>
      </c>
      <c r="F190">
        <v>10</v>
      </c>
      <c r="G190">
        <v>77</v>
      </c>
      <c r="H190">
        <v>39</v>
      </c>
      <c r="I190">
        <v>-6</v>
      </c>
      <c r="J190">
        <v>-1</v>
      </c>
      <c r="K190">
        <v>53</v>
      </c>
      <c r="L190" t="s">
        <v>347</v>
      </c>
      <c r="M190">
        <v>0.88</v>
      </c>
      <c r="N190">
        <v>0.90909090909090906</v>
      </c>
      <c r="O190">
        <v>0</v>
      </c>
    </row>
    <row r="191" spans="1:15" x14ac:dyDescent="0.3">
      <c r="A191" s="1">
        <v>44193</v>
      </c>
      <c r="B191" s="2" t="s">
        <v>7</v>
      </c>
      <c r="C191">
        <v>54</v>
      </c>
      <c r="D191">
        <v>1336</v>
      </c>
      <c r="E191">
        <v>74</v>
      </c>
      <c r="F191">
        <v>5</v>
      </c>
      <c r="G191">
        <v>188</v>
      </c>
      <c r="H191">
        <v>72</v>
      </c>
      <c r="I191">
        <v>3</v>
      </c>
      <c r="J191">
        <v>-2</v>
      </c>
      <c r="K191">
        <v>79</v>
      </c>
      <c r="L191" t="s">
        <v>347</v>
      </c>
      <c r="M191">
        <v>1.0422535211267605</v>
      </c>
      <c r="N191">
        <v>0.7142857142857143</v>
      </c>
      <c r="O191">
        <v>4</v>
      </c>
    </row>
    <row r="192" spans="1:15" x14ac:dyDescent="0.3">
      <c r="A192" s="1">
        <v>44193</v>
      </c>
      <c r="B192" s="2" t="s">
        <v>2</v>
      </c>
      <c r="C192">
        <v>70</v>
      </c>
      <c r="D192">
        <v>1192</v>
      </c>
      <c r="E192">
        <v>44</v>
      </c>
      <c r="F192">
        <v>12</v>
      </c>
      <c r="G192">
        <v>263</v>
      </c>
      <c r="H192">
        <v>77</v>
      </c>
      <c r="I192">
        <v>-7</v>
      </c>
      <c r="J192">
        <v>0</v>
      </c>
      <c r="K192">
        <v>61</v>
      </c>
      <c r="L192" t="s">
        <v>347</v>
      </c>
      <c r="M192">
        <v>0.86274509803921573</v>
      </c>
      <c r="N192">
        <v>1</v>
      </c>
      <c r="O192">
        <v>1</v>
      </c>
    </row>
    <row r="193" spans="1:15" x14ac:dyDescent="0.3">
      <c r="A193" s="1">
        <v>44193</v>
      </c>
      <c r="B193" s="2" t="s">
        <v>3</v>
      </c>
      <c r="C193">
        <v>261</v>
      </c>
      <c r="D193">
        <v>5523</v>
      </c>
      <c r="E193">
        <v>291</v>
      </c>
      <c r="F193">
        <v>56</v>
      </c>
      <c r="G193">
        <v>1380</v>
      </c>
      <c r="H193">
        <v>314</v>
      </c>
      <c r="I193">
        <v>-4</v>
      </c>
      <c r="J193">
        <v>-2</v>
      </c>
      <c r="K193">
        <v>289</v>
      </c>
      <c r="L193" t="s">
        <v>347</v>
      </c>
      <c r="M193">
        <v>0.98644067796610169</v>
      </c>
      <c r="N193">
        <v>0.96551724137931039</v>
      </c>
      <c r="O193">
        <v>10</v>
      </c>
    </row>
    <row r="194" spans="1:15" x14ac:dyDescent="0.3">
      <c r="A194" s="1">
        <v>44194</v>
      </c>
      <c r="B194" s="2" t="s">
        <v>4</v>
      </c>
      <c r="C194">
        <v>118</v>
      </c>
      <c r="D194">
        <v>956</v>
      </c>
      <c r="E194">
        <v>71</v>
      </c>
      <c r="F194">
        <v>18</v>
      </c>
      <c r="G194">
        <v>311</v>
      </c>
      <c r="H194">
        <v>121</v>
      </c>
      <c r="I194">
        <v>0</v>
      </c>
      <c r="J194">
        <v>0</v>
      </c>
      <c r="K194">
        <v>49</v>
      </c>
      <c r="L194" t="s">
        <v>348</v>
      </c>
      <c r="M194">
        <v>1</v>
      </c>
      <c r="N194">
        <v>1</v>
      </c>
      <c r="O194">
        <v>0</v>
      </c>
    </row>
    <row r="195" spans="1:15" x14ac:dyDescent="0.3">
      <c r="A195" s="1">
        <v>44194</v>
      </c>
      <c r="B195" s="2" t="s">
        <v>5</v>
      </c>
      <c r="C195">
        <v>13</v>
      </c>
      <c r="D195">
        <v>327</v>
      </c>
      <c r="E195">
        <v>31</v>
      </c>
      <c r="F195">
        <v>3</v>
      </c>
      <c r="G195">
        <v>89</v>
      </c>
      <c r="H195">
        <v>15</v>
      </c>
      <c r="I195">
        <v>4</v>
      </c>
      <c r="J195">
        <v>-1</v>
      </c>
      <c r="K195">
        <v>24</v>
      </c>
      <c r="L195" t="s">
        <v>348</v>
      </c>
      <c r="M195">
        <v>1.1481481481481481</v>
      </c>
      <c r="N195">
        <v>0.75</v>
      </c>
      <c r="O195">
        <v>1</v>
      </c>
    </row>
    <row r="196" spans="1:15" x14ac:dyDescent="0.3">
      <c r="A196" s="1">
        <v>44194</v>
      </c>
      <c r="B196" s="2" t="s">
        <v>8</v>
      </c>
      <c r="C196">
        <v>50</v>
      </c>
      <c r="D196">
        <v>430</v>
      </c>
      <c r="E196">
        <v>12</v>
      </c>
      <c r="F196">
        <v>2</v>
      </c>
      <c r="G196">
        <v>145</v>
      </c>
      <c r="H196">
        <v>50</v>
      </c>
      <c r="I196">
        <v>2</v>
      </c>
      <c r="J196">
        <v>-1</v>
      </c>
      <c r="K196">
        <v>17</v>
      </c>
      <c r="L196" t="s">
        <v>348</v>
      </c>
      <c r="M196">
        <v>1.2</v>
      </c>
      <c r="N196">
        <v>0.66666666666666663</v>
      </c>
      <c r="O196">
        <v>0</v>
      </c>
    </row>
    <row r="197" spans="1:15" x14ac:dyDescent="0.3">
      <c r="A197" s="1">
        <v>44194</v>
      </c>
      <c r="B197" s="2" t="s">
        <v>9</v>
      </c>
      <c r="C197">
        <v>36</v>
      </c>
      <c r="D197">
        <v>545</v>
      </c>
      <c r="E197">
        <v>22</v>
      </c>
      <c r="F197">
        <v>3</v>
      </c>
      <c r="G197">
        <v>308</v>
      </c>
      <c r="H197">
        <v>49</v>
      </c>
      <c r="I197">
        <v>1</v>
      </c>
      <c r="J197">
        <v>-1</v>
      </c>
      <c r="K197">
        <v>29</v>
      </c>
      <c r="L197" t="s">
        <v>348</v>
      </c>
      <c r="M197">
        <v>1.0476190476190477</v>
      </c>
      <c r="N197">
        <v>0.75</v>
      </c>
      <c r="O197">
        <v>0</v>
      </c>
    </row>
    <row r="198" spans="1:15" x14ac:dyDescent="0.3">
      <c r="A198" s="1">
        <v>44194</v>
      </c>
      <c r="B198" s="2" t="s">
        <v>6</v>
      </c>
      <c r="C198">
        <v>48</v>
      </c>
      <c r="D198">
        <v>821</v>
      </c>
      <c r="E198">
        <v>41</v>
      </c>
      <c r="F198">
        <v>11</v>
      </c>
      <c r="G198">
        <v>77</v>
      </c>
      <c r="H198">
        <v>53</v>
      </c>
      <c r="I198">
        <v>-3</v>
      </c>
      <c r="J198">
        <v>1</v>
      </c>
      <c r="K198">
        <v>84</v>
      </c>
      <c r="L198" t="s">
        <v>348</v>
      </c>
      <c r="M198">
        <v>0.93181818181818177</v>
      </c>
      <c r="N198">
        <v>1.1000000000000001</v>
      </c>
      <c r="O198">
        <v>0</v>
      </c>
    </row>
    <row r="199" spans="1:15" x14ac:dyDescent="0.3">
      <c r="A199" s="1">
        <v>44194</v>
      </c>
      <c r="B199" s="2" t="s">
        <v>7</v>
      </c>
      <c r="C199">
        <v>103</v>
      </c>
      <c r="D199">
        <v>1373</v>
      </c>
      <c r="E199">
        <v>65</v>
      </c>
      <c r="F199">
        <v>7</v>
      </c>
      <c r="G199">
        <v>189</v>
      </c>
      <c r="H199">
        <v>121</v>
      </c>
      <c r="I199">
        <v>-9</v>
      </c>
      <c r="J199">
        <v>2</v>
      </c>
      <c r="K199">
        <v>83</v>
      </c>
      <c r="L199" t="s">
        <v>348</v>
      </c>
      <c r="M199">
        <v>0.8783783783783784</v>
      </c>
      <c r="N199">
        <v>1.4</v>
      </c>
      <c r="O199">
        <v>1</v>
      </c>
    </row>
    <row r="200" spans="1:15" x14ac:dyDescent="0.3">
      <c r="A200" s="1">
        <v>44194</v>
      </c>
      <c r="B200" s="2" t="s">
        <v>2</v>
      </c>
      <c r="C200">
        <v>73</v>
      </c>
      <c r="D200">
        <v>1173</v>
      </c>
      <c r="E200">
        <v>40</v>
      </c>
      <c r="F200">
        <v>11</v>
      </c>
      <c r="G200">
        <v>267</v>
      </c>
      <c r="H200">
        <v>75</v>
      </c>
      <c r="I200">
        <v>-4</v>
      </c>
      <c r="J200">
        <v>-1</v>
      </c>
      <c r="K200">
        <v>90</v>
      </c>
      <c r="L200" t="s">
        <v>348</v>
      </c>
      <c r="M200">
        <v>0.90909090909090906</v>
      </c>
      <c r="N200">
        <v>0.91666666666666663</v>
      </c>
      <c r="O200">
        <v>4</v>
      </c>
    </row>
    <row r="201" spans="1:15" x14ac:dyDescent="0.3">
      <c r="A201" s="1">
        <v>44194</v>
      </c>
      <c r="B201" s="2" t="s">
        <v>3</v>
      </c>
      <c r="C201">
        <v>441</v>
      </c>
      <c r="D201">
        <v>5625</v>
      </c>
      <c r="E201">
        <v>282</v>
      </c>
      <c r="F201">
        <v>55</v>
      </c>
      <c r="G201">
        <v>1386</v>
      </c>
      <c r="H201">
        <v>484</v>
      </c>
      <c r="I201">
        <v>-9</v>
      </c>
      <c r="J201">
        <v>-1</v>
      </c>
      <c r="K201">
        <v>376</v>
      </c>
      <c r="L201" t="s">
        <v>348</v>
      </c>
      <c r="M201">
        <v>0.96907216494845361</v>
      </c>
      <c r="N201">
        <v>0.9821428571428571</v>
      </c>
      <c r="O201">
        <v>6</v>
      </c>
    </row>
    <row r="202" spans="1:15" x14ac:dyDescent="0.3">
      <c r="A202" s="1">
        <v>44195</v>
      </c>
      <c r="B202" s="2" t="s">
        <v>4</v>
      </c>
      <c r="C202">
        <v>115</v>
      </c>
      <c r="D202">
        <v>1029</v>
      </c>
      <c r="E202">
        <v>70</v>
      </c>
      <c r="F202">
        <v>19</v>
      </c>
      <c r="G202">
        <v>311</v>
      </c>
      <c r="H202">
        <v>134</v>
      </c>
      <c r="I202">
        <v>-1</v>
      </c>
      <c r="J202">
        <v>1</v>
      </c>
      <c r="K202">
        <v>61</v>
      </c>
      <c r="L202" t="s">
        <v>349</v>
      </c>
      <c r="M202">
        <v>0.9859154929577465</v>
      </c>
      <c r="N202">
        <v>1.0555555555555556</v>
      </c>
      <c r="O202">
        <v>0</v>
      </c>
    </row>
    <row r="203" spans="1:15" x14ac:dyDescent="0.3">
      <c r="A203" s="1">
        <v>44195</v>
      </c>
      <c r="B203" s="2" t="s">
        <v>5</v>
      </c>
      <c r="C203">
        <v>26</v>
      </c>
      <c r="D203">
        <v>312</v>
      </c>
      <c r="E203">
        <v>33</v>
      </c>
      <c r="F203">
        <v>3</v>
      </c>
      <c r="G203">
        <v>90</v>
      </c>
      <c r="H203">
        <v>24</v>
      </c>
      <c r="I203">
        <v>2</v>
      </c>
      <c r="J203">
        <v>0</v>
      </c>
      <c r="K203">
        <v>38</v>
      </c>
      <c r="L203" t="s">
        <v>349</v>
      </c>
      <c r="M203">
        <v>1.064516129032258</v>
      </c>
      <c r="N203">
        <v>1</v>
      </c>
      <c r="O203">
        <v>1</v>
      </c>
    </row>
    <row r="204" spans="1:15" x14ac:dyDescent="0.3">
      <c r="A204" s="1">
        <v>44195</v>
      </c>
      <c r="B204" s="2" t="s">
        <v>8</v>
      </c>
      <c r="C204">
        <v>45</v>
      </c>
      <c r="D204">
        <v>444</v>
      </c>
      <c r="E204">
        <v>16</v>
      </c>
      <c r="F204">
        <v>2</v>
      </c>
      <c r="G204">
        <v>145</v>
      </c>
      <c r="H204">
        <v>49</v>
      </c>
      <c r="I204">
        <v>4</v>
      </c>
      <c r="J204">
        <v>0</v>
      </c>
      <c r="K204">
        <v>35</v>
      </c>
      <c r="L204" t="s">
        <v>349</v>
      </c>
      <c r="M204">
        <v>1.3333333333333333</v>
      </c>
      <c r="N204">
        <v>1</v>
      </c>
      <c r="O204">
        <v>0</v>
      </c>
    </row>
    <row r="205" spans="1:15" x14ac:dyDescent="0.3">
      <c r="A205" s="1">
        <v>44195</v>
      </c>
      <c r="B205" s="2" t="s">
        <v>9</v>
      </c>
      <c r="C205">
        <v>60</v>
      </c>
      <c r="D205">
        <v>573</v>
      </c>
      <c r="E205">
        <v>24</v>
      </c>
      <c r="F205">
        <v>3</v>
      </c>
      <c r="G205">
        <v>308</v>
      </c>
      <c r="H205">
        <v>69</v>
      </c>
      <c r="I205">
        <v>2</v>
      </c>
      <c r="J205">
        <v>0</v>
      </c>
      <c r="K205">
        <v>41</v>
      </c>
      <c r="L205" t="s">
        <v>349</v>
      </c>
      <c r="M205">
        <v>1.0909090909090908</v>
      </c>
      <c r="N205">
        <v>1</v>
      </c>
      <c r="O205">
        <v>0</v>
      </c>
    </row>
    <row r="206" spans="1:15" x14ac:dyDescent="0.3">
      <c r="A206" s="1">
        <v>44195</v>
      </c>
      <c r="B206" s="2" t="s">
        <v>6</v>
      </c>
      <c r="C206">
        <v>25</v>
      </c>
      <c r="D206">
        <v>816</v>
      </c>
      <c r="E206">
        <v>42</v>
      </c>
      <c r="F206">
        <v>10</v>
      </c>
      <c r="G206">
        <v>78</v>
      </c>
      <c r="H206">
        <v>30</v>
      </c>
      <c r="I206">
        <v>1</v>
      </c>
      <c r="J206">
        <v>-1</v>
      </c>
      <c r="K206">
        <v>34</v>
      </c>
      <c r="L206" t="s">
        <v>349</v>
      </c>
      <c r="M206">
        <v>1.024390243902439</v>
      </c>
      <c r="N206">
        <v>0.90909090909090906</v>
      </c>
      <c r="O206">
        <v>1</v>
      </c>
    </row>
    <row r="207" spans="1:15" x14ac:dyDescent="0.3">
      <c r="A207" s="1">
        <v>44195</v>
      </c>
      <c r="B207" s="2" t="s">
        <v>7</v>
      </c>
      <c r="C207">
        <v>89</v>
      </c>
      <c r="D207">
        <v>1369</v>
      </c>
      <c r="E207">
        <v>69</v>
      </c>
      <c r="F207">
        <v>7</v>
      </c>
      <c r="G207">
        <v>191</v>
      </c>
      <c r="H207">
        <v>115</v>
      </c>
      <c r="I207">
        <v>4</v>
      </c>
      <c r="J207">
        <v>0</v>
      </c>
      <c r="K207">
        <v>117</v>
      </c>
      <c r="L207" t="s">
        <v>349</v>
      </c>
      <c r="M207">
        <v>1.0615384615384615</v>
      </c>
      <c r="N207">
        <v>1</v>
      </c>
      <c r="O207">
        <v>2</v>
      </c>
    </row>
    <row r="208" spans="1:15" x14ac:dyDescent="0.3">
      <c r="A208" s="1">
        <v>44195</v>
      </c>
      <c r="B208" s="2" t="s">
        <v>2</v>
      </c>
      <c r="C208">
        <v>78</v>
      </c>
      <c r="D208">
        <v>1137</v>
      </c>
      <c r="E208">
        <v>42</v>
      </c>
      <c r="F208">
        <v>11</v>
      </c>
      <c r="G208">
        <v>270</v>
      </c>
      <c r="H208">
        <v>91</v>
      </c>
      <c r="I208">
        <v>2</v>
      </c>
      <c r="J208">
        <v>0</v>
      </c>
      <c r="K208">
        <v>124</v>
      </c>
      <c r="L208" t="s">
        <v>349</v>
      </c>
      <c r="M208">
        <v>1.05</v>
      </c>
      <c r="N208">
        <v>1</v>
      </c>
      <c r="O208">
        <v>3</v>
      </c>
    </row>
    <row r="209" spans="1:15" x14ac:dyDescent="0.3">
      <c r="A209" s="1">
        <v>44195</v>
      </c>
      <c r="B209" s="2" t="s">
        <v>3</v>
      </c>
      <c r="C209">
        <v>438</v>
      </c>
      <c r="D209">
        <v>5680</v>
      </c>
      <c r="E209">
        <v>296</v>
      </c>
      <c r="F209">
        <v>55</v>
      </c>
      <c r="G209">
        <v>1393</v>
      </c>
      <c r="H209">
        <v>512</v>
      </c>
      <c r="I209">
        <v>14</v>
      </c>
      <c r="J209">
        <v>0</v>
      </c>
      <c r="K209">
        <v>450</v>
      </c>
      <c r="L209" t="s">
        <v>349</v>
      </c>
      <c r="M209">
        <v>1.0496453900709219</v>
      </c>
      <c r="N209">
        <v>1</v>
      </c>
      <c r="O209">
        <v>7</v>
      </c>
    </row>
    <row r="210" spans="1:15" x14ac:dyDescent="0.3">
      <c r="A210" s="1">
        <v>44196</v>
      </c>
      <c r="B210" s="2" t="s">
        <v>4</v>
      </c>
      <c r="C210">
        <v>97</v>
      </c>
      <c r="D210">
        <v>1091</v>
      </c>
      <c r="E210">
        <v>67</v>
      </c>
      <c r="F210">
        <v>20</v>
      </c>
      <c r="G210">
        <v>312</v>
      </c>
      <c r="H210">
        <v>107</v>
      </c>
      <c r="I210">
        <v>-3</v>
      </c>
      <c r="J210">
        <v>1</v>
      </c>
      <c r="K210">
        <v>44</v>
      </c>
      <c r="L210" t="s">
        <v>350</v>
      </c>
      <c r="M210">
        <v>0.95714285714285718</v>
      </c>
      <c r="N210">
        <v>1.0526315789473684</v>
      </c>
      <c r="O210">
        <v>1</v>
      </c>
    </row>
    <row r="211" spans="1:15" x14ac:dyDescent="0.3">
      <c r="A211" s="1">
        <v>44196</v>
      </c>
      <c r="B211" s="2" t="s">
        <v>5</v>
      </c>
      <c r="C211">
        <v>19</v>
      </c>
      <c r="D211">
        <v>307</v>
      </c>
      <c r="E211">
        <v>35</v>
      </c>
      <c r="F211">
        <v>2</v>
      </c>
      <c r="G211">
        <v>90</v>
      </c>
      <c r="H211">
        <v>24</v>
      </c>
      <c r="I211">
        <v>2</v>
      </c>
      <c r="J211">
        <v>-1</v>
      </c>
      <c r="K211">
        <v>29</v>
      </c>
      <c r="L211" t="s">
        <v>350</v>
      </c>
      <c r="M211">
        <v>1.0606060606060606</v>
      </c>
      <c r="N211">
        <v>0.66666666666666663</v>
      </c>
      <c r="O211">
        <v>0</v>
      </c>
    </row>
    <row r="212" spans="1:15" x14ac:dyDescent="0.3">
      <c r="A212" s="1">
        <v>44196</v>
      </c>
      <c r="B212" s="2" t="s">
        <v>8</v>
      </c>
      <c r="C212">
        <v>32</v>
      </c>
      <c r="D212">
        <v>463</v>
      </c>
      <c r="E212">
        <v>13</v>
      </c>
      <c r="F212">
        <v>2</v>
      </c>
      <c r="G212">
        <v>145</v>
      </c>
      <c r="H212">
        <v>47</v>
      </c>
      <c r="I212">
        <v>-3</v>
      </c>
      <c r="J212">
        <v>0</v>
      </c>
      <c r="K212">
        <v>28</v>
      </c>
      <c r="L212" t="s">
        <v>350</v>
      </c>
      <c r="M212">
        <v>0.8125</v>
      </c>
      <c r="N212">
        <v>1</v>
      </c>
      <c r="O212">
        <v>0</v>
      </c>
    </row>
    <row r="213" spans="1:15" x14ac:dyDescent="0.3">
      <c r="A213" s="1">
        <v>44196</v>
      </c>
      <c r="B213" s="2" t="s">
        <v>9</v>
      </c>
      <c r="C213">
        <v>52</v>
      </c>
      <c r="D213">
        <v>600</v>
      </c>
      <c r="E213">
        <v>21</v>
      </c>
      <c r="F213">
        <v>2</v>
      </c>
      <c r="G213">
        <v>309</v>
      </c>
      <c r="H213">
        <v>69</v>
      </c>
      <c r="I213">
        <v>-3</v>
      </c>
      <c r="J213">
        <v>-1</v>
      </c>
      <c r="K213">
        <v>41</v>
      </c>
      <c r="L213" t="s">
        <v>350</v>
      </c>
      <c r="M213">
        <v>0.875</v>
      </c>
      <c r="N213">
        <v>0.66666666666666663</v>
      </c>
      <c r="O213">
        <v>1</v>
      </c>
    </row>
    <row r="214" spans="1:15" x14ac:dyDescent="0.3">
      <c r="A214" s="1">
        <v>44196</v>
      </c>
      <c r="B214" s="2" t="s">
        <v>6</v>
      </c>
      <c r="C214">
        <v>48</v>
      </c>
      <c r="D214">
        <v>789</v>
      </c>
      <c r="E214">
        <v>39</v>
      </c>
      <c r="F214">
        <v>12</v>
      </c>
      <c r="G214">
        <v>80</v>
      </c>
      <c r="H214">
        <v>51</v>
      </c>
      <c r="I214">
        <v>-3</v>
      </c>
      <c r="J214">
        <v>2</v>
      </c>
      <c r="K214">
        <v>76</v>
      </c>
      <c r="L214" t="s">
        <v>350</v>
      </c>
      <c r="M214">
        <v>0.9285714285714286</v>
      </c>
      <c r="N214">
        <v>1.2</v>
      </c>
      <c r="O214">
        <v>2</v>
      </c>
    </row>
    <row r="215" spans="1:15" x14ac:dyDescent="0.3">
      <c r="A215" s="1">
        <v>44196</v>
      </c>
      <c r="B215" s="2" t="s">
        <v>7</v>
      </c>
      <c r="C215">
        <v>83</v>
      </c>
      <c r="D215">
        <v>1346</v>
      </c>
      <c r="E215">
        <v>75</v>
      </c>
      <c r="F215">
        <v>8</v>
      </c>
      <c r="G215">
        <v>193</v>
      </c>
      <c r="H215">
        <v>103</v>
      </c>
      <c r="I215">
        <v>6</v>
      </c>
      <c r="J215">
        <v>1</v>
      </c>
      <c r="K215">
        <v>124</v>
      </c>
      <c r="L215" t="s">
        <v>350</v>
      </c>
      <c r="M215">
        <v>1.0869565217391304</v>
      </c>
      <c r="N215">
        <v>1.1428571428571428</v>
      </c>
      <c r="O215">
        <v>2</v>
      </c>
    </row>
    <row r="216" spans="1:15" x14ac:dyDescent="0.3">
      <c r="A216" s="1">
        <v>44196</v>
      </c>
      <c r="B216" s="2" t="s">
        <v>2</v>
      </c>
      <c r="C216">
        <v>110</v>
      </c>
      <c r="D216">
        <v>1181</v>
      </c>
      <c r="E216">
        <v>40</v>
      </c>
      <c r="F216">
        <v>9</v>
      </c>
      <c r="G216">
        <v>271</v>
      </c>
      <c r="H216">
        <v>131</v>
      </c>
      <c r="I216">
        <v>-2</v>
      </c>
      <c r="J216">
        <v>-2</v>
      </c>
      <c r="K216">
        <v>86</v>
      </c>
      <c r="L216" t="s">
        <v>350</v>
      </c>
      <c r="M216">
        <v>0.95238095238095233</v>
      </c>
      <c r="N216">
        <v>0.81818181818181823</v>
      </c>
      <c r="O216">
        <v>1</v>
      </c>
    </row>
    <row r="217" spans="1:15" x14ac:dyDescent="0.3">
      <c r="A217" s="1">
        <v>44196</v>
      </c>
      <c r="B217" s="2" t="s">
        <v>3</v>
      </c>
      <c r="C217">
        <v>441</v>
      </c>
      <c r="D217">
        <v>5777</v>
      </c>
      <c r="E217">
        <v>290</v>
      </c>
      <c r="F217">
        <v>55</v>
      </c>
      <c r="G217">
        <v>1400</v>
      </c>
      <c r="H217">
        <v>532</v>
      </c>
      <c r="I217">
        <v>-6</v>
      </c>
      <c r="J217">
        <v>0</v>
      </c>
      <c r="K217">
        <v>428</v>
      </c>
      <c r="L217" t="s">
        <v>350</v>
      </c>
      <c r="M217">
        <v>0.97972972972972971</v>
      </c>
      <c r="N217">
        <v>1</v>
      </c>
      <c r="O217">
        <v>7</v>
      </c>
    </row>
    <row r="218" spans="1:15" x14ac:dyDescent="0.3">
      <c r="A218" s="1">
        <v>44197</v>
      </c>
      <c r="B218" s="2" t="s">
        <v>4</v>
      </c>
      <c r="C218">
        <v>116</v>
      </c>
      <c r="D218">
        <v>1150</v>
      </c>
      <c r="E218">
        <v>72</v>
      </c>
      <c r="F218">
        <v>20</v>
      </c>
      <c r="G218">
        <v>314</v>
      </c>
      <c r="H218">
        <v>118</v>
      </c>
      <c r="I218">
        <v>5</v>
      </c>
      <c r="J218">
        <v>0</v>
      </c>
      <c r="K218">
        <v>57</v>
      </c>
      <c r="L218" t="s">
        <v>351</v>
      </c>
      <c r="M218">
        <v>1.0746268656716418</v>
      </c>
      <c r="N218">
        <v>1</v>
      </c>
      <c r="O218">
        <v>2</v>
      </c>
    </row>
    <row r="219" spans="1:15" x14ac:dyDescent="0.3">
      <c r="A219" s="1">
        <v>44197</v>
      </c>
      <c r="B219" s="2" t="s">
        <v>5</v>
      </c>
      <c r="C219">
        <v>21</v>
      </c>
      <c r="D219">
        <v>309</v>
      </c>
      <c r="E219">
        <v>37</v>
      </c>
      <c r="F219">
        <v>2</v>
      </c>
      <c r="G219">
        <v>90</v>
      </c>
      <c r="H219">
        <v>21</v>
      </c>
      <c r="I219">
        <v>2</v>
      </c>
      <c r="J219">
        <v>0</v>
      </c>
      <c r="K219">
        <v>19</v>
      </c>
      <c r="L219" t="s">
        <v>351</v>
      </c>
      <c r="M219">
        <v>1.0571428571428572</v>
      </c>
      <c r="N219">
        <v>1</v>
      </c>
      <c r="O219">
        <v>0</v>
      </c>
    </row>
    <row r="220" spans="1:15" x14ac:dyDescent="0.3">
      <c r="A220" s="1">
        <v>44197</v>
      </c>
      <c r="B220" s="2" t="s">
        <v>8</v>
      </c>
      <c r="C220">
        <v>39</v>
      </c>
      <c r="D220">
        <v>475</v>
      </c>
      <c r="E220">
        <v>14</v>
      </c>
      <c r="F220">
        <v>2</v>
      </c>
      <c r="G220">
        <v>145</v>
      </c>
      <c r="H220">
        <v>35</v>
      </c>
      <c r="I220">
        <v>1</v>
      </c>
      <c r="J220">
        <v>0</v>
      </c>
      <c r="K220">
        <v>23</v>
      </c>
      <c r="L220" t="s">
        <v>351</v>
      </c>
      <c r="M220">
        <v>1.0769230769230769</v>
      </c>
      <c r="N220">
        <v>1</v>
      </c>
      <c r="O220">
        <v>0</v>
      </c>
    </row>
    <row r="221" spans="1:15" x14ac:dyDescent="0.3">
      <c r="A221" s="1">
        <v>44197</v>
      </c>
      <c r="B221" s="2" t="s">
        <v>9</v>
      </c>
      <c r="C221">
        <v>14</v>
      </c>
      <c r="D221">
        <v>595</v>
      </c>
      <c r="E221">
        <v>22</v>
      </c>
      <c r="F221">
        <v>2</v>
      </c>
      <c r="G221">
        <v>309</v>
      </c>
      <c r="H221">
        <v>31</v>
      </c>
      <c r="I221">
        <v>1</v>
      </c>
      <c r="J221">
        <v>0</v>
      </c>
      <c r="K221">
        <v>36</v>
      </c>
      <c r="L221" t="s">
        <v>351</v>
      </c>
      <c r="M221">
        <v>1.0476190476190477</v>
      </c>
      <c r="N221">
        <v>1</v>
      </c>
      <c r="O221">
        <v>0</v>
      </c>
    </row>
    <row r="222" spans="1:15" x14ac:dyDescent="0.3">
      <c r="A222" s="1">
        <v>44197</v>
      </c>
      <c r="B222" s="2" t="s">
        <v>6</v>
      </c>
      <c r="C222">
        <v>42</v>
      </c>
      <c r="D222">
        <v>773</v>
      </c>
      <c r="E222">
        <v>32</v>
      </c>
      <c r="F222">
        <v>12</v>
      </c>
      <c r="G222">
        <v>81</v>
      </c>
      <c r="H222">
        <v>46</v>
      </c>
      <c r="I222">
        <v>-7</v>
      </c>
      <c r="J222">
        <v>0</v>
      </c>
      <c r="K222">
        <v>62</v>
      </c>
      <c r="L222" t="s">
        <v>351</v>
      </c>
      <c r="M222">
        <v>0.82051282051282048</v>
      </c>
      <c r="N222">
        <v>1</v>
      </c>
      <c r="O222">
        <v>1</v>
      </c>
    </row>
    <row r="223" spans="1:15" x14ac:dyDescent="0.3">
      <c r="A223" s="1">
        <v>44197</v>
      </c>
      <c r="B223" s="2" t="s">
        <v>7</v>
      </c>
      <c r="C223">
        <v>115</v>
      </c>
      <c r="D223">
        <v>1356</v>
      </c>
      <c r="E223">
        <v>79</v>
      </c>
      <c r="F223">
        <v>8</v>
      </c>
      <c r="G223">
        <v>193</v>
      </c>
      <c r="H223">
        <v>122</v>
      </c>
      <c r="I223">
        <v>4</v>
      </c>
      <c r="J223">
        <v>0</v>
      </c>
      <c r="K223">
        <v>112</v>
      </c>
      <c r="L223" t="s">
        <v>351</v>
      </c>
      <c r="M223">
        <v>1.0533333333333332</v>
      </c>
      <c r="N223">
        <v>1</v>
      </c>
      <c r="O223">
        <v>0</v>
      </c>
    </row>
    <row r="224" spans="1:15" x14ac:dyDescent="0.3">
      <c r="A224" s="1">
        <v>44197</v>
      </c>
      <c r="B224" s="2" t="s">
        <v>2</v>
      </c>
      <c r="C224">
        <v>65</v>
      </c>
      <c r="D224">
        <v>1175</v>
      </c>
      <c r="E224">
        <v>41</v>
      </c>
      <c r="F224">
        <v>11</v>
      </c>
      <c r="G224">
        <v>271</v>
      </c>
      <c r="H224">
        <v>71</v>
      </c>
      <c r="I224">
        <v>1</v>
      </c>
      <c r="J224">
        <v>2</v>
      </c>
      <c r="K224">
        <v>77</v>
      </c>
      <c r="L224" t="s">
        <v>351</v>
      </c>
      <c r="M224">
        <v>1.0249999999999999</v>
      </c>
      <c r="N224">
        <v>1.2222222222222223</v>
      </c>
      <c r="O224">
        <v>0</v>
      </c>
    </row>
    <row r="225" spans="1:15" x14ac:dyDescent="0.3">
      <c r="A225" s="1">
        <v>44197</v>
      </c>
      <c r="B225" s="2" t="s">
        <v>3</v>
      </c>
      <c r="C225">
        <v>412</v>
      </c>
      <c r="D225">
        <v>5833</v>
      </c>
      <c r="E225">
        <v>297</v>
      </c>
      <c r="F225">
        <v>57</v>
      </c>
      <c r="G225">
        <v>1403</v>
      </c>
      <c r="H225">
        <v>444</v>
      </c>
      <c r="I225">
        <v>7</v>
      </c>
      <c r="J225">
        <v>2</v>
      </c>
      <c r="K225">
        <v>386</v>
      </c>
      <c r="L225" t="s">
        <v>351</v>
      </c>
      <c r="M225">
        <v>1.0241379310344827</v>
      </c>
      <c r="N225">
        <v>1.0363636363636364</v>
      </c>
      <c r="O225">
        <v>3</v>
      </c>
    </row>
    <row r="226" spans="1:15" x14ac:dyDescent="0.3">
      <c r="A226" s="1">
        <v>44198</v>
      </c>
      <c r="B226" s="2" t="s">
        <v>4</v>
      </c>
      <c r="C226">
        <v>43</v>
      </c>
      <c r="D226">
        <v>1134</v>
      </c>
      <c r="E226">
        <v>77</v>
      </c>
      <c r="F226">
        <v>18</v>
      </c>
      <c r="G226">
        <v>314</v>
      </c>
      <c r="H226">
        <v>46</v>
      </c>
      <c r="I226">
        <v>5</v>
      </c>
      <c r="J226">
        <v>-2</v>
      </c>
      <c r="K226">
        <v>62</v>
      </c>
      <c r="L226" t="s">
        <v>352</v>
      </c>
      <c r="M226">
        <v>1.0694444444444444</v>
      </c>
      <c r="N226">
        <v>0.9</v>
      </c>
      <c r="O226">
        <v>0</v>
      </c>
    </row>
    <row r="227" spans="1:15" x14ac:dyDescent="0.3">
      <c r="A227" s="1">
        <v>44198</v>
      </c>
      <c r="B227" s="2" t="s">
        <v>5</v>
      </c>
      <c r="C227">
        <v>9</v>
      </c>
      <c r="D227">
        <v>295</v>
      </c>
      <c r="E227">
        <v>41</v>
      </c>
      <c r="F227">
        <v>2</v>
      </c>
      <c r="G227">
        <v>90</v>
      </c>
      <c r="H227">
        <v>11</v>
      </c>
      <c r="I227">
        <v>4</v>
      </c>
      <c r="J227">
        <v>0</v>
      </c>
      <c r="K227">
        <v>25</v>
      </c>
      <c r="L227" t="s">
        <v>352</v>
      </c>
      <c r="M227">
        <v>1.1081081081081081</v>
      </c>
      <c r="N227">
        <v>1</v>
      </c>
      <c r="O227">
        <v>0</v>
      </c>
    </row>
    <row r="228" spans="1:15" x14ac:dyDescent="0.3">
      <c r="A228" s="1">
        <v>44198</v>
      </c>
      <c r="B228" s="2" t="s">
        <v>8</v>
      </c>
      <c r="C228">
        <v>29</v>
      </c>
      <c r="D228">
        <v>483</v>
      </c>
      <c r="E228">
        <v>16</v>
      </c>
      <c r="F228">
        <v>2</v>
      </c>
      <c r="G228">
        <v>145</v>
      </c>
      <c r="H228">
        <v>33</v>
      </c>
      <c r="I228">
        <v>2</v>
      </c>
      <c r="J228">
        <v>0</v>
      </c>
      <c r="K228">
        <v>25</v>
      </c>
      <c r="L228" t="s">
        <v>352</v>
      </c>
      <c r="M228">
        <v>1.1428571428571428</v>
      </c>
      <c r="N228">
        <v>1</v>
      </c>
      <c r="O228">
        <v>0</v>
      </c>
    </row>
    <row r="229" spans="1:15" x14ac:dyDescent="0.3">
      <c r="A229" s="1">
        <v>44198</v>
      </c>
      <c r="B229" s="2" t="s">
        <v>9</v>
      </c>
      <c r="C229">
        <v>28</v>
      </c>
      <c r="D229">
        <v>605</v>
      </c>
      <c r="E229">
        <v>23</v>
      </c>
      <c r="F229">
        <v>3</v>
      </c>
      <c r="G229">
        <v>309</v>
      </c>
      <c r="H229">
        <v>30</v>
      </c>
      <c r="I229">
        <v>1</v>
      </c>
      <c r="J229">
        <v>1</v>
      </c>
      <c r="K229">
        <v>20</v>
      </c>
      <c r="L229" t="s">
        <v>352</v>
      </c>
      <c r="M229">
        <v>1.0454545454545454</v>
      </c>
      <c r="N229">
        <v>1.5</v>
      </c>
      <c r="O229">
        <v>0</v>
      </c>
    </row>
    <row r="230" spans="1:15" x14ac:dyDescent="0.3">
      <c r="A230" s="1">
        <v>44198</v>
      </c>
      <c r="B230" s="2" t="s">
        <v>6</v>
      </c>
      <c r="C230">
        <v>16</v>
      </c>
      <c r="D230">
        <v>710</v>
      </c>
      <c r="E230">
        <v>35</v>
      </c>
      <c r="F230">
        <v>9</v>
      </c>
      <c r="G230">
        <v>83</v>
      </c>
      <c r="H230">
        <v>26</v>
      </c>
      <c r="I230">
        <v>3</v>
      </c>
      <c r="J230">
        <v>-3</v>
      </c>
      <c r="K230">
        <v>86</v>
      </c>
      <c r="L230" t="s">
        <v>352</v>
      </c>
      <c r="M230">
        <v>1.09375</v>
      </c>
      <c r="N230">
        <v>0.75</v>
      </c>
      <c r="O230">
        <v>2</v>
      </c>
    </row>
    <row r="231" spans="1:15" x14ac:dyDescent="0.3">
      <c r="A231" s="1">
        <v>44198</v>
      </c>
      <c r="B231" s="2" t="s">
        <v>7</v>
      </c>
      <c r="C231">
        <v>57</v>
      </c>
      <c r="D231">
        <v>1332</v>
      </c>
      <c r="E231">
        <v>76</v>
      </c>
      <c r="F231">
        <v>11</v>
      </c>
      <c r="G231">
        <v>197</v>
      </c>
      <c r="H231">
        <v>66</v>
      </c>
      <c r="I231">
        <v>-3</v>
      </c>
      <c r="J231">
        <v>3</v>
      </c>
      <c r="K231">
        <v>86</v>
      </c>
      <c r="L231" t="s">
        <v>352</v>
      </c>
      <c r="M231">
        <v>0.96202531645569622</v>
      </c>
      <c r="N231">
        <v>1.375</v>
      </c>
      <c r="O231">
        <v>4</v>
      </c>
    </row>
    <row r="232" spans="1:15" x14ac:dyDescent="0.3">
      <c r="A232" s="1">
        <v>44198</v>
      </c>
      <c r="B232" s="2" t="s">
        <v>2</v>
      </c>
      <c r="C232">
        <v>87</v>
      </c>
      <c r="D232">
        <v>1173</v>
      </c>
      <c r="E232">
        <v>43</v>
      </c>
      <c r="F232">
        <v>12</v>
      </c>
      <c r="G232">
        <v>271</v>
      </c>
      <c r="H232">
        <v>85</v>
      </c>
      <c r="I232">
        <v>2</v>
      </c>
      <c r="J232">
        <v>1</v>
      </c>
      <c r="K232">
        <v>87</v>
      </c>
      <c r="L232" t="s">
        <v>352</v>
      </c>
      <c r="M232">
        <v>1.0487804878048781</v>
      </c>
      <c r="N232">
        <v>1.0909090909090908</v>
      </c>
      <c r="O232">
        <v>0</v>
      </c>
    </row>
    <row r="233" spans="1:15" x14ac:dyDescent="0.3">
      <c r="A233" s="1">
        <v>44198</v>
      </c>
      <c r="B233" s="2" t="s">
        <v>3</v>
      </c>
      <c r="C233">
        <v>269</v>
      </c>
      <c r="D233">
        <v>5732</v>
      </c>
      <c r="E233">
        <v>311</v>
      </c>
      <c r="F233">
        <v>57</v>
      </c>
      <c r="G233">
        <v>1409</v>
      </c>
      <c r="H233">
        <v>297</v>
      </c>
      <c r="I233">
        <v>14</v>
      </c>
      <c r="J233">
        <v>0</v>
      </c>
      <c r="K233">
        <v>391</v>
      </c>
      <c r="L233" t="s">
        <v>352</v>
      </c>
      <c r="M233">
        <v>1.0471380471380471</v>
      </c>
      <c r="N233">
        <v>1</v>
      </c>
      <c r="O233">
        <v>6</v>
      </c>
    </row>
    <row r="234" spans="1:15" x14ac:dyDescent="0.3">
      <c r="A234" s="1">
        <v>44199</v>
      </c>
      <c r="B234" s="2" t="s">
        <v>4</v>
      </c>
      <c r="C234">
        <v>103</v>
      </c>
      <c r="D234">
        <v>1193</v>
      </c>
      <c r="E234">
        <v>83</v>
      </c>
      <c r="F234">
        <v>19</v>
      </c>
      <c r="G234">
        <v>315</v>
      </c>
      <c r="H234">
        <v>118</v>
      </c>
      <c r="I234">
        <v>6</v>
      </c>
      <c r="J234">
        <v>1</v>
      </c>
      <c r="K234">
        <v>58</v>
      </c>
      <c r="L234" t="s">
        <v>353</v>
      </c>
      <c r="M234">
        <v>1.0779220779220779</v>
      </c>
      <c r="N234">
        <v>1.0555555555555556</v>
      </c>
      <c r="O234">
        <v>1</v>
      </c>
    </row>
    <row r="235" spans="1:15" x14ac:dyDescent="0.3">
      <c r="A235" s="1">
        <v>44199</v>
      </c>
      <c r="B235" s="2" t="s">
        <v>5</v>
      </c>
      <c r="C235">
        <v>54</v>
      </c>
      <c r="D235">
        <v>343</v>
      </c>
      <c r="E235">
        <v>45</v>
      </c>
      <c r="F235">
        <v>1</v>
      </c>
      <c r="G235">
        <v>90</v>
      </c>
      <c r="H235">
        <v>54</v>
      </c>
      <c r="I235">
        <v>4</v>
      </c>
      <c r="J235">
        <v>-1</v>
      </c>
      <c r="K235">
        <v>6</v>
      </c>
      <c r="L235" t="s">
        <v>353</v>
      </c>
      <c r="M235">
        <v>1.0975609756097562</v>
      </c>
      <c r="N235">
        <v>0.5</v>
      </c>
      <c r="O235">
        <v>0</v>
      </c>
    </row>
    <row r="236" spans="1:15" x14ac:dyDescent="0.3">
      <c r="A236" s="1">
        <v>44199</v>
      </c>
      <c r="B236" s="2" t="s">
        <v>8</v>
      </c>
      <c r="C236">
        <v>57</v>
      </c>
      <c r="D236">
        <v>507</v>
      </c>
      <c r="E236">
        <v>17</v>
      </c>
      <c r="F236">
        <v>0</v>
      </c>
      <c r="G236">
        <v>145</v>
      </c>
      <c r="H236">
        <v>60</v>
      </c>
      <c r="I236">
        <v>1</v>
      </c>
      <c r="J236">
        <v>-2</v>
      </c>
      <c r="K236">
        <v>36</v>
      </c>
      <c r="L236" t="s">
        <v>353</v>
      </c>
      <c r="M236">
        <v>1.0625</v>
      </c>
      <c r="N236">
        <v>0</v>
      </c>
      <c r="O236">
        <v>0</v>
      </c>
    </row>
    <row r="237" spans="1:15" x14ac:dyDescent="0.3">
      <c r="A237" s="1">
        <v>44199</v>
      </c>
      <c r="B237" s="2" t="s">
        <v>9</v>
      </c>
      <c r="C237">
        <v>81</v>
      </c>
      <c r="D237">
        <v>670</v>
      </c>
      <c r="E237">
        <v>25</v>
      </c>
      <c r="F237">
        <v>3</v>
      </c>
      <c r="G237">
        <v>309</v>
      </c>
      <c r="H237">
        <v>87</v>
      </c>
      <c r="I237">
        <v>2</v>
      </c>
      <c r="J237">
        <v>0</v>
      </c>
      <c r="K237">
        <v>22</v>
      </c>
      <c r="L237" t="s">
        <v>353</v>
      </c>
      <c r="M237">
        <v>1.0869565217391304</v>
      </c>
      <c r="N237">
        <v>1</v>
      </c>
      <c r="O237">
        <v>0</v>
      </c>
    </row>
    <row r="238" spans="1:15" x14ac:dyDescent="0.3">
      <c r="A238" s="1">
        <v>44199</v>
      </c>
      <c r="B238" s="2" t="s">
        <v>6</v>
      </c>
      <c r="C238">
        <v>56</v>
      </c>
      <c r="D238">
        <v>731</v>
      </c>
      <c r="E238">
        <v>39</v>
      </c>
      <c r="F238">
        <v>8</v>
      </c>
      <c r="G238">
        <v>83</v>
      </c>
      <c r="H238">
        <v>59</v>
      </c>
      <c r="I238">
        <v>4</v>
      </c>
      <c r="J238">
        <v>-1</v>
      </c>
      <c r="K238">
        <v>38</v>
      </c>
      <c r="L238" t="s">
        <v>353</v>
      </c>
      <c r="M238">
        <v>1.1142857142857143</v>
      </c>
      <c r="N238">
        <v>0.88888888888888884</v>
      </c>
      <c r="O238">
        <v>0</v>
      </c>
    </row>
    <row r="239" spans="1:15" x14ac:dyDescent="0.3">
      <c r="A239" s="1">
        <v>44199</v>
      </c>
      <c r="B239" s="2" t="s">
        <v>7</v>
      </c>
      <c r="C239">
        <v>43</v>
      </c>
      <c r="D239">
        <v>1327</v>
      </c>
      <c r="E239">
        <v>74</v>
      </c>
      <c r="F239">
        <v>12</v>
      </c>
      <c r="G239">
        <v>200</v>
      </c>
      <c r="H239">
        <v>53</v>
      </c>
      <c r="I239">
        <v>-2</v>
      </c>
      <c r="J239">
        <v>1</v>
      </c>
      <c r="K239">
        <v>55</v>
      </c>
      <c r="L239" t="s">
        <v>353</v>
      </c>
      <c r="M239">
        <v>0.97368421052631582</v>
      </c>
      <c r="N239">
        <v>1.0909090909090908</v>
      </c>
      <c r="O239">
        <v>3</v>
      </c>
    </row>
    <row r="240" spans="1:15" x14ac:dyDescent="0.3">
      <c r="A240" s="1">
        <v>44199</v>
      </c>
      <c r="B240" s="2" t="s">
        <v>2</v>
      </c>
      <c r="C240">
        <v>28</v>
      </c>
      <c r="D240">
        <v>1134</v>
      </c>
      <c r="E240">
        <v>51</v>
      </c>
      <c r="F240">
        <v>11</v>
      </c>
      <c r="G240">
        <v>272</v>
      </c>
      <c r="H240">
        <v>33</v>
      </c>
      <c r="I240">
        <v>8</v>
      </c>
      <c r="J240">
        <v>-1</v>
      </c>
      <c r="K240">
        <v>71</v>
      </c>
      <c r="L240" t="s">
        <v>353</v>
      </c>
      <c r="M240">
        <v>1.1860465116279071</v>
      </c>
      <c r="N240">
        <v>0.91666666666666663</v>
      </c>
      <c r="O240">
        <v>1</v>
      </c>
    </row>
    <row r="241" spans="1:15" x14ac:dyDescent="0.3">
      <c r="A241" s="1">
        <v>44199</v>
      </c>
      <c r="B241" s="2" t="s">
        <v>3</v>
      </c>
      <c r="C241">
        <v>422</v>
      </c>
      <c r="D241">
        <v>5905</v>
      </c>
      <c r="E241">
        <v>334</v>
      </c>
      <c r="F241">
        <v>54</v>
      </c>
      <c r="G241">
        <v>1414</v>
      </c>
      <c r="H241">
        <v>464</v>
      </c>
      <c r="I241">
        <v>23</v>
      </c>
      <c r="J241">
        <v>-3</v>
      </c>
      <c r="K241">
        <v>286</v>
      </c>
      <c r="L241" t="s">
        <v>353</v>
      </c>
      <c r="M241">
        <v>1.0739549839228295</v>
      </c>
      <c r="N241">
        <v>0.94736842105263153</v>
      </c>
      <c r="O241">
        <v>5</v>
      </c>
    </row>
    <row r="242" spans="1:15" x14ac:dyDescent="0.3">
      <c r="A242" s="1">
        <v>44200</v>
      </c>
      <c r="B242" s="2" t="s">
        <v>4</v>
      </c>
      <c r="C242">
        <v>71</v>
      </c>
      <c r="D242">
        <v>1224</v>
      </c>
      <c r="E242">
        <v>81</v>
      </c>
      <c r="F242">
        <v>17</v>
      </c>
      <c r="G242">
        <v>321</v>
      </c>
      <c r="H242">
        <v>86</v>
      </c>
      <c r="I242">
        <v>-2</v>
      </c>
      <c r="J242">
        <v>-2</v>
      </c>
      <c r="K242">
        <v>50</v>
      </c>
      <c r="L242" t="s">
        <v>354</v>
      </c>
      <c r="M242">
        <v>0.97590361445783136</v>
      </c>
      <c r="N242">
        <v>0.89473684210526316</v>
      </c>
      <c r="O242">
        <v>6</v>
      </c>
    </row>
    <row r="243" spans="1:15" x14ac:dyDescent="0.3">
      <c r="A243" s="1">
        <v>44200</v>
      </c>
      <c r="B243" s="2" t="s">
        <v>5</v>
      </c>
      <c r="C243">
        <v>23</v>
      </c>
      <c r="D243">
        <v>348</v>
      </c>
      <c r="E243">
        <v>50</v>
      </c>
      <c r="F243">
        <v>1</v>
      </c>
      <c r="G243">
        <v>90</v>
      </c>
      <c r="H243">
        <v>22</v>
      </c>
      <c r="I243">
        <v>5</v>
      </c>
      <c r="J243">
        <v>0</v>
      </c>
      <c r="K243">
        <v>17</v>
      </c>
      <c r="L243" t="s">
        <v>354</v>
      </c>
      <c r="M243">
        <v>1.1111111111111112</v>
      </c>
      <c r="N243">
        <v>1</v>
      </c>
      <c r="O243">
        <v>0</v>
      </c>
    </row>
    <row r="244" spans="1:15" x14ac:dyDescent="0.3">
      <c r="A244" s="1">
        <v>44200</v>
      </c>
      <c r="B244" s="2" t="s">
        <v>8</v>
      </c>
      <c r="C244">
        <v>46</v>
      </c>
      <c r="D244">
        <v>531</v>
      </c>
      <c r="E244">
        <v>17</v>
      </c>
      <c r="F244">
        <v>0</v>
      </c>
      <c r="G244">
        <v>145</v>
      </c>
      <c r="H244">
        <v>45</v>
      </c>
      <c r="I244">
        <v>0</v>
      </c>
      <c r="J244">
        <v>0</v>
      </c>
      <c r="K244">
        <v>20</v>
      </c>
      <c r="L244" t="s">
        <v>354</v>
      </c>
      <c r="M244">
        <v>1</v>
      </c>
      <c r="N244" t="e">
        <v>#NUM!</v>
      </c>
      <c r="O244">
        <v>0</v>
      </c>
    </row>
    <row r="245" spans="1:15" x14ac:dyDescent="0.3">
      <c r="A245" s="1">
        <v>44200</v>
      </c>
      <c r="B245" s="2" t="s">
        <v>9</v>
      </c>
      <c r="C245">
        <v>52</v>
      </c>
      <c r="D245">
        <v>688</v>
      </c>
      <c r="E245">
        <v>28</v>
      </c>
      <c r="F245">
        <v>2</v>
      </c>
      <c r="G245">
        <v>310</v>
      </c>
      <c r="H245">
        <v>62</v>
      </c>
      <c r="I245">
        <v>3</v>
      </c>
      <c r="J245">
        <v>-1</v>
      </c>
      <c r="K245">
        <v>44</v>
      </c>
      <c r="L245" t="s">
        <v>354</v>
      </c>
      <c r="M245">
        <v>1.1200000000000001</v>
      </c>
      <c r="N245">
        <v>0.66666666666666663</v>
      </c>
      <c r="O245">
        <v>1</v>
      </c>
    </row>
    <row r="246" spans="1:15" x14ac:dyDescent="0.3">
      <c r="A246" s="1">
        <v>44200</v>
      </c>
      <c r="B246" s="2" t="s">
        <v>6</v>
      </c>
      <c r="C246">
        <v>40</v>
      </c>
      <c r="D246">
        <v>751</v>
      </c>
      <c r="E246">
        <v>37</v>
      </c>
      <c r="F246">
        <v>11</v>
      </c>
      <c r="G246">
        <v>83</v>
      </c>
      <c r="H246">
        <v>44</v>
      </c>
      <c r="I246">
        <v>-2</v>
      </c>
      <c r="J246">
        <v>3</v>
      </c>
      <c r="K246">
        <v>24</v>
      </c>
      <c r="L246" t="s">
        <v>354</v>
      </c>
      <c r="M246">
        <v>0.94871794871794868</v>
      </c>
      <c r="N246">
        <v>1.375</v>
      </c>
      <c r="O246">
        <v>0</v>
      </c>
    </row>
    <row r="247" spans="1:15" x14ac:dyDescent="0.3">
      <c r="A247" s="1">
        <v>44200</v>
      </c>
      <c r="B247" s="2" t="s">
        <v>7</v>
      </c>
      <c r="C247">
        <v>37</v>
      </c>
      <c r="D247">
        <v>1336</v>
      </c>
      <c r="E247">
        <v>80</v>
      </c>
      <c r="F247">
        <v>13</v>
      </c>
      <c r="G247">
        <v>200</v>
      </c>
      <c r="H247">
        <v>60</v>
      </c>
      <c r="I247">
        <v>6</v>
      </c>
      <c r="J247">
        <v>1</v>
      </c>
      <c r="K247">
        <v>51</v>
      </c>
      <c r="L247" t="s">
        <v>354</v>
      </c>
      <c r="M247">
        <v>1.0810810810810811</v>
      </c>
      <c r="N247">
        <v>1.0833333333333333</v>
      </c>
      <c r="O247">
        <v>0</v>
      </c>
    </row>
    <row r="248" spans="1:15" x14ac:dyDescent="0.3">
      <c r="A248" s="1">
        <v>44200</v>
      </c>
      <c r="B248" s="2" t="s">
        <v>2</v>
      </c>
      <c r="C248">
        <v>29</v>
      </c>
      <c r="D248">
        <v>1113</v>
      </c>
      <c r="E248">
        <v>49</v>
      </c>
      <c r="F248">
        <v>12</v>
      </c>
      <c r="G248">
        <v>272</v>
      </c>
      <c r="H248">
        <v>32</v>
      </c>
      <c r="I248">
        <v>-2</v>
      </c>
      <c r="J248">
        <v>1</v>
      </c>
      <c r="K248">
        <v>53</v>
      </c>
      <c r="L248" t="s">
        <v>354</v>
      </c>
      <c r="M248">
        <v>0.96078431372549022</v>
      </c>
      <c r="N248">
        <v>1.0909090909090908</v>
      </c>
      <c r="O248">
        <v>0</v>
      </c>
    </row>
    <row r="249" spans="1:15" x14ac:dyDescent="0.3">
      <c r="A249" s="1">
        <v>44200</v>
      </c>
      <c r="B249" s="2" t="s">
        <v>3</v>
      </c>
      <c r="C249">
        <v>298</v>
      </c>
      <c r="D249">
        <v>5991</v>
      </c>
      <c r="E249">
        <v>342</v>
      </c>
      <c r="F249">
        <v>56</v>
      </c>
      <c r="G249">
        <v>1421</v>
      </c>
      <c r="H249">
        <v>351</v>
      </c>
      <c r="I249">
        <v>8</v>
      </c>
      <c r="J249">
        <v>2</v>
      </c>
      <c r="K249">
        <v>259</v>
      </c>
      <c r="L249" t="s">
        <v>354</v>
      </c>
      <c r="M249">
        <v>1.0239520958083832</v>
      </c>
      <c r="N249">
        <v>1.037037037037037</v>
      </c>
      <c r="O249">
        <v>7</v>
      </c>
    </row>
    <row r="250" spans="1:15" x14ac:dyDescent="0.3">
      <c r="A250" s="1">
        <v>44201</v>
      </c>
      <c r="B250" s="2" t="s">
        <v>4</v>
      </c>
      <c r="C250">
        <v>166</v>
      </c>
      <c r="D250">
        <v>1377</v>
      </c>
      <c r="E250">
        <v>79</v>
      </c>
      <c r="F250">
        <v>18</v>
      </c>
      <c r="G250">
        <v>322</v>
      </c>
      <c r="H250">
        <v>187</v>
      </c>
      <c r="I250">
        <v>-2</v>
      </c>
      <c r="J250">
        <v>1</v>
      </c>
      <c r="K250">
        <v>33</v>
      </c>
      <c r="L250" t="s">
        <v>355</v>
      </c>
      <c r="M250">
        <v>0.97530864197530864</v>
      </c>
      <c r="N250">
        <v>1.0588235294117647</v>
      </c>
      <c r="O250">
        <v>1</v>
      </c>
    </row>
    <row r="251" spans="1:15" x14ac:dyDescent="0.3">
      <c r="A251" s="1">
        <v>44201</v>
      </c>
      <c r="B251" s="2" t="s">
        <v>5</v>
      </c>
      <c r="C251">
        <v>52</v>
      </c>
      <c r="D251">
        <v>387</v>
      </c>
      <c r="E251">
        <v>46</v>
      </c>
      <c r="F251">
        <v>1</v>
      </c>
      <c r="G251">
        <v>91</v>
      </c>
      <c r="H251">
        <v>55</v>
      </c>
      <c r="I251">
        <v>-4</v>
      </c>
      <c r="J251">
        <v>0</v>
      </c>
      <c r="K251">
        <v>15</v>
      </c>
      <c r="L251" t="s">
        <v>355</v>
      </c>
      <c r="M251">
        <v>0.92</v>
      </c>
      <c r="N251">
        <v>1</v>
      </c>
      <c r="O251">
        <v>1</v>
      </c>
    </row>
    <row r="252" spans="1:15" x14ac:dyDescent="0.3">
      <c r="A252" s="1">
        <v>44201</v>
      </c>
      <c r="B252" s="2" t="s">
        <v>8</v>
      </c>
      <c r="C252">
        <v>53</v>
      </c>
      <c r="D252">
        <v>575</v>
      </c>
      <c r="E252">
        <v>18</v>
      </c>
      <c r="F252">
        <v>0</v>
      </c>
      <c r="G252">
        <v>145</v>
      </c>
      <c r="H252">
        <v>63</v>
      </c>
      <c r="I252">
        <v>1</v>
      </c>
      <c r="J252">
        <v>0</v>
      </c>
      <c r="K252">
        <v>19</v>
      </c>
      <c r="L252" t="s">
        <v>355</v>
      </c>
      <c r="M252">
        <v>1.0588235294117647</v>
      </c>
      <c r="N252" t="e">
        <v>#NUM!</v>
      </c>
      <c r="O252">
        <v>0</v>
      </c>
    </row>
    <row r="253" spans="1:15" x14ac:dyDescent="0.3">
      <c r="A253" s="1">
        <v>44201</v>
      </c>
      <c r="B253" s="2" t="s">
        <v>9</v>
      </c>
      <c r="C253">
        <v>67</v>
      </c>
      <c r="D253">
        <v>734</v>
      </c>
      <c r="E253">
        <v>31</v>
      </c>
      <c r="F253">
        <v>1</v>
      </c>
      <c r="G253">
        <v>312</v>
      </c>
      <c r="H253">
        <v>95</v>
      </c>
      <c r="I253">
        <v>3</v>
      </c>
      <c r="J253">
        <v>-1</v>
      </c>
      <c r="K253">
        <v>47</v>
      </c>
      <c r="L253" t="s">
        <v>355</v>
      </c>
      <c r="M253">
        <v>1.1071428571428572</v>
      </c>
      <c r="N253">
        <v>0.5</v>
      </c>
      <c r="O253">
        <v>2</v>
      </c>
    </row>
    <row r="254" spans="1:15" x14ac:dyDescent="0.3">
      <c r="A254" s="1">
        <v>44201</v>
      </c>
      <c r="B254" s="2" t="s">
        <v>6</v>
      </c>
      <c r="C254">
        <v>29</v>
      </c>
      <c r="D254">
        <v>743</v>
      </c>
      <c r="E254">
        <v>44</v>
      </c>
      <c r="F254">
        <v>11</v>
      </c>
      <c r="G254">
        <v>83</v>
      </c>
      <c r="H254">
        <v>33</v>
      </c>
      <c r="I254">
        <v>7</v>
      </c>
      <c r="J254">
        <v>0</v>
      </c>
      <c r="K254">
        <v>41</v>
      </c>
      <c r="L254" t="s">
        <v>355</v>
      </c>
      <c r="M254">
        <v>1.1891891891891893</v>
      </c>
      <c r="N254">
        <v>1</v>
      </c>
      <c r="O254">
        <v>0</v>
      </c>
    </row>
    <row r="255" spans="1:15" x14ac:dyDescent="0.3">
      <c r="A255" s="1">
        <v>44201</v>
      </c>
      <c r="B255" s="2" t="s">
        <v>7</v>
      </c>
      <c r="C255">
        <v>133</v>
      </c>
      <c r="D255">
        <v>1442</v>
      </c>
      <c r="E255">
        <v>83</v>
      </c>
      <c r="F255">
        <v>13</v>
      </c>
      <c r="G255">
        <v>201</v>
      </c>
      <c r="H255">
        <v>156</v>
      </c>
      <c r="I255">
        <v>3</v>
      </c>
      <c r="J255">
        <v>0</v>
      </c>
      <c r="K255">
        <v>49</v>
      </c>
      <c r="L255" t="s">
        <v>355</v>
      </c>
      <c r="M255">
        <v>1.0375000000000001</v>
      </c>
      <c r="N255">
        <v>1</v>
      </c>
      <c r="O255">
        <v>1</v>
      </c>
    </row>
    <row r="256" spans="1:15" x14ac:dyDescent="0.3">
      <c r="A256" s="1">
        <v>44201</v>
      </c>
      <c r="B256" s="2" t="s">
        <v>2</v>
      </c>
      <c r="C256">
        <v>90</v>
      </c>
      <c r="D256">
        <v>1146</v>
      </c>
      <c r="E256">
        <v>41</v>
      </c>
      <c r="F256">
        <v>13</v>
      </c>
      <c r="G256">
        <v>273</v>
      </c>
      <c r="H256">
        <v>95</v>
      </c>
      <c r="I256">
        <v>-8</v>
      </c>
      <c r="J256">
        <v>1</v>
      </c>
      <c r="K256">
        <v>61</v>
      </c>
      <c r="L256" t="s">
        <v>355</v>
      </c>
      <c r="M256">
        <v>0.83673469387755106</v>
      </c>
      <c r="N256">
        <v>1.0833333333333333</v>
      </c>
      <c r="O256">
        <v>1</v>
      </c>
    </row>
    <row r="257" spans="1:15" x14ac:dyDescent="0.3">
      <c r="A257" s="1">
        <v>44201</v>
      </c>
      <c r="B257" s="2" t="s">
        <v>3</v>
      </c>
      <c r="C257">
        <v>590</v>
      </c>
      <c r="D257">
        <v>6404</v>
      </c>
      <c r="E257">
        <v>342</v>
      </c>
      <c r="F257">
        <v>57</v>
      </c>
      <c r="G257">
        <v>1427</v>
      </c>
      <c r="H257">
        <v>684</v>
      </c>
      <c r="I257">
        <v>0</v>
      </c>
      <c r="J257">
        <v>1</v>
      </c>
      <c r="K257">
        <v>265</v>
      </c>
      <c r="L257" t="s">
        <v>355</v>
      </c>
      <c r="M257">
        <v>1</v>
      </c>
      <c r="N257">
        <v>1.0178571428571428</v>
      </c>
      <c r="O257">
        <v>6</v>
      </c>
    </row>
    <row r="258" spans="1:15" x14ac:dyDescent="0.3">
      <c r="A258" s="1">
        <v>44202</v>
      </c>
      <c r="B258" s="2" t="s">
        <v>4</v>
      </c>
      <c r="C258">
        <v>157</v>
      </c>
      <c r="D258">
        <v>1470</v>
      </c>
      <c r="E258">
        <v>85</v>
      </c>
      <c r="F258">
        <v>19</v>
      </c>
      <c r="G258">
        <v>324</v>
      </c>
      <c r="H258">
        <v>158</v>
      </c>
      <c r="I258">
        <v>6</v>
      </c>
      <c r="J258">
        <v>1</v>
      </c>
      <c r="K258">
        <v>63</v>
      </c>
      <c r="L258" t="s">
        <v>356</v>
      </c>
      <c r="M258">
        <v>1.0759493670886076</v>
      </c>
      <c r="N258">
        <v>1.0555555555555556</v>
      </c>
      <c r="O258">
        <v>2</v>
      </c>
    </row>
    <row r="259" spans="1:15" x14ac:dyDescent="0.3">
      <c r="A259" s="1">
        <v>44202</v>
      </c>
      <c r="B259" s="2" t="s">
        <v>5</v>
      </c>
      <c r="C259">
        <v>29</v>
      </c>
      <c r="D259">
        <v>399</v>
      </c>
      <c r="E259">
        <v>44</v>
      </c>
      <c r="F259">
        <v>3</v>
      </c>
      <c r="G259">
        <v>92</v>
      </c>
      <c r="H259">
        <v>31</v>
      </c>
      <c r="I259">
        <v>-2</v>
      </c>
      <c r="J259">
        <v>2</v>
      </c>
      <c r="K259">
        <v>18</v>
      </c>
      <c r="L259" t="s">
        <v>356</v>
      </c>
      <c r="M259">
        <v>0.95652173913043481</v>
      </c>
      <c r="N259">
        <v>3</v>
      </c>
      <c r="O259">
        <v>1</v>
      </c>
    </row>
    <row r="260" spans="1:15" x14ac:dyDescent="0.3">
      <c r="A260" s="1">
        <v>44202</v>
      </c>
      <c r="B260" s="2" t="s">
        <v>8</v>
      </c>
      <c r="C260">
        <v>63</v>
      </c>
      <c r="D260">
        <v>619</v>
      </c>
      <c r="E260">
        <v>19</v>
      </c>
      <c r="F260">
        <v>0</v>
      </c>
      <c r="G260">
        <v>145</v>
      </c>
      <c r="H260">
        <v>69</v>
      </c>
      <c r="I260">
        <v>1</v>
      </c>
      <c r="J260">
        <v>0</v>
      </c>
      <c r="K260">
        <v>25</v>
      </c>
      <c r="L260" t="s">
        <v>356</v>
      </c>
      <c r="M260">
        <v>1.0555555555555556</v>
      </c>
      <c r="N260" t="e">
        <v>#NUM!</v>
      </c>
      <c r="O260">
        <v>0</v>
      </c>
    </row>
    <row r="261" spans="1:15" x14ac:dyDescent="0.3">
      <c r="A261" s="1">
        <v>44202</v>
      </c>
      <c r="B261" s="2" t="s">
        <v>9</v>
      </c>
      <c r="C261">
        <v>71</v>
      </c>
      <c r="D261">
        <v>764</v>
      </c>
      <c r="E261">
        <v>32</v>
      </c>
      <c r="F261">
        <v>2</v>
      </c>
      <c r="G261">
        <v>312</v>
      </c>
      <c r="H261">
        <v>80</v>
      </c>
      <c r="I261">
        <v>1</v>
      </c>
      <c r="J261">
        <v>1</v>
      </c>
      <c r="K261">
        <v>50</v>
      </c>
      <c r="L261" t="s">
        <v>356</v>
      </c>
      <c r="M261">
        <v>1.032258064516129</v>
      </c>
      <c r="N261">
        <v>2</v>
      </c>
      <c r="O261">
        <v>0</v>
      </c>
    </row>
    <row r="262" spans="1:15" x14ac:dyDescent="0.3">
      <c r="A262" s="1">
        <v>44202</v>
      </c>
      <c r="B262" s="2" t="s">
        <v>6</v>
      </c>
      <c r="C262">
        <v>45</v>
      </c>
      <c r="D262">
        <v>735</v>
      </c>
      <c r="E262">
        <v>46</v>
      </c>
      <c r="F262">
        <v>10</v>
      </c>
      <c r="G262">
        <v>83</v>
      </c>
      <c r="H262">
        <v>50</v>
      </c>
      <c r="I262">
        <v>2</v>
      </c>
      <c r="J262">
        <v>-1</v>
      </c>
      <c r="K262">
        <v>58</v>
      </c>
      <c r="L262" t="s">
        <v>356</v>
      </c>
      <c r="M262">
        <v>1.0454545454545454</v>
      </c>
      <c r="N262">
        <v>0.90909090909090906</v>
      </c>
      <c r="O262">
        <v>0</v>
      </c>
    </row>
    <row r="263" spans="1:15" x14ac:dyDescent="0.3">
      <c r="A263" s="1">
        <v>44202</v>
      </c>
      <c r="B263" s="2" t="s">
        <v>7</v>
      </c>
      <c r="C263">
        <v>93</v>
      </c>
      <c r="D263">
        <v>1453</v>
      </c>
      <c r="E263">
        <v>91</v>
      </c>
      <c r="F263">
        <v>9</v>
      </c>
      <c r="G263">
        <v>202</v>
      </c>
      <c r="H263">
        <v>106</v>
      </c>
      <c r="I263">
        <v>8</v>
      </c>
      <c r="J263">
        <v>-4</v>
      </c>
      <c r="K263">
        <v>94</v>
      </c>
      <c r="L263" t="s">
        <v>356</v>
      </c>
      <c r="M263">
        <v>1.0963855421686748</v>
      </c>
      <c r="N263">
        <v>0.69230769230769229</v>
      </c>
      <c r="O263">
        <v>1</v>
      </c>
    </row>
    <row r="264" spans="1:15" x14ac:dyDescent="0.3">
      <c r="A264" s="1">
        <v>44202</v>
      </c>
      <c r="B264" s="2" t="s">
        <v>2</v>
      </c>
      <c r="C264">
        <v>181</v>
      </c>
      <c r="D264">
        <v>1260</v>
      </c>
      <c r="E264">
        <v>45</v>
      </c>
      <c r="F264">
        <v>14</v>
      </c>
      <c r="G264">
        <v>273</v>
      </c>
      <c r="H264">
        <v>184</v>
      </c>
      <c r="I264">
        <v>4</v>
      </c>
      <c r="J264">
        <v>1</v>
      </c>
      <c r="K264">
        <v>70</v>
      </c>
      <c r="L264" t="s">
        <v>356</v>
      </c>
      <c r="M264">
        <v>1.0975609756097562</v>
      </c>
      <c r="N264">
        <v>1.0769230769230769</v>
      </c>
      <c r="O264">
        <v>0</v>
      </c>
    </row>
    <row r="265" spans="1:15" x14ac:dyDescent="0.3">
      <c r="A265" s="1">
        <v>44202</v>
      </c>
      <c r="B265" s="2" t="s">
        <v>3</v>
      </c>
      <c r="C265">
        <v>639</v>
      </c>
      <c r="D265">
        <v>6700</v>
      </c>
      <c r="E265">
        <v>362</v>
      </c>
      <c r="F265">
        <v>57</v>
      </c>
      <c r="G265">
        <v>1431</v>
      </c>
      <c r="H265">
        <v>678</v>
      </c>
      <c r="I265">
        <v>20</v>
      </c>
      <c r="J265">
        <v>0</v>
      </c>
      <c r="K265">
        <v>378</v>
      </c>
      <c r="L265" t="s">
        <v>356</v>
      </c>
      <c r="M265">
        <v>1.0584795321637428</v>
      </c>
      <c r="N265">
        <v>1</v>
      </c>
      <c r="O265">
        <v>4</v>
      </c>
    </row>
    <row r="266" spans="1:15" x14ac:dyDescent="0.3">
      <c r="A266" s="1">
        <v>44203</v>
      </c>
      <c r="B266" s="2" t="s">
        <v>4</v>
      </c>
      <c r="C266">
        <v>124</v>
      </c>
      <c r="D266">
        <v>1557</v>
      </c>
      <c r="E266">
        <v>88</v>
      </c>
      <c r="F266">
        <v>21</v>
      </c>
      <c r="G266">
        <v>324</v>
      </c>
      <c r="H266">
        <v>151</v>
      </c>
      <c r="I266">
        <v>3</v>
      </c>
      <c r="J266">
        <v>2</v>
      </c>
      <c r="K266">
        <v>64</v>
      </c>
      <c r="L266" t="s">
        <v>387</v>
      </c>
      <c r="M266">
        <v>1.0352941176470589</v>
      </c>
      <c r="N266">
        <v>1.1052631578947369</v>
      </c>
      <c r="O266">
        <v>0</v>
      </c>
    </row>
    <row r="267" spans="1:15" x14ac:dyDescent="0.3">
      <c r="A267" s="1">
        <v>44203</v>
      </c>
      <c r="B267" s="2" t="s">
        <v>5</v>
      </c>
      <c r="C267">
        <v>46</v>
      </c>
      <c r="D267">
        <v>432</v>
      </c>
      <c r="E267">
        <v>43</v>
      </c>
      <c r="F267">
        <v>3</v>
      </c>
      <c r="G267">
        <v>92</v>
      </c>
      <c r="H267">
        <v>50</v>
      </c>
      <c r="I267">
        <v>-1</v>
      </c>
      <c r="J267">
        <v>0</v>
      </c>
      <c r="K267">
        <v>17</v>
      </c>
      <c r="L267" t="s">
        <v>387</v>
      </c>
      <c r="M267">
        <v>0.97727272727272729</v>
      </c>
      <c r="N267">
        <v>1</v>
      </c>
      <c r="O267">
        <v>0</v>
      </c>
    </row>
    <row r="268" spans="1:15" x14ac:dyDescent="0.3">
      <c r="A268" s="1">
        <v>44203</v>
      </c>
      <c r="B268" s="2" t="s">
        <v>8</v>
      </c>
      <c r="C268">
        <v>34</v>
      </c>
      <c r="D268">
        <v>626</v>
      </c>
      <c r="E268">
        <v>17</v>
      </c>
      <c r="F268">
        <v>0</v>
      </c>
      <c r="G268">
        <v>145</v>
      </c>
      <c r="H268">
        <v>42</v>
      </c>
      <c r="I268">
        <v>-2</v>
      </c>
      <c r="J268">
        <v>0</v>
      </c>
      <c r="K268">
        <v>35</v>
      </c>
      <c r="L268" t="s">
        <v>387</v>
      </c>
      <c r="M268">
        <v>0.89473684210526316</v>
      </c>
      <c r="N268" t="e">
        <v>#NUM!</v>
      </c>
      <c r="O268">
        <v>0</v>
      </c>
    </row>
    <row r="269" spans="1:15" x14ac:dyDescent="0.3">
      <c r="A269" s="1">
        <v>44203</v>
      </c>
      <c r="B269" s="2" t="s">
        <v>9</v>
      </c>
      <c r="C269">
        <v>75</v>
      </c>
      <c r="D269">
        <v>818</v>
      </c>
      <c r="E269">
        <v>32</v>
      </c>
      <c r="F269">
        <v>2</v>
      </c>
      <c r="G269">
        <v>313</v>
      </c>
      <c r="H269">
        <v>102</v>
      </c>
      <c r="I269">
        <v>0</v>
      </c>
      <c r="J269">
        <v>0</v>
      </c>
      <c r="K269">
        <v>47</v>
      </c>
      <c r="L269" t="s">
        <v>387</v>
      </c>
      <c r="M269">
        <v>1</v>
      </c>
      <c r="N269">
        <v>1</v>
      </c>
      <c r="O269">
        <v>1</v>
      </c>
    </row>
    <row r="270" spans="1:15" x14ac:dyDescent="0.3">
      <c r="A270" s="1">
        <v>44203</v>
      </c>
      <c r="B270" s="2" t="s">
        <v>6</v>
      </c>
      <c r="C270">
        <v>51</v>
      </c>
      <c r="D270">
        <v>717</v>
      </c>
      <c r="E270">
        <v>39</v>
      </c>
      <c r="F270">
        <v>12</v>
      </c>
      <c r="G270">
        <v>84</v>
      </c>
      <c r="H270">
        <v>55</v>
      </c>
      <c r="I270">
        <v>-7</v>
      </c>
      <c r="J270">
        <v>2</v>
      </c>
      <c r="K270">
        <v>72</v>
      </c>
      <c r="L270" t="s">
        <v>387</v>
      </c>
      <c r="M270">
        <v>0.84782608695652173</v>
      </c>
      <c r="N270">
        <v>1.2</v>
      </c>
      <c r="O270">
        <v>1</v>
      </c>
    </row>
    <row r="271" spans="1:15" x14ac:dyDescent="0.3">
      <c r="A271" s="1">
        <v>44203</v>
      </c>
      <c r="B271" s="2" t="s">
        <v>7</v>
      </c>
      <c r="C271">
        <v>139</v>
      </c>
      <c r="D271">
        <v>1517</v>
      </c>
      <c r="E271">
        <v>92</v>
      </c>
      <c r="F271">
        <v>9</v>
      </c>
      <c r="G271">
        <v>202</v>
      </c>
      <c r="H271">
        <v>179</v>
      </c>
      <c r="I271">
        <v>1</v>
      </c>
      <c r="J271">
        <v>0</v>
      </c>
      <c r="K271">
        <v>115</v>
      </c>
      <c r="L271" t="s">
        <v>387</v>
      </c>
      <c r="M271">
        <v>1.0109890109890109</v>
      </c>
      <c r="N271">
        <v>1</v>
      </c>
      <c r="O271">
        <v>0</v>
      </c>
    </row>
    <row r="272" spans="1:15" x14ac:dyDescent="0.3">
      <c r="A272" s="1">
        <v>44203</v>
      </c>
      <c r="B272" s="2" t="s">
        <v>2</v>
      </c>
      <c r="C272">
        <v>66</v>
      </c>
      <c r="D272">
        <v>1222</v>
      </c>
      <c r="E272">
        <v>39</v>
      </c>
      <c r="F272">
        <v>16</v>
      </c>
      <c r="G272">
        <v>276</v>
      </c>
      <c r="H272">
        <v>78</v>
      </c>
      <c r="I272">
        <v>-6</v>
      </c>
      <c r="J272">
        <v>2</v>
      </c>
      <c r="K272">
        <v>113</v>
      </c>
      <c r="L272" t="s">
        <v>387</v>
      </c>
      <c r="M272">
        <v>0.8666666666666667</v>
      </c>
      <c r="N272">
        <v>1.1428571428571428</v>
      </c>
      <c r="O272">
        <v>3</v>
      </c>
    </row>
    <row r="273" spans="1:15" x14ac:dyDescent="0.3">
      <c r="A273" s="1">
        <v>44203</v>
      </c>
      <c r="B273" s="2" t="s">
        <v>3</v>
      </c>
      <c r="C273">
        <v>535</v>
      </c>
      <c r="D273">
        <v>6889</v>
      </c>
      <c r="E273">
        <v>350</v>
      </c>
      <c r="F273">
        <v>63</v>
      </c>
      <c r="G273">
        <v>1436</v>
      </c>
      <c r="H273">
        <v>657</v>
      </c>
      <c r="I273">
        <v>-12</v>
      </c>
      <c r="J273">
        <v>6</v>
      </c>
      <c r="K273">
        <v>463</v>
      </c>
      <c r="L273" t="s">
        <v>387</v>
      </c>
      <c r="M273">
        <v>0.96685082872928174</v>
      </c>
      <c r="N273">
        <v>1.1052631578947369</v>
      </c>
      <c r="O273">
        <v>5</v>
      </c>
    </row>
    <row r="274" spans="1:15" x14ac:dyDescent="0.3">
      <c r="A274" s="1">
        <v>44204</v>
      </c>
      <c r="B274" s="2" t="s">
        <v>4</v>
      </c>
      <c r="C274">
        <v>171</v>
      </c>
      <c r="D274">
        <v>1696</v>
      </c>
      <c r="E274">
        <v>84</v>
      </c>
      <c r="F274">
        <v>18</v>
      </c>
      <c r="G274">
        <v>326</v>
      </c>
      <c r="H274">
        <v>199</v>
      </c>
      <c r="I274">
        <v>-4</v>
      </c>
      <c r="J274">
        <v>-3</v>
      </c>
      <c r="K274">
        <v>58</v>
      </c>
      <c r="L274" t="s">
        <v>398</v>
      </c>
      <c r="M274">
        <v>0.95454545454545459</v>
      </c>
      <c r="N274">
        <v>0.8571428571428571</v>
      </c>
      <c r="O274">
        <v>2</v>
      </c>
    </row>
    <row r="275" spans="1:15" x14ac:dyDescent="0.3">
      <c r="A275" s="1">
        <v>44204</v>
      </c>
      <c r="B275" s="2" t="s">
        <v>5</v>
      </c>
      <c r="C275">
        <v>28</v>
      </c>
      <c r="D275">
        <v>437</v>
      </c>
      <c r="E275">
        <v>35</v>
      </c>
      <c r="F275">
        <v>4</v>
      </c>
      <c r="G275">
        <v>93</v>
      </c>
      <c r="H275">
        <v>33</v>
      </c>
      <c r="I275">
        <v>-8</v>
      </c>
      <c r="J275">
        <v>1</v>
      </c>
      <c r="K275">
        <v>27</v>
      </c>
      <c r="L275" t="s">
        <v>398</v>
      </c>
      <c r="M275">
        <v>0.81395348837209303</v>
      </c>
      <c r="N275">
        <v>1.3333333333333333</v>
      </c>
      <c r="O275">
        <v>1</v>
      </c>
    </row>
    <row r="276" spans="1:15" x14ac:dyDescent="0.3">
      <c r="A276" s="1">
        <v>44204</v>
      </c>
      <c r="B276" s="2" t="s">
        <v>8</v>
      </c>
      <c r="C276">
        <v>87</v>
      </c>
      <c r="D276">
        <v>699</v>
      </c>
      <c r="E276">
        <v>18</v>
      </c>
      <c r="F276">
        <v>0</v>
      </c>
      <c r="G276">
        <v>146</v>
      </c>
      <c r="H276">
        <v>96</v>
      </c>
      <c r="I276">
        <v>1</v>
      </c>
      <c r="J276">
        <v>0</v>
      </c>
      <c r="K276">
        <v>22</v>
      </c>
      <c r="L276" t="s">
        <v>398</v>
      </c>
      <c r="M276">
        <v>1.0588235294117647</v>
      </c>
      <c r="N276" t="e">
        <v>#NUM!</v>
      </c>
      <c r="O276">
        <v>1</v>
      </c>
    </row>
    <row r="277" spans="1:15" x14ac:dyDescent="0.3">
      <c r="A277" s="1">
        <v>44204</v>
      </c>
      <c r="B277" s="2" t="s">
        <v>9</v>
      </c>
      <c r="C277">
        <v>79</v>
      </c>
      <c r="D277">
        <v>856</v>
      </c>
      <c r="E277">
        <v>30</v>
      </c>
      <c r="F277">
        <v>3</v>
      </c>
      <c r="G277">
        <v>313</v>
      </c>
      <c r="H277">
        <v>100</v>
      </c>
      <c r="I277">
        <v>-2</v>
      </c>
      <c r="J277">
        <v>1</v>
      </c>
      <c r="K277">
        <v>62</v>
      </c>
      <c r="L277" t="s">
        <v>398</v>
      </c>
      <c r="M277">
        <v>0.9375</v>
      </c>
      <c r="N277">
        <v>1.5</v>
      </c>
      <c r="O277">
        <v>0</v>
      </c>
    </row>
    <row r="278" spans="1:15" x14ac:dyDescent="0.3">
      <c r="A278" s="1">
        <v>44204</v>
      </c>
      <c r="B278" s="2" t="s">
        <v>6</v>
      </c>
      <c r="C278">
        <v>55</v>
      </c>
      <c r="D278">
        <v>724</v>
      </c>
      <c r="E278">
        <v>40</v>
      </c>
      <c r="F278">
        <v>12</v>
      </c>
      <c r="G278">
        <v>84</v>
      </c>
      <c r="H278">
        <v>63</v>
      </c>
      <c r="I278">
        <v>1</v>
      </c>
      <c r="J278">
        <v>0</v>
      </c>
      <c r="K278">
        <v>56</v>
      </c>
      <c r="L278" t="s">
        <v>398</v>
      </c>
      <c r="M278">
        <v>1.0256410256410255</v>
      </c>
      <c r="N278">
        <v>1</v>
      </c>
      <c r="O278">
        <v>0</v>
      </c>
    </row>
    <row r="279" spans="1:15" x14ac:dyDescent="0.3">
      <c r="A279" s="1">
        <v>44204</v>
      </c>
      <c r="B279" s="2" t="s">
        <v>7</v>
      </c>
      <c r="C279">
        <v>169</v>
      </c>
      <c r="D279">
        <v>1650</v>
      </c>
      <c r="E279">
        <v>94</v>
      </c>
      <c r="F279">
        <v>8</v>
      </c>
      <c r="G279">
        <v>202</v>
      </c>
      <c r="H279">
        <v>203</v>
      </c>
      <c r="I279">
        <v>2</v>
      </c>
      <c r="J279">
        <v>-1</v>
      </c>
      <c r="K279">
        <v>70</v>
      </c>
      <c r="L279" t="s">
        <v>398</v>
      </c>
      <c r="M279">
        <v>1.0217391304347827</v>
      </c>
      <c r="N279">
        <v>0.88888888888888884</v>
      </c>
      <c r="O279">
        <v>0</v>
      </c>
    </row>
    <row r="280" spans="1:15" x14ac:dyDescent="0.3">
      <c r="A280" s="1">
        <v>44204</v>
      </c>
      <c r="B280" s="2" t="s">
        <v>2</v>
      </c>
      <c r="C280">
        <v>209</v>
      </c>
      <c r="D280">
        <v>1330</v>
      </c>
      <c r="E280">
        <v>41</v>
      </c>
      <c r="F280">
        <v>18</v>
      </c>
      <c r="G280">
        <v>277</v>
      </c>
      <c r="H280">
        <v>220</v>
      </c>
      <c r="I280">
        <v>2</v>
      </c>
      <c r="J280">
        <v>2</v>
      </c>
      <c r="K280">
        <v>111</v>
      </c>
      <c r="L280" t="s">
        <v>398</v>
      </c>
      <c r="M280">
        <v>1.0512820512820513</v>
      </c>
      <c r="N280">
        <v>1.125</v>
      </c>
      <c r="O280">
        <v>1</v>
      </c>
    </row>
    <row r="281" spans="1:15" x14ac:dyDescent="0.3">
      <c r="A281" s="1">
        <v>44204</v>
      </c>
      <c r="B281" s="2" t="s">
        <v>3</v>
      </c>
      <c r="C281">
        <v>798</v>
      </c>
      <c r="D281">
        <v>7392</v>
      </c>
      <c r="E281">
        <v>342</v>
      </c>
      <c r="F281">
        <v>63</v>
      </c>
      <c r="G281">
        <v>1441</v>
      </c>
      <c r="H281">
        <v>914</v>
      </c>
      <c r="I281">
        <v>-8</v>
      </c>
      <c r="J281">
        <v>0</v>
      </c>
      <c r="K281">
        <v>406</v>
      </c>
      <c r="L281" t="s">
        <v>398</v>
      </c>
      <c r="M281">
        <v>0.97714285714285709</v>
      </c>
      <c r="N281">
        <v>1</v>
      </c>
      <c r="O281">
        <v>5</v>
      </c>
    </row>
    <row r="282" spans="1:15" x14ac:dyDescent="0.3">
      <c r="A282" s="1">
        <v>44205</v>
      </c>
      <c r="B282" s="2" t="s">
        <v>4</v>
      </c>
      <c r="C282">
        <v>177</v>
      </c>
      <c r="D282">
        <v>1831</v>
      </c>
      <c r="E282">
        <v>83</v>
      </c>
      <c r="F282">
        <v>18</v>
      </c>
      <c r="G282">
        <v>327</v>
      </c>
      <c r="H282">
        <v>184</v>
      </c>
      <c r="I282">
        <v>-1</v>
      </c>
      <c r="J282">
        <v>0</v>
      </c>
      <c r="K282">
        <v>49</v>
      </c>
      <c r="L282" t="s">
        <v>399</v>
      </c>
      <c r="M282">
        <v>0.98809523809523814</v>
      </c>
      <c r="N282">
        <v>1</v>
      </c>
      <c r="O282">
        <v>1</v>
      </c>
    </row>
    <row r="283" spans="1:15" x14ac:dyDescent="0.3">
      <c r="A283" s="1">
        <v>44205</v>
      </c>
      <c r="B283" s="2" t="s">
        <v>5</v>
      </c>
      <c r="C283">
        <v>61</v>
      </c>
      <c r="D283">
        <v>491</v>
      </c>
      <c r="E283">
        <v>43</v>
      </c>
      <c r="F283">
        <v>3</v>
      </c>
      <c r="G283">
        <v>93</v>
      </c>
      <c r="H283">
        <v>64</v>
      </c>
      <c r="I283">
        <v>8</v>
      </c>
      <c r="J283">
        <v>-1</v>
      </c>
      <c r="K283">
        <v>10</v>
      </c>
      <c r="L283" t="s">
        <v>399</v>
      </c>
      <c r="M283">
        <v>1.2285714285714286</v>
      </c>
      <c r="N283">
        <v>0.75</v>
      </c>
      <c r="O283">
        <v>0</v>
      </c>
    </row>
    <row r="284" spans="1:15" x14ac:dyDescent="0.3">
      <c r="A284" s="1">
        <v>44205</v>
      </c>
      <c r="B284" s="2" t="s">
        <v>8</v>
      </c>
      <c r="C284">
        <v>71</v>
      </c>
      <c r="D284">
        <v>751</v>
      </c>
      <c r="E284">
        <v>20</v>
      </c>
      <c r="F284">
        <v>2</v>
      </c>
      <c r="G284">
        <v>146</v>
      </c>
      <c r="H284">
        <v>75</v>
      </c>
      <c r="I284">
        <v>2</v>
      </c>
      <c r="J284">
        <v>2</v>
      </c>
      <c r="K284">
        <v>23</v>
      </c>
      <c r="L284" t="s">
        <v>399</v>
      </c>
      <c r="M284">
        <v>1.1111111111111112</v>
      </c>
      <c r="N284" t="e">
        <v>#NUM!</v>
      </c>
      <c r="O284">
        <v>0</v>
      </c>
    </row>
    <row r="285" spans="1:15" x14ac:dyDescent="0.3">
      <c r="A285" s="1">
        <v>44205</v>
      </c>
      <c r="B285" s="2" t="s">
        <v>9</v>
      </c>
      <c r="C285">
        <v>88</v>
      </c>
      <c r="D285">
        <v>947</v>
      </c>
      <c r="E285">
        <v>37</v>
      </c>
      <c r="F285">
        <v>3</v>
      </c>
      <c r="G285">
        <v>314</v>
      </c>
      <c r="H285">
        <v>110</v>
      </c>
      <c r="I285">
        <v>7</v>
      </c>
      <c r="J285">
        <v>0</v>
      </c>
      <c r="K285">
        <v>18</v>
      </c>
      <c r="L285" t="s">
        <v>399</v>
      </c>
      <c r="M285">
        <v>1.2333333333333334</v>
      </c>
      <c r="N285">
        <v>1</v>
      </c>
      <c r="O285">
        <v>1</v>
      </c>
    </row>
    <row r="286" spans="1:15" x14ac:dyDescent="0.3">
      <c r="A286" s="1">
        <v>44205</v>
      </c>
      <c r="B286" s="2" t="s">
        <v>6</v>
      </c>
      <c r="C286">
        <v>43</v>
      </c>
      <c r="D286">
        <v>736</v>
      </c>
      <c r="E286">
        <v>38</v>
      </c>
      <c r="F286">
        <v>12</v>
      </c>
      <c r="G286">
        <v>86</v>
      </c>
      <c r="H286">
        <v>50</v>
      </c>
      <c r="I286">
        <v>-2</v>
      </c>
      <c r="J286">
        <v>0</v>
      </c>
      <c r="K286">
        <v>36</v>
      </c>
      <c r="L286" t="s">
        <v>399</v>
      </c>
      <c r="M286">
        <v>0.95</v>
      </c>
      <c r="N286">
        <v>1</v>
      </c>
      <c r="O286">
        <v>2</v>
      </c>
    </row>
    <row r="287" spans="1:15" x14ac:dyDescent="0.3">
      <c r="A287" s="1">
        <v>44205</v>
      </c>
      <c r="B287" s="2" t="s">
        <v>7</v>
      </c>
      <c r="C287">
        <v>88</v>
      </c>
      <c r="D287">
        <v>1642</v>
      </c>
      <c r="E287">
        <v>98</v>
      </c>
      <c r="F287">
        <v>7</v>
      </c>
      <c r="G287">
        <v>202</v>
      </c>
      <c r="H287">
        <v>98</v>
      </c>
      <c r="I287">
        <v>4</v>
      </c>
      <c r="J287">
        <v>-1</v>
      </c>
      <c r="K287">
        <v>106</v>
      </c>
      <c r="L287" t="s">
        <v>399</v>
      </c>
      <c r="M287">
        <v>1.0425531914893618</v>
      </c>
      <c r="N287">
        <v>0.875</v>
      </c>
      <c r="O287">
        <v>0</v>
      </c>
    </row>
    <row r="288" spans="1:15" x14ac:dyDescent="0.3">
      <c r="A288" s="1">
        <v>44205</v>
      </c>
      <c r="B288" s="2" t="s">
        <v>2</v>
      </c>
      <c r="C288">
        <v>133</v>
      </c>
      <c r="D288">
        <v>1397</v>
      </c>
      <c r="E288">
        <v>41</v>
      </c>
      <c r="F288">
        <v>16</v>
      </c>
      <c r="G288">
        <v>277</v>
      </c>
      <c r="H288">
        <v>136</v>
      </c>
      <c r="I288">
        <v>0</v>
      </c>
      <c r="J288">
        <v>-2</v>
      </c>
      <c r="K288">
        <v>69</v>
      </c>
      <c r="L288" t="s">
        <v>399</v>
      </c>
      <c r="M288">
        <v>1</v>
      </c>
      <c r="N288">
        <v>0.88888888888888884</v>
      </c>
      <c r="O288">
        <v>0</v>
      </c>
    </row>
    <row r="289" spans="1:15" x14ac:dyDescent="0.3">
      <c r="A289" s="1">
        <v>44205</v>
      </c>
      <c r="B289" s="2" t="s">
        <v>3</v>
      </c>
      <c r="C289">
        <v>661</v>
      </c>
      <c r="D289">
        <v>7795</v>
      </c>
      <c r="E289">
        <v>360</v>
      </c>
      <c r="F289">
        <v>61</v>
      </c>
      <c r="G289">
        <v>1445</v>
      </c>
      <c r="H289">
        <v>717</v>
      </c>
      <c r="I289">
        <v>18</v>
      </c>
      <c r="J289">
        <v>-2</v>
      </c>
      <c r="K289">
        <v>311</v>
      </c>
      <c r="L289" t="s">
        <v>399</v>
      </c>
      <c r="M289">
        <v>1.0526315789473684</v>
      </c>
      <c r="N289">
        <v>0.96825396825396826</v>
      </c>
      <c r="O289">
        <v>4</v>
      </c>
    </row>
    <row r="290" spans="1:15" x14ac:dyDescent="0.3">
      <c r="A290" s="1">
        <v>44206</v>
      </c>
      <c r="B290" s="2" t="s">
        <v>4</v>
      </c>
      <c r="C290">
        <v>151</v>
      </c>
      <c r="D290">
        <v>1944</v>
      </c>
      <c r="E290">
        <v>93</v>
      </c>
      <c r="F290">
        <v>21</v>
      </c>
      <c r="G290">
        <v>327</v>
      </c>
      <c r="H290">
        <v>158</v>
      </c>
      <c r="I290">
        <v>10</v>
      </c>
      <c r="J290">
        <v>3</v>
      </c>
      <c r="K290">
        <v>45</v>
      </c>
      <c r="L290" t="s">
        <v>400</v>
      </c>
      <c r="M290">
        <v>1.1204819277108433</v>
      </c>
      <c r="N290">
        <v>1.1666666666666667</v>
      </c>
      <c r="O290">
        <v>0</v>
      </c>
    </row>
    <row r="291" spans="1:15" x14ac:dyDescent="0.3">
      <c r="A291" s="1">
        <v>44206</v>
      </c>
      <c r="B291" s="2" t="s">
        <v>5</v>
      </c>
      <c r="C291">
        <v>86</v>
      </c>
      <c r="D291">
        <v>567</v>
      </c>
      <c r="E291">
        <v>54</v>
      </c>
      <c r="F291">
        <v>6</v>
      </c>
      <c r="G291">
        <v>93</v>
      </c>
      <c r="H291">
        <v>87</v>
      </c>
      <c r="I291">
        <v>11</v>
      </c>
      <c r="J291">
        <v>3</v>
      </c>
      <c r="K291">
        <v>11</v>
      </c>
      <c r="L291" t="s">
        <v>400</v>
      </c>
      <c r="M291">
        <v>1.2558139534883721</v>
      </c>
      <c r="N291">
        <v>2</v>
      </c>
      <c r="O291">
        <v>0</v>
      </c>
    </row>
    <row r="292" spans="1:15" x14ac:dyDescent="0.3">
      <c r="A292" s="1">
        <v>44206</v>
      </c>
      <c r="B292" s="2" t="s">
        <v>8</v>
      </c>
      <c r="C292">
        <v>50</v>
      </c>
      <c r="D292">
        <v>778</v>
      </c>
      <c r="E292">
        <v>21</v>
      </c>
      <c r="F292">
        <v>3</v>
      </c>
      <c r="G292">
        <v>147</v>
      </c>
      <c r="H292">
        <v>57</v>
      </c>
      <c r="I292">
        <v>1</v>
      </c>
      <c r="J292">
        <v>1</v>
      </c>
      <c r="K292">
        <v>29</v>
      </c>
      <c r="L292" t="s">
        <v>400</v>
      </c>
      <c r="M292">
        <v>1.05</v>
      </c>
      <c r="N292">
        <v>1.5</v>
      </c>
      <c r="O292">
        <v>1</v>
      </c>
    </row>
    <row r="293" spans="1:15" x14ac:dyDescent="0.3">
      <c r="A293" s="1">
        <v>44206</v>
      </c>
      <c r="B293" s="2" t="s">
        <v>9</v>
      </c>
      <c r="C293">
        <v>89</v>
      </c>
      <c r="D293">
        <v>1040</v>
      </c>
      <c r="E293">
        <v>42</v>
      </c>
      <c r="F293">
        <v>3</v>
      </c>
      <c r="G293">
        <v>315</v>
      </c>
      <c r="H293">
        <v>114</v>
      </c>
      <c r="I293">
        <v>5</v>
      </c>
      <c r="J293">
        <v>0</v>
      </c>
      <c r="K293">
        <v>20</v>
      </c>
      <c r="L293" t="s">
        <v>400</v>
      </c>
      <c r="M293">
        <v>1.1351351351351351</v>
      </c>
      <c r="N293">
        <v>1</v>
      </c>
      <c r="O293">
        <v>1</v>
      </c>
    </row>
    <row r="294" spans="1:15" x14ac:dyDescent="0.3">
      <c r="A294" s="1">
        <v>44206</v>
      </c>
      <c r="B294" s="2" t="s">
        <v>6</v>
      </c>
      <c r="C294">
        <v>66</v>
      </c>
      <c r="D294">
        <v>758</v>
      </c>
      <c r="E294">
        <v>44</v>
      </c>
      <c r="F294">
        <v>11</v>
      </c>
      <c r="G294">
        <v>87</v>
      </c>
      <c r="H294">
        <v>67</v>
      </c>
      <c r="I294">
        <v>6</v>
      </c>
      <c r="J294">
        <v>-1</v>
      </c>
      <c r="K294">
        <v>45</v>
      </c>
      <c r="L294" t="s">
        <v>400</v>
      </c>
      <c r="M294">
        <v>1.1578947368421053</v>
      </c>
      <c r="N294">
        <v>0.91666666666666663</v>
      </c>
      <c r="O294">
        <v>1</v>
      </c>
    </row>
    <row r="295" spans="1:15" x14ac:dyDescent="0.3">
      <c r="A295" s="1">
        <v>44206</v>
      </c>
      <c r="B295" s="2" t="s">
        <v>7</v>
      </c>
      <c r="C295">
        <v>74</v>
      </c>
      <c r="D295">
        <v>1679</v>
      </c>
      <c r="E295">
        <v>101</v>
      </c>
      <c r="F295">
        <v>8</v>
      </c>
      <c r="G295">
        <v>204</v>
      </c>
      <c r="H295">
        <v>99</v>
      </c>
      <c r="I295">
        <v>3</v>
      </c>
      <c r="J295">
        <v>1</v>
      </c>
      <c r="K295">
        <v>60</v>
      </c>
      <c r="L295" t="s">
        <v>400</v>
      </c>
      <c r="M295">
        <v>1.0306122448979591</v>
      </c>
      <c r="N295">
        <v>1.1428571428571428</v>
      </c>
      <c r="O295">
        <v>2</v>
      </c>
    </row>
    <row r="296" spans="1:15" x14ac:dyDescent="0.3">
      <c r="A296" s="1">
        <v>44206</v>
      </c>
      <c r="B296" s="2" t="s">
        <v>2</v>
      </c>
      <c r="C296">
        <v>111</v>
      </c>
      <c r="D296">
        <v>1484</v>
      </c>
      <c r="E296">
        <v>42</v>
      </c>
      <c r="F296">
        <v>19</v>
      </c>
      <c r="G296">
        <v>277</v>
      </c>
      <c r="H296">
        <v>120</v>
      </c>
      <c r="I296">
        <v>1</v>
      </c>
      <c r="J296">
        <v>3</v>
      </c>
      <c r="K296">
        <v>32</v>
      </c>
      <c r="L296" t="s">
        <v>400</v>
      </c>
      <c r="M296">
        <v>1.024390243902439</v>
      </c>
      <c r="N296">
        <v>1.1875</v>
      </c>
      <c r="O296">
        <v>0</v>
      </c>
    </row>
    <row r="297" spans="1:15" x14ac:dyDescent="0.3">
      <c r="A297" s="1">
        <v>44206</v>
      </c>
      <c r="B297" s="2" t="s">
        <v>3</v>
      </c>
      <c r="C297">
        <v>627</v>
      </c>
      <c r="D297">
        <v>8250</v>
      </c>
      <c r="E297">
        <v>397</v>
      </c>
      <c r="F297">
        <v>71</v>
      </c>
      <c r="G297">
        <v>1450</v>
      </c>
      <c r="H297">
        <v>702</v>
      </c>
      <c r="I297">
        <v>37</v>
      </c>
      <c r="J297">
        <v>10</v>
      </c>
      <c r="K297">
        <v>242</v>
      </c>
      <c r="L297" t="s">
        <v>400</v>
      </c>
      <c r="M297">
        <v>1.1027777777777779</v>
      </c>
      <c r="N297">
        <v>1.1639344262295082</v>
      </c>
      <c r="O297">
        <v>5</v>
      </c>
    </row>
    <row r="298" spans="1:15" x14ac:dyDescent="0.3">
      <c r="A298" s="1">
        <v>44207</v>
      </c>
      <c r="B298" s="2" t="s">
        <v>4</v>
      </c>
      <c r="C298">
        <v>144</v>
      </c>
      <c r="D298">
        <v>2064</v>
      </c>
      <c r="E298">
        <v>95</v>
      </c>
      <c r="F298">
        <v>22</v>
      </c>
      <c r="G298">
        <v>329</v>
      </c>
      <c r="H298">
        <v>179</v>
      </c>
      <c r="I298">
        <v>2</v>
      </c>
      <c r="J298">
        <v>1</v>
      </c>
      <c r="K298">
        <v>57</v>
      </c>
      <c r="L298" t="s">
        <v>401</v>
      </c>
      <c r="M298">
        <v>1.021505376344086</v>
      </c>
      <c r="N298">
        <v>1.0476190476190477</v>
      </c>
      <c r="O298">
        <v>2</v>
      </c>
    </row>
    <row r="299" spans="1:15" x14ac:dyDescent="0.3">
      <c r="A299" s="1">
        <v>44207</v>
      </c>
      <c r="B299" s="2" t="s">
        <v>5</v>
      </c>
      <c r="C299">
        <v>49</v>
      </c>
      <c r="D299">
        <v>598</v>
      </c>
      <c r="E299">
        <v>62</v>
      </c>
      <c r="F299">
        <v>5</v>
      </c>
      <c r="G299">
        <v>96</v>
      </c>
      <c r="H299">
        <v>51</v>
      </c>
      <c r="I299">
        <v>8</v>
      </c>
      <c r="J299">
        <v>-1</v>
      </c>
      <c r="K299">
        <v>17</v>
      </c>
      <c r="L299" t="s">
        <v>401</v>
      </c>
      <c r="M299">
        <v>1.1481481481481481</v>
      </c>
      <c r="N299">
        <v>0.83333333333333337</v>
      </c>
      <c r="O299">
        <v>3</v>
      </c>
    </row>
    <row r="300" spans="1:15" x14ac:dyDescent="0.3">
      <c r="A300" s="1">
        <v>44207</v>
      </c>
      <c r="B300" s="2" t="s">
        <v>8</v>
      </c>
      <c r="C300">
        <v>38</v>
      </c>
      <c r="D300">
        <v>810</v>
      </c>
      <c r="E300">
        <v>25</v>
      </c>
      <c r="F300">
        <v>2</v>
      </c>
      <c r="G300">
        <v>148</v>
      </c>
      <c r="H300">
        <v>47</v>
      </c>
      <c r="I300">
        <v>4</v>
      </c>
      <c r="J300">
        <v>-1</v>
      </c>
      <c r="K300">
        <v>13</v>
      </c>
      <c r="L300" t="s">
        <v>401</v>
      </c>
      <c r="M300">
        <v>1.1904761904761905</v>
      </c>
      <c r="N300">
        <v>0.66666666666666663</v>
      </c>
      <c r="O300">
        <v>1</v>
      </c>
    </row>
    <row r="301" spans="1:15" x14ac:dyDescent="0.3">
      <c r="A301" s="1">
        <v>44207</v>
      </c>
      <c r="B301" s="2" t="s">
        <v>9</v>
      </c>
      <c r="C301">
        <v>98</v>
      </c>
      <c r="D301">
        <v>1140</v>
      </c>
      <c r="E301">
        <v>44</v>
      </c>
      <c r="F301">
        <v>4</v>
      </c>
      <c r="G301">
        <v>316</v>
      </c>
      <c r="H301">
        <v>124</v>
      </c>
      <c r="I301">
        <v>2</v>
      </c>
      <c r="J301">
        <v>1</v>
      </c>
      <c r="K301">
        <v>23</v>
      </c>
      <c r="L301" t="s">
        <v>401</v>
      </c>
      <c r="M301">
        <v>1.0476190476190477</v>
      </c>
      <c r="N301">
        <v>1.3333333333333333</v>
      </c>
      <c r="O301">
        <v>1</v>
      </c>
    </row>
    <row r="302" spans="1:15" x14ac:dyDescent="0.3">
      <c r="A302" s="1">
        <v>44207</v>
      </c>
      <c r="B302" s="2" t="s">
        <v>6</v>
      </c>
      <c r="C302">
        <v>79</v>
      </c>
      <c r="D302">
        <v>809</v>
      </c>
      <c r="E302">
        <v>45</v>
      </c>
      <c r="F302">
        <v>10</v>
      </c>
      <c r="G302">
        <v>88</v>
      </c>
      <c r="H302">
        <v>95</v>
      </c>
      <c r="I302">
        <v>1</v>
      </c>
      <c r="J302">
        <v>-1</v>
      </c>
      <c r="K302">
        <v>43</v>
      </c>
      <c r="L302" t="s">
        <v>401</v>
      </c>
      <c r="M302">
        <v>1.0227272727272727</v>
      </c>
      <c r="N302">
        <v>0.90909090909090906</v>
      </c>
      <c r="O302">
        <v>1</v>
      </c>
    </row>
    <row r="303" spans="1:15" x14ac:dyDescent="0.3">
      <c r="A303" s="1">
        <v>44207</v>
      </c>
      <c r="B303" s="2" t="s">
        <v>7</v>
      </c>
      <c r="C303">
        <v>171</v>
      </c>
      <c r="D303">
        <v>1810</v>
      </c>
      <c r="E303">
        <v>105</v>
      </c>
      <c r="F303">
        <v>7</v>
      </c>
      <c r="G303">
        <v>206</v>
      </c>
      <c r="H303">
        <v>200</v>
      </c>
      <c r="I303">
        <v>4</v>
      </c>
      <c r="J303">
        <v>-1</v>
      </c>
      <c r="K303">
        <v>68</v>
      </c>
      <c r="L303" t="s">
        <v>401</v>
      </c>
      <c r="M303">
        <v>1.0396039603960396</v>
      </c>
      <c r="N303">
        <v>0.875</v>
      </c>
      <c r="O303">
        <v>2</v>
      </c>
    </row>
    <row r="304" spans="1:15" x14ac:dyDescent="0.3">
      <c r="A304" s="1">
        <v>44207</v>
      </c>
      <c r="B304" s="2" t="s">
        <v>2</v>
      </c>
      <c r="C304">
        <v>140</v>
      </c>
      <c r="D304">
        <v>1579</v>
      </c>
      <c r="E304">
        <v>45</v>
      </c>
      <c r="F304">
        <v>20</v>
      </c>
      <c r="G304">
        <v>279</v>
      </c>
      <c r="H304">
        <v>148</v>
      </c>
      <c r="I304">
        <v>3</v>
      </c>
      <c r="J304">
        <v>1</v>
      </c>
      <c r="K304">
        <v>51</v>
      </c>
      <c r="L304" t="s">
        <v>401</v>
      </c>
      <c r="M304">
        <v>1.0714285714285714</v>
      </c>
      <c r="N304">
        <v>1.0526315789473684</v>
      </c>
      <c r="O304">
        <v>2</v>
      </c>
    </row>
    <row r="305" spans="1:15" x14ac:dyDescent="0.3">
      <c r="A305" s="1">
        <v>44207</v>
      </c>
      <c r="B305" s="2" t="s">
        <v>3</v>
      </c>
      <c r="C305">
        <v>719</v>
      </c>
      <c r="D305">
        <v>8810</v>
      </c>
      <c r="E305">
        <v>421</v>
      </c>
      <c r="F305">
        <v>70</v>
      </c>
      <c r="G305">
        <v>1462</v>
      </c>
      <c r="H305">
        <v>844</v>
      </c>
      <c r="I305">
        <v>24</v>
      </c>
      <c r="J305">
        <v>-1</v>
      </c>
      <c r="K305">
        <v>272</v>
      </c>
      <c r="L305" t="s">
        <v>401</v>
      </c>
      <c r="M305">
        <v>1.0604534005037782</v>
      </c>
      <c r="N305">
        <v>0.9859154929577465</v>
      </c>
      <c r="O305">
        <v>12</v>
      </c>
    </row>
    <row r="306" spans="1:15" x14ac:dyDescent="0.3">
      <c r="A306" s="1">
        <v>44208</v>
      </c>
      <c r="B306" s="2" t="s">
        <v>4</v>
      </c>
      <c r="C306">
        <v>229</v>
      </c>
      <c r="D306">
        <v>2260</v>
      </c>
      <c r="E306">
        <v>108</v>
      </c>
      <c r="F306">
        <v>22</v>
      </c>
      <c r="G306">
        <v>331</v>
      </c>
      <c r="H306">
        <v>256</v>
      </c>
      <c r="I306">
        <v>13</v>
      </c>
      <c r="J306">
        <v>0</v>
      </c>
      <c r="K306">
        <v>58</v>
      </c>
      <c r="L306" t="s">
        <v>403</v>
      </c>
      <c r="M306">
        <v>1.1368421052631579</v>
      </c>
      <c r="N306">
        <v>1</v>
      </c>
      <c r="O306">
        <v>2</v>
      </c>
    </row>
    <row r="307" spans="1:15" x14ac:dyDescent="0.3">
      <c r="A307" s="1">
        <v>44208</v>
      </c>
      <c r="B307" s="2" t="s">
        <v>5</v>
      </c>
      <c r="C307">
        <v>71</v>
      </c>
      <c r="D307">
        <v>659</v>
      </c>
      <c r="E307">
        <v>74</v>
      </c>
      <c r="F307">
        <v>5</v>
      </c>
      <c r="G307">
        <v>96</v>
      </c>
      <c r="H307">
        <v>74</v>
      </c>
      <c r="I307">
        <v>12</v>
      </c>
      <c r="J307">
        <v>0</v>
      </c>
      <c r="K307">
        <v>13</v>
      </c>
      <c r="L307" t="s">
        <v>403</v>
      </c>
      <c r="M307">
        <v>1.1935483870967742</v>
      </c>
      <c r="N307">
        <v>1</v>
      </c>
      <c r="O307">
        <v>0</v>
      </c>
    </row>
    <row r="308" spans="1:15" x14ac:dyDescent="0.3">
      <c r="A308" s="1">
        <v>44208</v>
      </c>
      <c r="B308" s="2" t="s">
        <v>8</v>
      </c>
      <c r="C308">
        <v>90</v>
      </c>
      <c r="D308">
        <v>890</v>
      </c>
      <c r="E308">
        <v>28</v>
      </c>
      <c r="F308">
        <v>4</v>
      </c>
      <c r="G308">
        <v>148</v>
      </c>
      <c r="H308">
        <v>104</v>
      </c>
      <c r="I308">
        <v>3</v>
      </c>
      <c r="J308">
        <v>2</v>
      </c>
      <c r="K308">
        <v>23</v>
      </c>
      <c r="L308" t="s">
        <v>403</v>
      </c>
      <c r="M308">
        <v>1.1200000000000001</v>
      </c>
      <c r="N308">
        <v>2</v>
      </c>
      <c r="O308">
        <v>0</v>
      </c>
    </row>
    <row r="309" spans="1:15" x14ac:dyDescent="0.3">
      <c r="A309" s="1">
        <v>44208</v>
      </c>
      <c r="B309" s="2" t="s">
        <v>9</v>
      </c>
      <c r="C309">
        <v>118</v>
      </c>
      <c r="D309">
        <v>1232</v>
      </c>
      <c r="E309">
        <v>44</v>
      </c>
      <c r="F309">
        <v>4</v>
      </c>
      <c r="G309">
        <v>316</v>
      </c>
      <c r="H309">
        <v>135</v>
      </c>
      <c r="I309">
        <v>0</v>
      </c>
      <c r="J309">
        <v>0</v>
      </c>
      <c r="K309">
        <v>43</v>
      </c>
      <c r="L309" t="s">
        <v>403</v>
      </c>
      <c r="M309">
        <v>1</v>
      </c>
      <c r="N309">
        <v>1</v>
      </c>
      <c r="O309">
        <v>0</v>
      </c>
    </row>
    <row r="310" spans="1:15" x14ac:dyDescent="0.3">
      <c r="A310" s="1">
        <v>44208</v>
      </c>
      <c r="B310" s="2" t="s">
        <v>6</v>
      </c>
      <c r="C310">
        <v>61</v>
      </c>
      <c r="D310">
        <v>832</v>
      </c>
      <c r="E310">
        <v>47</v>
      </c>
      <c r="F310">
        <v>10</v>
      </c>
      <c r="G310">
        <v>88</v>
      </c>
      <c r="H310">
        <v>62</v>
      </c>
      <c r="I310">
        <v>2</v>
      </c>
      <c r="J310">
        <v>0</v>
      </c>
      <c r="K310">
        <v>39</v>
      </c>
      <c r="L310" t="s">
        <v>403</v>
      </c>
      <c r="M310">
        <v>1.0444444444444445</v>
      </c>
      <c r="N310">
        <v>1</v>
      </c>
      <c r="O310">
        <v>0</v>
      </c>
    </row>
    <row r="311" spans="1:15" x14ac:dyDescent="0.3">
      <c r="A311" s="1">
        <v>44208</v>
      </c>
      <c r="B311" s="2" t="s">
        <v>7</v>
      </c>
      <c r="C311">
        <v>149</v>
      </c>
      <c r="D311">
        <v>1886</v>
      </c>
      <c r="E311">
        <v>93</v>
      </c>
      <c r="F311">
        <v>6</v>
      </c>
      <c r="G311">
        <v>215</v>
      </c>
      <c r="H311">
        <v>195</v>
      </c>
      <c r="I311">
        <v>-12</v>
      </c>
      <c r="J311">
        <v>-1</v>
      </c>
      <c r="K311">
        <v>111</v>
      </c>
      <c r="L311" t="s">
        <v>403</v>
      </c>
      <c r="M311">
        <v>0.88571428571428568</v>
      </c>
      <c r="N311">
        <v>0.8571428571428571</v>
      </c>
      <c r="O311">
        <v>9</v>
      </c>
    </row>
    <row r="312" spans="1:15" x14ac:dyDescent="0.3">
      <c r="A312" s="1">
        <v>44208</v>
      </c>
      <c r="B312" s="2" t="s">
        <v>2</v>
      </c>
      <c r="C312">
        <v>210</v>
      </c>
      <c r="D312">
        <v>1720</v>
      </c>
      <c r="E312">
        <v>44</v>
      </c>
      <c r="F312">
        <v>22</v>
      </c>
      <c r="G312">
        <v>280</v>
      </c>
      <c r="H312">
        <v>221</v>
      </c>
      <c r="I312">
        <v>-1</v>
      </c>
      <c r="J312">
        <v>2</v>
      </c>
      <c r="K312">
        <v>79</v>
      </c>
      <c r="L312" t="s">
        <v>403</v>
      </c>
      <c r="M312">
        <v>0.97777777777777775</v>
      </c>
      <c r="N312">
        <v>1.1000000000000001</v>
      </c>
      <c r="O312">
        <v>1</v>
      </c>
    </row>
    <row r="313" spans="1:15" x14ac:dyDescent="0.3">
      <c r="A313" s="1">
        <v>44208</v>
      </c>
      <c r="B313" s="2" t="s">
        <v>3</v>
      </c>
      <c r="C313">
        <v>928</v>
      </c>
      <c r="D313">
        <v>9479</v>
      </c>
      <c r="E313">
        <v>438</v>
      </c>
      <c r="F313">
        <v>73</v>
      </c>
      <c r="G313">
        <v>1474</v>
      </c>
      <c r="H313">
        <v>1047</v>
      </c>
      <c r="I313">
        <v>17</v>
      </c>
      <c r="J313">
        <v>3</v>
      </c>
      <c r="K313">
        <v>366</v>
      </c>
      <c r="L313" t="s">
        <v>403</v>
      </c>
      <c r="M313">
        <v>1.0403800475059382</v>
      </c>
      <c r="N313">
        <v>1.0428571428571429</v>
      </c>
      <c r="O313">
        <v>12</v>
      </c>
    </row>
    <row r="314" spans="1:15" x14ac:dyDescent="0.3">
      <c r="A314" s="1">
        <v>44209</v>
      </c>
      <c r="B314" s="2" t="s">
        <v>4</v>
      </c>
      <c r="C314">
        <v>256</v>
      </c>
      <c r="D314">
        <v>2469</v>
      </c>
      <c r="E314">
        <v>123</v>
      </c>
      <c r="F314">
        <v>27</v>
      </c>
      <c r="G314">
        <v>333</v>
      </c>
      <c r="H314">
        <v>298</v>
      </c>
      <c r="I314">
        <v>15</v>
      </c>
      <c r="J314">
        <v>5</v>
      </c>
      <c r="K314">
        <v>88</v>
      </c>
      <c r="L314" t="s">
        <v>404</v>
      </c>
      <c r="M314">
        <v>1.1388888888888888</v>
      </c>
      <c r="N314">
        <v>1.2272727272727273</v>
      </c>
      <c r="O314">
        <v>2</v>
      </c>
    </row>
    <row r="315" spans="1:15" x14ac:dyDescent="0.3">
      <c r="A315" s="1">
        <v>44209</v>
      </c>
      <c r="B315" s="2" t="s">
        <v>5</v>
      </c>
      <c r="C315">
        <v>61</v>
      </c>
      <c r="D315">
        <v>710</v>
      </c>
      <c r="E315">
        <v>73</v>
      </c>
      <c r="F315">
        <v>6</v>
      </c>
      <c r="G315">
        <v>96</v>
      </c>
      <c r="H315">
        <v>68</v>
      </c>
      <c r="I315">
        <v>-1</v>
      </c>
      <c r="J315">
        <v>1</v>
      </c>
      <c r="K315">
        <v>17</v>
      </c>
      <c r="L315" t="s">
        <v>404</v>
      </c>
      <c r="M315">
        <v>0.98648648648648651</v>
      </c>
      <c r="N315">
        <v>1.2</v>
      </c>
      <c r="O315">
        <v>0</v>
      </c>
    </row>
    <row r="316" spans="1:15" x14ac:dyDescent="0.3">
      <c r="A316" s="1">
        <v>44209</v>
      </c>
      <c r="B316" s="2" t="s">
        <v>8</v>
      </c>
      <c r="C316">
        <v>97</v>
      </c>
      <c r="D316">
        <v>945</v>
      </c>
      <c r="E316">
        <v>31</v>
      </c>
      <c r="F316">
        <v>3</v>
      </c>
      <c r="G316">
        <v>149</v>
      </c>
      <c r="H316">
        <v>99</v>
      </c>
      <c r="I316">
        <v>3</v>
      </c>
      <c r="J316">
        <v>-1</v>
      </c>
      <c r="K316">
        <v>43</v>
      </c>
      <c r="L316" t="s">
        <v>404</v>
      </c>
      <c r="M316">
        <v>1.1071428571428572</v>
      </c>
      <c r="N316">
        <v>0.75</v>
      </c>
      <c r="O316">
        <v>1</v>
      </c>
    </row>
    <row r="317" spans="1:15" x14ac:dyDescent="0.3">
      <c r="A317" s="1">
        <v>44209</v>
      </c>
      <c r="B317" s="2" t="s">
        <v>9</v>
      </c>
      <c r="C317">
        <v>125</v>
      </c>
      <c r="D317">
        <v>1348</v>
      </c>
      <c r="E317">
        <v>46</v>
      </c>
      <c r="F317">
        <v>7</v>
      </c>
      <c r="G317">
        <v>317</v>
      </c>
      <c r="H317">
        <v>164</v>
      </c>
      <c r="I317">
        <v>2</v>
      </c>
      <c r="J317">
        <v>3</v>
      </c>
      <c r="K317">
        <v>47</v>
      </c>
      <c r="L317" t="s">
        <v>404</v>
      </c>
      <c r="M317">
        <v>1.0454545454545454</v>
      </c>
      <c r="N317">
        <v>1.75</v>
      </c>
      <c r="O317">
        <v>1</v>
      </c>
    </row>
    <row r="318" spans="1:15" x14ac:dyDescent="0.3">
      <c r="A318" s="1">
        <v>44209</v>
      </c>
      <c r="B318" s="2" t="s">
        <v>6</v>
      </c>
      <c r="C318">
        <v>75</v>
      </c>
      <c r="D318">
        <v>867</v>
      </c>
      <c r="E318">
        <v>51</v>
      </c>
      <c r="F318">
        <v>9</v>
      </c>
      <c r="G318">
        <v>89</v>
      </c>
      <c r="H318">
        <v>85</v>
      </c>
      <c r="I318">
        <v>4</v>
      </c>
      <c r="J318">
        <v>-1</v>
      </c>
      <c r="K318">
        <v>49</v>
      </c>
      <c r="L318" t="s">
        <v>404</v>
      </c>
      <c r="M318">
        <v>1.0851063829787233</v>
      </c>
      <c r="N318">
        <v>0.9</v>
      </c>
      <c r="O318">
        <v>1</v>
      </c>
    </row>
    <row r="319" spans="1:15" x14ac:dyDescent="0.3">
      <c r="A319" s="1">
        <v>44209</v>
      </c>
      <c r="B319" s="2" t="s">
        <v>7</v>
      </c>
      <c r="C319">
        <v>197</v>
      </c>
      <c r="D319">
        <v>1983</v>
      </c>
      <c r="E319">
        <v>92</v>
      </c>
      <c r="F319">
        <v>8</v>
      </c>
      <c r="G319">
        <v>215</v>
      </c>
      <c r="H319">
        <v>231</v>
      </c>
      <c r="I319">
        <v>-1</v>
      </c>
      <c r="J319">
        <v>2</v>
      </c>
      <c r="K319">
        <v>134</v>
      </c>
      <c r="L319" t="s">
        <v>404</v>
      </c>
      <c r="M319">
        <v>0.989247311827957</v>
      </c>
      <c r="N319">
        <v>1.3333333333333333</v>
      </c>
      <c r="O319">
        <v>0</v>
      </c>
    </row>
    <row r="320" spans="1:15" x14ac:dyDescent="0.3">
      <c r="A320" s="1">
        <v>44209</v>
      </c>
      <c r="B320" s="2" t="s">
        <v>2</v>
      </c>
      <c r="C320">
        <v>214</v>
      </c>
      <c r="D320">
        <v>1893</v>
      </c>
      <c r="E320">
        <v>47</v>
      </c>
      <c r="F320">
        <v>22</v>
      </c>
      <c r="G320">
        <v>281</v>
      </c>
      <c r="H320">
        <v>244</v>
      </c>
      <c r="I320">
        <v>3</v>
      </c>
      <c r="J320">
        <v>0</v>
      </c>
      <c r="K320">
        <v>70</v>
      </c>
      <c r="L320" t="s">
        <v>404</v>
      </c>
      <c r="M320">
        <v>1.0681818181818181</v>
      </c>
      <c r="N320">
        <v>1</v>
      </c>
      <c r="O320">
        <v>1</v>
      </c>
    </row>
    <row r="321" spans="1:15" x14ac:dyDescent="0.3">
      <c r="A321" s="1">
        <v>44209</v>
      </c>
      <c r="B321" s="2" t="s">
        <v>3</v>
      </c>
      <c r="C321">
        <v>1025</v>
      </c>
      <c r="D321">
        <v>10215</v>
      </c>
      <c r="E321">
        <v>463</v>
      </c>
      <c r="F321">
        <v>82</v>
      </c>
      <c r="G321">
        <v>1480</v>
      </c>
      <c r="H321">
        <v>1189</v>
      </c>
      <c r="I321">
        <v>25</v>
      </c>
      <c r="J321">
        <v>9</v>
      </c>
      <c r="K321">
        <v>448</v>
      </c>
      <c r="L321" t="s">
        <v>404</v>
      </c>
      <c r="M321">
        <v>1.0570776255707763</v>
      </c>
      <c r="N321">
        <v>1.1232876712328768</v>
      </c>
      <c r="O321">
        <v>6</v>
      </c>
    </row>
    <row r="322" spans="1:15" x14ac:dyDescent="0.3">
      <c r="A322" s="1">
        <v>44210</v>
      </c>
      <c r="B322" s="2" t="s">
        <v>4</v>
      </c>
      <c r="C322">
        <v>251</v>
      </c>
      <c r="D322">
        <v>2635</v>
      </c>
      <c r="E322">
        <v>138</v>
      </c>
      <c r="F322">
        <v>26</v>
      </c>
      <c r="G322">
        <v>333</v>
      </c>
      <c r="H322">
        <v>295</v>
      </c>
      <c r="I322">
        <v>15</v>
      </c>
      <c r="J322">
        <v>-1</v>
      </c>
      <c r="K322">
        <v>129</v>
      </c>
      <c r="L322" t="s">
        <v>405</v>
      </c>
      <c r="M322">
        <v>1.1219512195121952</v>
      </c>
      <c r="N322">
        <v>0.96296296296296291</v>
      </c>
      <c r="O322">
        <v>0</v>
      </c>
    </row>
    <row r="323" spans="1:15" x14ac:dyDescent="0.3">
      <c r="A323" s="1">
        <v>44210</v>
      </c>
      <c r="B323" s="2" t="s">
        <v>5</v>
      </c>
      <c r="C323">
        <v>108</v>
      </c>
      <c r="D323">
        <v>796</v>
      </c>
      <c r="E323">
        <v>77</v>
      </c>
      <c r="F323">
        <v>9</v>
      </c>
      <c r="G323">
        <v>98</v>
      </c>
      <c r="H323">
        <v>113</v>
      </c>
      <c r="I323">
        <v>4</v>
      </c>
      <c r="J323">
        <v>3</v>
      </c>
      <c r="K323">
        <v>25</v>
      </c>
      <c r="L323" t="s">
        <v>405</v>
      </c>
      <c r="M323">
        <v>1.0547945205479452</v>
      </c>
      <c r="N323">
        <v>1.5</v>
      </c>
      <c r="O323">
        <v>2</v>
      </c>
    </row>
    <row r="324" spans="1:15" x14ac:dyDescent="0.3">
      <c r="A324" s="1">
        <v>44210</v>
      </c>
      <c r="B324" s="2" t="s">
        <v>8</v>
      </c>
      <c r="C324">
        <v>75</v>
      </c>
      <c r="D324">
        <v>992</v>
      </c>
      <c r="E324">
        <v>32</v>
      </c>
      <c r="F324">
        <v>3</v>
      </c>
      <c r="G324">
        <v>150</v>
      </c>
      <c r="H324">
        <v>85</v>
      </c>
      <c r="I324">
        <v>1</v>
      </c>
      <c r="J324">
        <v>0</v>
      </c>
      <c r="K324">
        <v>37</v>
      </c>
      <c r="L324" t="s">
        <v>405</v>
      </c>
      <c r="M324">
        <v>1.032258064516129</v>
      </c>
      <c r="N324">
        <v>1</v>
      </c>
      <c r="O324">
        <v>1</v>
      </c>
    </row>
    <row r="325" spans="1:15" x14ac:dyDescent="0.3">
      <c r="A325" s="1">
        <v>44210</v>
      </c>
      <c r="B325" s="2" t="s">
        <v>9</v>
      </c>
      <c r="C325">
        <v>160</v>
      </c>
      <c r="D325">
        <v>1459</v>
      </c>
      <c r="E325">
        <v>54</v>
      </c>
      <c r="F325">
        <v>9</v>
      </c>
      <c r="G325">
        <v>318</v>
      </c>
      <c r="H325">
        <v>194</v>
      </c>
      <c r="I325">
        <v>8</v>
      </c>
      <c r="J325">
        <v>2</v>
      </c>
      <c r="K325">
        <v>82</v>
      </c>
      <c r="L325" t="s">
        <v>405</v>
      </c>
      <c r="M325">
        <v>1.173913043478261</v>
      </c>
      <c r="N325">
        <v>1.2857142857142858</v>
      </c>
      <c r="O325">
        <v>1</v>
      </c>
    </row>
    <row r="326" spans="1:15" x14ac:dyDescent="0.3">
      <c r="A326" s="1">
        <v>44210</v>
      </c>
      <c r="B326" s="2" t="s">
        <v>6</v>
      </c>
      <c r="C326">
        <v>75</v>
      </c>
      <c r="D326">
        <v>907</v>
      </c>
      <c r="E326">
        <v>54</v>
      </c>
      <c r="F326">
        <v>11</v>
      </c>
      <c r="G326">
        <v>89</v>
      </c>
      <c r="H326">
        <v>81</v>
      </c>
      <c r="I326">
        <v>3</v>
      </c>
      <c r="J326">
        <v>2</v>
      </c>
      <c r="K326">
        <v>41</v>
      </c>
      <c r="L326" t="s">
        <v>405</v>
      </c>
      <c r="M326">
        <v>1.0588235294117647</v>
      </c>
      <c r="N326">
        <v>1.2222222222222223</v>
      </c>
      <c r="O326">
        <v>0</v>
      </c>
    </row>
    <row r="327" spans="1:15" x14ac:dyDescent="0.3">
      <c r="A327" s="1">
        <v>44210</v>
      </c>
      <c r="B327" s="2" t="s">
        <v>7</v>
      </c>
      <c r="C327">
        <v>163</v>
      </c>
      <c r="D327">
        <v>2081</v>
      </c>
      <c r="E327">
        <v>94</v>
      </c>
      <c r="F327">
        <v>10</v>
      </c>
      <c r="G327">
        <v>216</v>
      </c>
      <c r="H327">
        <v>210</v>
      </c>
      <c r="I327">
        <v>2</v>
      </c>
      <c r="J327">
        <v>2</v>
      </c>
      <c r="K327">
        <v>111</v>
      </c>
      <c r="L327" t="s">
        <v>405</v>
      </c>
      <c r="M327">
        <v>1.0217391304347827</v>
      </c>
      <c r="N327">
        <v>1.25</v>
      </c>
      <c r="O327">
        <v>1</v>
      </c>
    </row>
    <row r="328" spans="1:15" x14ac:dyDescent="0.3">
      <c r="A328" s="1">
        <v>44210</v>
      </c>
      <c r="B328" s="2" t="s">
        <v>2</v>
      </c>
      <c r="C328">
        <v>181</v>
      </c>
      <c r="D328">
        <v>1994</v>
      </c>
      <c r="E328">
        <v>56</v>
      </c>
      <c r="F328">
        <v>22</v>
      </c>
      <c r="G328">
        <v>281</v>
      </c>
      <c r="H328">
        <v>191</v>
      </c>
      <c r="I328">
        <v>9</v>
      </c>
      <c r="J328">
        <v>0</v>
      </c>
      <c r="K328">
        <v>90</v>
      </c>
      <c r="L328" t="s">
        <v>405</v>
      </c>
      <c r="M328">
        <v>1.1914893617021276</v>
      </c>
      <c r="N328">
        <v>1</v>
      </c>
      <c r="O328">
        <v>0</v>
      </c>
    </row>
    <row r="329" spans="1:15" x14ac:dyDescent="0.3">
      <c r="A329" s="1">
        <v>44210</v>
      </c>
      <c r="B329" s="2" t="s">
        <v>3</v>
      </c>
      <c r="C329">
        <v>1013</v>
      </c>
      <c r="D329">
        <v>10864</v>
      </c>
      <c r="E329">
        <v>505</v>
      </c>
      <c r="F329">
        <v>90</v>
      </c>
      <c r="G329">
        <v>1485</v>
      </c>
      <c r="H329">
        <v>1169</v>
      </c>
      <c r="I329">
        <v>42</v>
      </c>
      <c r="J329">
        <v>8</v>
      </c>
      <c r="K329">
        <v>515</v>
      </c>
      <c r="L329" t="s">
        <v>405</v>
      </c>
      <c r="M329">
        <v>1.0907127429805616</v>
      </c>
      <c r="N329">
        <v>1.0975609756097562</v>
      </c>
      <c r="O329">
        <v>5</v>
      </c>
    </row>
    <row r="330" spans="1:15" x14ac:dyDescent="0.3">
      <c r="A330" s="1">
        <v>44211</v>
      </c>
      <c r="B330" s="2" t="s">
        <v>4</v>
      </c>
      <c r="C330">
        <v>261</v>
      </c>
      <c r="D330">
        <v>2843</v>
      </c>
      <c r="E330">
        <v>130</v>
      </c>
      <c r="F330">
        <v>26</v>
      </c>
      <c r="G330">
        <v>337</v>
      </c>
      <c r="H330">
        <v>330</v>
      </c>
      <c r="I330">
        <v>-8</v>
      </c>
      <c r="J330">
        <v>0</v>
      </c>
      <c r="K330">
        <v>118</v>
      </c>
      <c r="L330" t="s">
        <v>406</v>
      </c>
      <c r="M330">
        <v>0.94202898550724634</v>
      </c>
      <c r="N330">
        <v>1</v>
      </c>
      <c r="O330">
        <v>4</v>
      </c>
    </row>
    <row r="331" spans="1:15" x14ac:dyDescent="0.3">
      <c r="A331" s="1">
        <v>44211</v>
      </c>
      <c r="B331" s="2" t="s">
        <v>5</v>
      </c>
      <c r="C331">
        <v>140</v>
      </c>
      <c r="D331">
        <v>909</v>
      </c>
      <c r="E331">
        <v>80</v>
      </c>
      <c r="F331">
        <v>9</v>
      </c>
      <c r="G331">
        <v>99</v>
      </c>
      <c r="H331">
        <v>146</v>
      </c>
      <c r="I331">
        <v>3</v>
      </c>
      <c r="J331">
        <v>0</v>
      </c>
      <c r="K331">
        <v>32</v>
      </c>
      <c r="L331" t="s">
        <v>406</v>
      </c>
      <c r="M331">
        <v>1.0389610389610389</v>
      </c>
      <c r="N331">
        <v>1</v>
      </c>
      <c r="O331">
        <v>1</v>
      </c>
    </row>
    <row r="332" spans="1:15" x14ac:dyDescent="0.3">
      <c r="A332" s="1">
        <v>44211</v>
      </c>
      <c r="B332" s="2" t="s">
        <v>8</v>
      </c>
      <c r="C332">
        <v>84</v>
      </c>
      <c r="D332">
        <v>1031</v>
      </c>
      <c r="E332">
        <v>35</v>
      </c>
      <c r="F332">
        <v>4</v>
      </c>
      <c r="G332">
        <v>151</v>
      </c>
      <c r="H332">
        <v>91</v>
      </c>
      <c r="I332">
        <v>3</v>
      </c>
      <c r="J332">
        <v>1</v>
      </c>
      <c r="K332">
        <v>50</v>
      </c>
      <c r="L332" t="s">
        <v>406</v>
      </c>
      <c r="M332">
        <v>1.09375</v>
      </c>
      <c r="N332">
        <v>1.3333333333333333</v>
      </c>
      <c r="O332">
        <v>1</v>
      </c>
    </row>
    <row r="333" spans="1:15" x14ac:dyDescent="0.3">
      <c r="A333" s="1">
        <v>44211</v>
      </c>
      <c r="B333" s="2" t="s">
        <v>9</v>
      </c>
      <c r="C333">
        <v>151</v>
      </c>
      <c r="D333">
        <v>1605</v>
      </c>
      <c r="E333">
        <v>60</v>
      </c>
      <c r="F333">
        <v>9</v>
      </c>
      <c r="G333">
        <v>319</v>
      </c>
      <c r="H333">
        <v>187</v>
      </c>
      <c r="I333">
        <v>6</v>
      </c>
      <c r="J333">
        <v>0</v>
      </c>
      <c r="K333">
        <v>40</v>
      </c>
      <c r="L333" t="s">
        <v>406</v>
      </c>
      <c r="M333">
        <v>1.1111111111111112</v>
      </c>
      <c r="N333">
        <v>1</v>
      </c>
      <c r="O333">
        <v>1</v>
      </c>
    </row>
    <row r="334" spans="1:15" x14ac:dyDescent="0.3">
      <c r="A334" s="1">
        <v>44211</v>
      </c>
      <c r="B334" s="2" t="s">
        <v>6</v>
      </c>
      <c r="C334">
        <v>82</v>
      </c>
      <c r="D334">
        <v>954</v>
      </c>
      <c r="E334">
        <v>54</v>
      </c>
      <c r="F334">
        <v>12</v>
      </c>
      <c r="G334">
        <v>89</v>
      </c>
      <c r="H334">
        <v>100</v>
      </c>
      <c r="I334">
        <v>0</v>
      </c>
      <c r="J334">
        <v>1</v>
      </c>
      <c r="K334">
        <v>53</v>
      </c>
      <c r="L334" t="s">
        <v>406</v>
      </c>
      <c r="M334">
        <v>1</v>
      </c>
      <c r="N334">
        <v>1.0909090909090908</v>
      </c>
      <c r="O334">
        <v>0</v>
      </c>
    </row>
    <row r="335" spans="1:15" x14ac:dyDescent="0.3">
      <c r="A335" s="1">
        <v>44211</v>
      </c>
      <c r="B335" s="2" t="s">
        <v>7</v>
      </c>
      <c r="C335">
        <v>162</v>
      </c>
      <c r="D335">
        <v>2157</v>
      </c>
      <c r="E335">
        <v>97</v>
      </c>
      <c r="F335">
        <v>12</v>
      </c>
      <c r="G335">
        <v>220</v>
      </c>
      <c r="H335">
        <v>211</v>
      </c>
      <c r="I335">
        <v>3</v>
      </c>
      <c r="J335">
        <v>2</v>
      </c>
      <c r="K335">
        <v>132</v>
      </c>
      <c r="L335" t="s">
        <v>406</v>
      </c>
      <c r="M335">
        <v>1.0319148936170213</v>
      </c>
      <c r="N335">
        <v>1.2</v>
      </c>
      <c r="O335">
        <v>4</v>
      </c>
    </row>
    <row r="336" spans="1:15" x14ac:dyDescent="0.3">
      <c r="A336" s="1">
        <v>44211</v>
      </c>
      <c r="B336" s="2" t="s">
        <v>2</v>
      </c>
      <c r="C336">
        <v>255</v>
      </c>
      <c r="D336">
        <v>2167</v>
      </c>
      <c r="E336">
        <v>50</v>
      </c>
      <c r="F336">
        <v>19</v>
      </c>
      <c r="G336">
        <v>284</v>
      </c>
      <c r="H336">
        <v>278</v>
      </c>
      <c r="I336">
        <v>-6</v>
      </c>
      <c r="J336">
        <v>-3</v>
      </c>
      <c r="K336">
        <v>102</v>
      </c>
      <c r="L336" t="s">
        <v>406</v>
      </c>
      <c r="M336">
        <v>0.8928571428571429</v>
      </c>
      <c r="N336">
        <v>0.86363636363636365</v>
      </c>
      <c r="O336">
        <v>3</v>
      </c>
    </row>
    <row r="337" spans="1:15" x14ac:dyDescent="0.3">
      <c r="A337" s="1">
        <v>44211</v>
      </c>
      <c r="B337" s="2" t="s">
        <v>3</v>
      </c>
      <c r="C337">
        <v>1135</v>
      </c>
      <c r="D337">
        <v>11666</v>
      </c>
      <c r="E337">
        <v>506</v>
      </c>
      <c r="F337">
        <v>91</v>
      </c>
      <c r="G337">
        <v>1499</v>
      </c>
      <c r="H337">
        <v>1343</v>
      </c>
      <c r="I337">
        <v>1</v>
      </c>
      <c r="J337">
        <v>1</v>
      </c>
      <c r="K337">
        <v>527</v>
      </c>
      <c r="L337" t="s">
        <v>406</v>
      </c>
      <c r="M337">
        <v>1.001980198019802</v>
      </c>
      <c r="N337">
        <v>1.0111111111111111</v>
      </c>
      <c r="O337">
        <v>14</v>
      </c>
    </row>
    <row r="338" spans="1:15" x14ac:dyDescent="0.3">
      <c r="A338" s="1">
        <v>44212</v>
      </c>
      <c r="B338" s="2" t="s">
        <v>4</v>
      </c>
      <c r="C338">
        <v>337</v>
      </c>
      <c r="D338">
        <v>3129</v>
      </c>
      <c r="E338">
        <v>145</v>
      </c>
      <c r="F338">
        <v>28</v>
      </c>
      <c r="G338">
        <v>337</v>
      </c>
      <c r="H338">
        <v>360</v>
      </c>
      <c r="I338">
        <v>15</v>
      </c>
      <c r="J338">
        <v>2</v>
      </c>
      <c r="K338">
        <v>74</v>
      </c>
      <c r="L338" t="s">
        <v>407</v>
      </c>
      <c r="M338">
        <v>1.1153846153846154</v>
      </c>
      <c r="N338">
        <v>1.0769230769230769</v>
      </c>
      <c r="O338">
        <v>0</v>
      </c>
    </row>
    <row r="339" spans="1:15" x14ac:dyDescent="0.3">
      <c r="A339" s="1">
        <v>44212</v>
      </c>
      <c r="B339" s="2" t="s">
        <v>5</v>
      </c>
      <c r="C339">
        <v>70</v>
      </c>
      <c r="D339">
        <v>981</v>
      </c>
      <c r="E339">
        <v>83</v>
      </c>
      <c r="F339">
        <v>13</v>
      </c>
      <c r="G339">
        <v>99</v>
      </c>
      <c r="H339">
        <v>84</v>
      </c>
      <c r="I339">
        <v>3</v>
      </c>
      <c r="J339">
        <v>4</v>
      </c>
      <c r="K339">
        <v>12</v>
      </c>
      <c r="L339" t="s">
        <v>407</v>
      </c>
      <c r="M339">
        <v>1.0375000000000001</v>
      </c>
      <c r="N339">
        <v>1.4444444444444444</v>
      </c>
      <c r="O339">
        <v>0</v>
      </c>
    </row>
    <row r="340" spans="1:15" x14ac:dyDescent="0.3">
      <c r="A340" s="1">
        <v>44212</v>
      </c>
      <c r="B340" s="2" t="s">
        <v>8</v>
      </c>
      <c r="C340">
        <v>88</v>
      </c>
      <c r="D340">
        <v>1098</v>
      </c>
      <c r="E340">
        <v>37</v>
      </c>
      <c r="F340">
        <v>6</v>
      </c>
      <c r="G340">
        <v>151</v>
      </c>
      <c r="H340">
        <v>108</v>
      </c>
      <c r="I340">
        <v>2</v>
      </c>
      <c r="J340">
        <v>2</v>
      </c>
      <c r="K340">
        <v>41</v>
      </c>
      <c r="L340" t="s">
        <v>407</v>
      </c>
      <c r="M340">
        <v>1.0571428571428572</v>
      </c>
      <c r="N340">
        <v>1.5</v>
      </c>
      <c r="O340">
        <v>0</v>
      </c>
    </row>
    <row r="341" spans="1:15" x14ac:dyDescent="0.3">
      <c r="A341" s="1">
        <v>44212</v>
      </c>
      <c r="B341" s="2" t="s">
        <v>9</v>
      </c>
      <c r="C341">
        <v>148</v>
      </c>
      <c r="D341">
        <v>1739</v>
      </c>
      <c r="E341">
        <v>75</v>
      </c>
      <c r="F341">
        <v>7</v>
      </c>
      <c r="G341">
        <v>320</v>
      </c>
      <c r="H341">
        <v>167</v>
      </c>
      <c r="I341">
        <v>15</v>
      </c>
      <c r="J341">
        <v>-2</v>
      </c>
      <c r="K341">
        <v>32</v>
      </c>
      <c r="L341" t="s">
        <v>407</v>
      </c>
      <c r="M341">
        <v>1.25</v>
      </c>
      <c r="N341">
        <v>0.77777777777777779</v>
      </c>
      <c r="O341">
        <v>1</v>
      </c>
    </row>
    <row r="342" spans="1:15" x14ac:dyDescent="0.3">
      <c r="A342" s="1">
        <v>44212</v>
      </c>
      <c r="B342" s="2" t="s">
        <v>6</v>
      </c>
      <c r="C342">
        <v>84</v>
      </c>
      <c r="D342">
        <v>983</v>
      </c>
      <c r="E342">
        <v>56</v>
      </c>
      <c r="F342">
        <v>12</v>
      </c>
      <c r="G342">
        <v>90</v>
      </c>
      <c r="H342">
        <v>92</v>
      </c>
      <c r="I342">
        <v>2</v>
      </c>
      <c r="J342">
        <v>0</v>
      </c>
      <c r="K342">
        <v>62</v>
      </c>
      <c r="L342" t="s">
        <v>407</v>
      </c>
      <c r="M342">
        <v>1.037037037037037</v>
      </c>
      <c r="N342">
        <v>1</v>
      </c>
      <c r="O342">
        <v>1</v>
      </c>
    </row>
    <row r="343" spans="1:15" x14ac:dyDescent="0.3">
      <c r="A343" s="1">
        <v>44212</v>
      </c>
      <c r="B343" s="2" t="s">
        <v>7</v>
      </c>
      <c r="C343">
        <v>145</v>
      </c>
      <c r="D343">
        <v>2245</v>
      </c>
      <c r="E343">
        <v>95</v>
      </c>
      <c r="F343">
        <v>14</v>
      </c>
      <c r="G343">
        <v>222</v>
      </c>
      <c r="H343">
        <v>177</v>
      </c>
      <c r="I343">
        <v>-2</v>
      </c>
      <c r="J343">
        <v>2</v>
      </c>
      <c r="K343">
        <v>87</v>
      </c>
      <c r="L343" t="s">
        <v>407</v>
      </c>
      <c r="M343">
        <v>0.97938144329896903</v>
      </c>
      <c r="N343">
        <v>1.1666666666666667</v>
      </c>
      <c r="O343">
        <v>2</v>
      </c>
    </row>
    <row r="344" spans="1:15" x14ac:dyDescent="0.3">
      <c r="A344" s="1">
        <v>44212</v>
      </c>
      <c r="B344" s="2" t="s">
        <v>2</v>
      </c>
      <c r="C344">
        <v>252</v>
      </c>
      <c r="D344">
        <v>2333</v>
      </c>
      <c r="E344">
        <v>66</v>
      </c>
      <c r="F344">
        <v>18</v>
      </c>
      <c r="G344">
        <v>284</v>
      </c>
      <c r="H344">
        <v>256</v>
      </c>
      <c r="I344">
        <v>16</v>
      </c>
      <c r="J344">
        <v>-1</v>
      </c>
      <c r="K344">
        <v>90</v>
      </c>
      <c r="L344" t="s">
        <v>407</v>
      </c>
      <c r="M344">
        <v>1.32</v>
      </c>
      <c r="N344">
        <v>0.94736842105263153</v>
      </c>
      <c r="O344">
        <v>0</v>
      </c>
    </row>
    <row r="345" spans="1:15" x14ac:dyDescent="0.3">
      <c r="A345" s="1">
        <v>44212</v>
      </c>
      <c r="B345" s="2" t="s">
        <v>3</v>
      </c>
      <c r="C345">
        <v>1124</v>
      </c>
      <c r="D345">
        <v>12508</v>
      </c>
      <c r="E345">
        <v>557</v>
      </c>
      <c r="F345">
        <v>98</v>
      </c>
      <c r="G345">
        <v>1503</v>
      </c>
      <c r="H345">
        <v>1244</v>
      </c>
      <c r="I345">
        <v>51</v>
      </c>
      <c r="J345">
        <v>7</v>
      </c>
      <c r="K345">
        <v>398</v>
      </c>
      <c r="L345" t="s">
        <v>407</v>
      </c>
      <c r="M345">
        <v>1.1007905138339922</v>
      </c>
      <c r="N345">
        <v>1.0769230769230769</v>
      </c>
      <c r="O345">
        <v>4</v>
      </c>
    </row>
    <row r="346" spans="1:15" x14ac:dyDescent="0.3">
      <c r="A346" s="1">
        <v>44213</v>
      </c>
      <c r="B346" s="2" t="s">
        <v>4</v>
      </c>
      <c r="C346">
        <v>242</v>
      </c>
      <c r="D346">
        <v>3346</v>
      </c>
      <c r="E346">
        <v>163</v>
      </c>
      <c r="F346">
        <v>31</v>
      </c>
      <c r="G346">
        <v>340</v>
      </c>
      <c r="H346">
        <v>282</v>
      </c>
      <c r="I346">
        <v>18</v>
      </c>
      <c r="J346">
        <v>3</v>
      </c>
      <c r="K346">
        <v>62</v>
      </c>
      <c r="L346" t="s">
        <v>408</v>
      </c>
      <c r="M346">
        <v>1.1241379310344828</v>
      </c>
      <c r="N346">
        <v>1.1071428571428572</v>
      </c>
      <c r="O346">
        <v>3</v>
      </c>
    </row>
    <row r="347" spans="1:15" x14ac:dyDescent="0.3">
      <c r="A347" s="1">
        <v>44213</v>
      </c>
      <c r="B347" s="2" t="s">
        <v>5</v>
      </c>
      <c r="C347">
        <v>94</v>
      </c>
      <c r="D347">
        <v>1049</v>
      </c>
      <c r="E347">
        <v>89</v>
      </c>
      <c r="F347">
        <v>11</v>
      </c>
      <c r="G347">
        <v>101</v>
      </c>
      <c r="H347">
        <v>99</v>
      </c>
      <c r="I347">
        <v>6</v>
      </c>
      <c r="J347">
        <v>-2</v>
      </c>
      <c r="K347">
        <v>29</v>
      </c>
      <c r="L347" t="s">
        <v>408</v>
      </c>
      <c r="M347">
        <v>1.072289156626506</v>
      </c>
      <c r="N347">
        <v>0.84615384615384615</v>
      </c>
      <c r="O347">
        <v>2</v>
      </c>
    </row>
    <row r="348" spans="1:15" x14ac:dyDescent="0.3">
      <c r="A348" s="1">
        <v>44213</v>
      </c>
      <c r="B348" s="2" t="s">
        <v>8</v>
      </c>
      <c r="C348">
        <v>82</v>
      </c>
      <c r="D348">
        <v>1146</v>
      </c>
      <c r="E348">
        <v>43</v>
      </c>
      <c r="F348">
        <v>7</v>
      </c>
      <c r="G348">
        <v>151</v>
      </c>
      <c r="H348">
        <v>93</v>
      </c>
      <c r="I348">
        <v>6</v>
      </c>
      <c r="J348">
        <v>1</v>
      </c>
      <c r="K348">
        <v>45</v>
      </c>
      <c r="L348" t="s">
        <v>408</v>
      </c>
      <c r="M348">
        <v>1.1621621621621621</v>
      </c>
      <c r="N348">
        <v>1.1666666666666667</v>
      </c>
      <c r="O348">
        <v>0</v>
      </c>
    </row>
    <row r="349" spans="1:15" x14ac:dyDescent="0.3">
      <c r="A349" s="1">
        <v>44213</v>
      </c>
      <c r="B349" s="2" t="s">
        <v>9</v>
      </c>
      <c r="C349">
        <v>110</v>
      </c>
      <c r="D349">
        <v>1830</v>
      </c>
      <c r="E349">
        <v>92</v>
      </c>
      <c r="F349">
        <v>6</v>
      </c>
      <c r="G349">
        <v>320</v>
      </c>
      <c r="H349">
        <v>131</v>
      </c>
      <c r="I349">
        <v>17</v>
      </c>
      <c r="J349">
        <v>-1</v>
      </c>
      <c r="K349">
        <v>40</v>
      </c>
      <c r="L349" t="s">
        <v>408</v>
      </c>
      <c r="M349">
        <v>1.2266666666666666</v>
      </c>
      <c r="N349">
        <v>0.8571428571428571</v>
      </c>
      <c r="O349">
        <v>0</v>
      </c>
    </row>
    <row r="350" spans="1:15" x14ac:dyDescent="0.3">
      <c r="A350" s="1">
        <v>44213</v>
      </c>
      <c r="B350" s="2" t="s">
        <v>6</v>
      </c>
      <c r="C350">
        <v>112</v>
      </c>
      <c r="D350">
        <v>1088</v>
      </c>
      <c r="E350">
        <v>64</v>
      </c>
      <c r="F350">
        <v>13</v>
      </c>
      <c r="G350">
        <v>91</v>
      </c>
      <c r="H350">
        <v>126</v>
      </c>
      <c r="I350">
        <v>8</v>
      </c>
      <c r="J350">
        <v>1</v>
      </c>
      <c r="K350">
        <v>20</v>
      </c>
      <c r="L350" t="s">
        <v>408</v>
      </c>
      <c r="M350">
        <v>1.1428571428571428</v>
      </c>
      <c r="N350">
        <v>1.0833333333333333</v>
      </c>
      <c r="O350">
        <v>1</v>
      </c>
    </row>
    <row r="351" spans="1:15" x14ac:dyDescent="0.3">
      <c r="A351" s="1">
        <v>44213</v>
      </c>
      <c r="B351" s="2" t="s">
        <v>7</v>
      </c>
      <c r="C351">
        <v>117</v>
      </c>
      <c r="D351">
        <v>2341</v>
      </c>
      <c r="E351">
        <v>99</v>
      </c>
      <c r="F351">
        <v>16</v>
      </c>
      <c r="G351">
        <v>224</v>
      </c>
      <c r="H351">
        <v>140</v>
      </c>
      <c r="I351">
        <v>4</v>
      </c>
      <c r="J351">
        <v>2</v>
      </c>
      <c r="K351">
        <v>42</v>
      </c>
      <c r="L351" t="s">
        <v>408</v>
      </c>
      <c r="M351">
        <v>1.0421052631578946</v>
      </c>
      <c r="N351">
        <v>1.1428571428571428</v>
      </c>
      <c r="O351">
        <v>2</v>
      </c>
    </row>
    <row r="352" spans="1:15" x14ac:dyDescent="0.3">
      <c r="A352" s="1">
        <v>44213</v>
      </c>
      <c r="B352" s="2" t="s">
        <v>2</v>
      </c>
      <c r="C352">
        <v>133</v>
      </c>
      <c r="D352">
        <v>2452</v>
      </c>
      <c r="E352">
        <v>85</v>
      </c>
      <c r="F352">
        <v>20</v>
      </c>
      <c r="G352">
        <v>285</v>
      </c>
      <c r="H352">
        <v>154</v>
      </c>
      <c r="I352">
        <v>19</v>
      </c>
      <c r="J352">
        <v>2</v>
      </c>
      <c r="K352">
        <v>34</v>
      </c>
      <c r="L352" t="s">
        <v>408</v>
      </c>
      <c r="M352">
        <v>1.2878787878787878</v>
      </c>
      <c r="N352">
        <v>1.1111111111111112</v>
      </c>
      <c r="O352">
        <v>1</v>
      </c>
    </row>
    <row r="353" spans="1:15" x14ac:dyDescent="0.3">
      <c r="A353" s="1">
        <v>44213</v>
      </c>
      <c r="B353" s="2" t="s">
        <v>3</v>
      </c>
      <c r="C353">
        <v>890</v>
      </c>
      <c r="D353">
        <v>13252</v>
      </c>
      <c r="E353">
        <v>635</v>
      </c>
      <c r="F353">
        <v>104</v>
      </c>
      <c r="G353">
        <v>1512</v>
      </c>
      <c r="H353">
        <v>1025</v>
      </c>
      <c r="I353">
        <v>78</v>
      </c>
      <c r="J353">
        <v>6</v>
      </c>
      <c r="K353">
        <v>272</v>
      </c>
      <c r="L353" t="s">
        <v>408</v>
      </c>
      <c r="M353">
        <v>1.1400359066427288</v>
      </c>
      <c r="N353">
        <v>1.0612244897959184</v>
      </c>
      <c r="O353">
        <v>9</v>
      </c>
    </row>
    <row r="354" spans="1:15" x14ac:dyDescent="0.3">
      <c r="A354" s="1">
        <v>44214</v>
      </c>
      <c r="B354" s="2" t="s">
        <v>4</v>
      </c>
      <c r="C354">
        <v>205</v>
      </c>
      <c r="D354">
        <v>3533</v>
      </c>
      <c r="E354">
        <v>167</v>
      </c>
      <c r="F354">
        <v>36</v>
      </c>
      <c r="G354">
        <v>347</v>
      </c>
      <c r="H354">
        <v>277</v>
      </c>
      <c r="I354">
        <v>4</v>
      </c>
      <c r="J354">
        <v>5</v>
      </c>
      <c r="K354">
        <v>82</v>
      </c>
      <c r="L354" t="s">
        <v>409</v>
      </c>
      <c r="M354">
        <v>1.0245398773006136</v>
      </c>
      <c r="N354">
        <v>1.1612903225806452</v>
      </c>
      <c r="O354">
        <v>7</v>
      </c>
    </row>
    <row r="355" spans="1:15" x14ac:dyDescent="0.3">
      <c r="A355" s="1">
        <v>44214</v>
      </c>
      <c r="B355" s="2" t="s">
        <v>5</v>
      </c>
      <c r="C355">
        <v>99</v>
      </c>
      <c r="D355">
        <v>1124</v>
      </c>
      <c r="E355">
        <v>96</v>
      </c>
      <c r="F355">
        <v>11</v>
      </c>
      <c r="G355">
        <v>105</v>
      </c>
      <c r="H355">
        <v>104</v>
      </c>
      <c r="I355">
        <v>7</v>
      </c>
      <c r="J355">
        <v>0</v>
      </c>
      <c r="K355">
        <v>25</v>
      </c>
      <c r="L355" t="s">
        <v>409</v>
      </c>
      <c r="M355">
        <v>1.0786516853932584</v>
      </c>
      <c r="N355">
        <v>1</v>
      </c>
      <c r="O355">
        <v>4</v>
      </c>
    </row>
    <row r="356" spans="1:15" x14ac:dyDescent="0.3">
      <c r="A356" s="1">
        <v>44214</v>
      </c>
      <c r="B356" s="2" t="s">
        <v>8</v>
      </c>
      <c r="C356">
        <v>86</v>
      </c>
      <c r="D356">
        <v>1210</v>
      </c>
      <c r="E356">
        <v>39</v>
      </c>
      <c r="F356">
        <v>7</v>
      </c>
      <c r="G356">
        <v>152</v>
      </c>
      <c r="H356">
        <v>102</v>
      </c>
      <c r="I356">
        <v>-4</v>
      </c>
      <c r="J356">
        <v>0</v>
      </c>
      <c r="K356">
        <v>36</v>
      </c>
      <c r="L356" t="s">
        <v>409</v>
      </c>
      <c r="M356">
        <v>0.90697674418604646</v>
      </c>
      <c r="N356">
        <v>1</v>
      </c>
      <c r="O356">
        <v>1</v>
      </c>
    </row>
    <row r="357" spans="1:15" x14ac:dyDescent="0.3">
      <c r="A357" s="1">
        <v>44214</v>
      </c>
      <c r="B357" s="2" t="s">
        <v>9</v>
      </c>
      <c r="C357">
        <v>163</v>
      </c>
      <c r="D357">
        <v>1960</v>
      </c>
      <c r="E357">
        <v>105</v>
      </c>
      <c r="F357">
        <v>8</v>
      </c>
      <c r="G357">
        <v>321</v>
      </c>
      <c r="H357">
        <v>207</v>
      </c>
      <c r="I357">
        <v>13</v>
      </c>
      <c r="J357">
        <v>2</v>
      </c>
      <c r="K357">
        <v>76</v>
      </c>
      <c r="L357" t="s">
        <v>409</v>
      </c>
      <c r="M357">
        <v>1.1413043478260869</v>
      </c>
      <c r="N357">
        <v>1.3333333333333333</v>
      </c>
      <c r="O357">
        <v>1</v>
      </c>
    </row>
    <row r="358" spans="1:15" x14ac:dyDescent="0.3">
      <c r="A358" s="1">
        <v>44214</v>
      </c>
      <c r="B358" s="2" t="s">
        <v>6</v>
      </c>
      <c r="C358">
        <v>82</v>
      </c>
      <c r="D358">
        <v>1145</v>
      </c>
      <c r="E358">
        <v>67</v>
      </c>
      <c r="F358">
        <v>11</v>
      </c>
      <c r="G358">
        <v>92</v>
      </c>
      <c r="H358">
        <v>100</v>
      </c>
      <c r="I358">
        <v>3</v>
      </c>
      <c r="J358">
        <v>-2</v>
      </c>
      <c r="K358">
        <v>42</v>
      </c>
      <c r="L358" t="s">
        <v>409</v>
      </c>
      <c r="M358">
        <v>1.046875</v>
      </c>
      <c r="N358">
        <v>0.84615384615384615</v>
      </c>
      <c r="O358">
        <v>1</v>
      </c>
    </row>
    <row r="359" spans="1:15" x14ac:dyDescent="0.3">
      <c r="A359" s="1">
        <v>44214</v>
      </c>
      <c r="B359" s="2" t="s">
        <v>7</v>
      </c>
      <c r="C359">
        <v>166</v>
      </c>
      <c r="D359">
        <v>2507</v>
      </c>
      <c r="E359">
        <v>100</v>
      </c>
      <c r="F359">
        <v>20</v>
      </c>
      <c r="G359">
        <v>230</v>
      </c>
      <c r="H359">
        <v>206</v>
      </c>
      <c r="I359">
        <v>1</v>
      </c>
      <c r="J359">
        <v>4</v>
      </c>
      <c r="K359">
        <v>36</v>
      </c>
      <c r="L359" t="s">
        <v>409</v>
      </c>
      <c r="M359">
        <v>1.0101010101010102</v>
      </c>
      <c r="N359">
        <v>1.25</v>
      </c>
      <c r="O359">
        <v>6</v>
      </c>
    </row>
    <row r="360" spans="1:15" x14ac:dyDescent="0.3">
      <c r="A360" s="1">
        <v>44214</v>
      </c>
      <c r="B360" s="2" t="s">
        <v>2</v>
      </c>
      <c r="C360">
        <v>169</v>
      </c>
      <c r="D360">
        <v>2596</v>
      </c>
      <c r="E360">
        <v>90</v>
      </c>
      <c r="F360">
        <v>21</v>
      </c>
      <c r="G360">
        <v>289</v>
      </c>
      <c r="H360">
        <v>187</v>
      </c>
      <c r="I360">
        <v>5</v>
      </c>
      <c r="J360">
        <v>1</v>
      </c>
      <c r="K360">
        <v>39</v>
      </c>
      <c r="L360" t="s">
        <v>409</v>
      </c>
      <c r="M360">
        <v>1.0588235294117647</v>
      </c>
      <c r="N360">
        <v>1.05</v>
      </c>
      <c r="O360">
        <v>4</v>
      </c>
    </row>
    <row r="361" spans="1:15" x14ac:dyDescent="0.3">
      <c r="A361" s="1">
        <v>44214</v>
      </c>
      <c r="B361" s="2" t="s">
        <v>3</v>
      </c>
      <c r="C361">
        <v>970</v>
      </c>
      <c r="D361">
        <v>14075</v>
      </c>
      <c r="E361">
        <v>664</v>
      </c>
      <c r="F361">
        <v>114</v>
      </c>
      <c r="G361">
        <v>1536</v>
      </c>
      <c r="H361">
        <v>1183</v>
      </c>
      <c r="I361">
        <v>29</v>
      </c>
      <c r="J361">
        <v>10</v>
      </c>
      <c r="K361">
        <v>336</v>
      </c>
      <c r="L361" t="s">
        <v>409</v>
      </c>
      <c r="M361">
        <v>1.0456692913385828</v>
      </c>
      <c r="N361">
        <v>1.0961538461538463</v>
      </c>
      <c r="O361">
        <v>24</v>
      </c>
    </row>
    <row r="362" spans="1:15" x14ac:dyDescent="0.3">
      <c r="A362" s="1">
        <v>44215</v>
      </c>
      <c r="B362" s="2" t="s">
        <v>4</v>
      </c>
      <c r="C362">
        <v>348</v>
      </c>
      <c r="D362">
        <v>3839</v>
      </c>
      <c r="E362">
        <v>179</v>
      </c>
      <c r="F362">
        <v>39</v>
      </c>
      <c r="G362">
        <v>349</v>
      </c>
      <c r="H362">
        <v>435</v>
      </c>
      <c r="I362">
        <v>12</v>
      </c>
      <c r="J362">
        <v>3</v>
      </c>
      <c r="K362">
        <v>127</v>
      </c>
      <c r="L362" t="s">
        <v>410</v>
      </c>
      <c r="M362">
        <v>1.0718562874251496</v>
      </c>
      <c r="N362">
        <v>1.0833333333333333</v>
      </c>
      <c r="O362">
        <v>2</v>
      </c>
    </row>
    <row r="363" spans="1:15" x14ac:dyDescent="0.3">
      <c r="A363" s="1">
        <v>44215</v>
      </c>
      <c r="B363" s="2" t="s">
        <v>5</v>
      </c>
      <c r="C363">
        <v>88</v>
      </c>
      <c r="D363">
        <v>1192</v>
      </c>
      <c r="E363">
        <v>97</v>
      </c>
      <c r="F363">
        <v>13</v>
      </c>
      <c r="G363">
        <v>106</v>
      </c>
      <c r="H363">
        <v>98</v>
      </c>
      <c r="I363">
        <v>1</v>
      </c>
      <c r="J363">
        <v>2</v>
      </c>
      <c r="K363">
        <v>29</v>
      </c>
      <c r="L363" t="s">
        <v>410</v>
      </c>
      <c r="M363">
        <v>1.0104166666666667</v>
      </c>
      <c r="N363">
        <v>1.1818181818181819</v>
      </c>
      <c r="O363">
        <v>1</v>
      </c>
    </row>
    <row r="364" spans="1:15" x14ac:dyDescent="0.3">
      <c r="A364" s="1">
        <v>44215</v>
      </c>
      <c r="B364" s="2" t="s">
        <v>8</v>
      </c>
      <c r="C364">
        <v>104</v>
      </c>
      <c r="D364">
        <v>1273</v>
      </c>
      <c r="E364">
        <v>37</v>
      </c>
      <c r="F364">
        <v>8</v>
      </c>
      <c r="G364">
        <v>157</v>
      </c>
      <c r="H364">
        <v>117</v>
      </c>
      <c r="I364">
        <v>-2</v>
      </c>
      <c r="J364">
        <v>1</v>
      </c>
      <c r="K364">
        <v>48</v>
      </c>
      <c r="L364" t="s">
        <v>410</v>
      </c>
      <c r="M364">
        <v>0.94871794871794868</v>
      </c>
      <c r="N364">
        <v>1.1428571428571428</v>
      </c>
      <c r="O364">
        <v>5</v>
      </c>
    </row>
    <row r="365" spans="1:15" x14ac:dyDescent="0.3">
      <c r="A365" s="1">
        <v>44215</v>
      </c>
      <c r="B365" s="2" t="s">
        <v>9</v>
      </c>
      <c r="C365">
        <v>159</v>
      </c>
      <c r="D365">
        <v>2107</v>
      </c>
      <c r="E365">
        <v>103</v>
      </c>
      <c r="F365">
        <v>10</v>
      </c>
      <c r="G365">
        <v>321</v>
      </c>
      <c r="H365">
        <v>205</v>
      </c>
      <c r="I365">
        <v>-2</v>
      </c>
      <c r="J365">
        <v>2</v>
      </c>
      <c r="K365">
        <v>58</v>
      </c>
      <c r="L365" t="s">
        <v>410</v>
      </c>
      <c r="M365">
        <v>0.98095238095238091</v>
      </c>
      <c r="N365">
        <v>1.25</v>
      </c>
      <c r="O365">
        <v>0</v>
      </c>
    </row>
    <row r="366" spans="1:15" x14ac:dyDescent="0.3">
      <c r="A366" s="1">
        <v>44215</v>
      </c>
      <c r="B366" s="2" t="s">
        <v>6</v>
      </c>
      <c r="C366">
        <v>76</v>
      </c>
      <c r="D366">
        <v>1195</v>
      </c>
      <c r="E366">
        <v>62</v>
      </c>
      <c r="F366">
        <v>14</v>
      </c>
      <c r="G366">
        <v>92</v>
      </c>
      <c r="H366">
        <v>88</v>
      </c>
      <c r="I366">
        <v>-5</v>
      </c>
      <c r="J366">
        <v>3</v>
      </c>
      <c r="K366">
        <v>38</v>
      </c>
      <c r="L366" t="s">
        <v>410</v>
      </c>
      <c r="M366">
        <v>0.92537313432835822</v>
      </c>
      <c r="N366">
        <v>1.2727272727272727</v>
      </c>
      <c r="O366">
        <v>0</v>
      </c>
    </row>
    <row r="367" spans="1:15" x14ac:dyDescent="0.3">
      <c r="A367" s="1">
        <v>44215</v>
      </c>
      <c r="B367" s="2" t="s">
        <v>7</v>
      </c>
      <c r="C367">
        <v>126</v>
      </c>
      <c r="D367">
        <v>2593</v>
      </c>
      <c r="E367">
        <v>106</v>
      </c>
      <c r="F367">
        <v>26</v>
      </c>
      <c r="G367">
        <v>234</v>
      </c>
      <c r="H367">
        <v>190</v>
      </c>
      <c r="I367">
        <v>6</v>
      </c>
      <c r="J367">
        <v>6</v>
      </c>
      <c r="K367">
        <v>101</v>
      </c>
      <c r="L367" t="s">
        <v>410</v>
      </c>
      <c r="M367">
        <v>1.06</v>
      </c>
      <c r="N367">
        <v>1.3</v>
      </c>
      <c r="O367">
        <v>4</v>
      </c>
    </row>
    <row r="368" spans="1:15" x14ac:dyDescent="0.3">
      <c r="A368" s="1">
        <v>44215</v>
      </c>
      <c r="B368" s="2" t="s">
        <v>2</v>
      </c>
      <c r="C368">
        <v>203</v>
      </c>
      <c r="D368">
        <v>2776</v>
      </c>
      <c r="E368">
        <v>112</v>
      </c>
      <c r="F368">
        <v>22</v>
      </c>
      <c r="G368">
        <v>291</v>
      </c>
      <c r="H368">
        <v>239</v>
      </c>
      <c r="I368">
        <v>22</v>
      </c>
      <c r="J368">
        <v>1</v>
      </c>
      <c r="K368">
        <v>57</v>
      </c>
      <c r="L368" t="s">
        <v>410</v>
      </c>
      <c r="M368">
        <v>1.2444444444444445</v>
      </c>
      <c r="N368">
        <v>1.0476190476190477</v>
      </c>
      <c r="O368">
        <v>2</v>
      </c>
    </row>
    <row r="369" spans="1:15" x14ac:dyDescent="0.3">
      <c r="A369" s="1">
        <v>44215</v>
      </c>
      <c r="B369" s="2" t="s">
        <v>3</v>
      </c>
      <c r="C369">
        <v>1104</v>
      </c>
      <c r="D369">
        <v>14975</v>
      </c>
      <c r="E369">
        <v>696</v>
      </c>
      <c r="F369">
        <v>132</v>
      </c>
      <c r="G369">
        <v>1550</v>
      </c>
      <c r="H369">
        <v>1372</v>
      </c>
      <c r="I369">
        <v>32</v>
      </c>
      <c r="J369">
        <v>18</v>
      </c>
      <c r="K369">
        <v>458</v>
      </c>
      <c r="L369" t="s">
        <v>410</v>
      </c>
      <c r="M369">
        <v>1.0481927710843373</v>
      </c>
      <c r="N369">
        <v>1.1578947368421053</v>
      </c>
      <c r="O369">
        <v>14</v>
      </c>
    </row>
    <row r="370" spans="1:15" x14ac:dyDescent="0.3">
      <c r="A370" s="1">
        <v>44216</v>
      </c>
      <c r="B370" s="2" t="s">
        <v>4</v>
      </c>
      <c r="C370">
        <v>281</v>
      </c>
      <c r="D370">
        <v>4124</v>
      </c>
      <c r="E370">
        <v>188</v>
      </c>
      <c r="F370">
        <v>38</v>
      </c>
      <c r="G370">
        <v>350</v>
      </c>
      <c r="H370">
        <v>442</v>
      </c>
      <c r="I370">
        <v>9</v>
      </c>
      <c r="J370">
        <v>-1</v>
      </c>
      <c r="K370">
        <v>156</v>
      </c>
      <c r="L370" t="s">
        <v>411</v>
      </c>
      <c r="M370">
        <v>1.0502793296089385</v>
      </c>
      <c r="N370">
        <v>0.97435897435897434</v>
      </c>
      <c r="O370">
        <v>1</v>
      </c>
    </row>
    <row r="371" spans="1:15" x14ac:dyDescent="0.3">
      <c r="A371" s="1">
        <v>44216</v>
      </c>
      <c r="B371" s="2" t="s">
        <v>5</v>
      </c>
      <c r="C371">
        <v>128</v>
      </c>
      <c r="D371">
        <v>1284</v>
      </c>
      <c r="E371">
        <v>104</v>
      </c>
      <c r="F371">
        <v>14</v>
      </c>
      <c r="G371">
        <v>106</v>
      </c>
      <c r="H371">
        <v>141</v>
      </c>
      <c r="I371">
        <v>7</v>
      </c>
      <c r="J371">
        <v>1</v>
      </c>
      <c r="K371">
        <v>49</v>
      </c>
      <c r="L371" t="s">
        <v>411</v>
      </c>
      <c r="M371">
        <v>1.0721649484536082</v>
      </c>
      <c r="N371">
        <v>1.0769230769230769</v>
      </c>
      <c r="O371">
        <v>0</v>
      </c>
    </row>
    <row r="372" spans="1:15" x14ac:dyDescent="0.3">
      <c r="A372" s="1">
        <v>44216</v>
      </c>
      <c r="B372" s="2" t="s">
        <v>8</v>
      </c>
      <c r="C372">
        <v>109</v>
      </c>
      <c r="D372">
        <v>1361</v>
      </c>
      <c r="E372">
        <v>39</v>
      </c>
      <c r="F372">
        <v>9</v>
      </c>
      <c r="G372">
        <v>158</v>
      </c>
      <c r="H372">
        <v>132</v>
      </c>
      <c r="I372">
        <v>2</v>
      </c>
      <c r="J372">
        <v>1</v>
      </c>
      <c r="K372">
        <v>43</v>
      </c>
      <c r="L372" t="s">
        <v>411</v>
      </c>
      <c r="M372">
        <v>1.0540540540540539</v>
      </c>
      <c r="N372">
        <v>1.125</v>
      </c>
      <c r="O372">
        <v>1</v>
      </c>
    </row>
    <row r="373" spans="1:15" x14ac:dyDescent="0.3">
      <c r="A373" s="1">
        <v>44216</v>
      </c>
      <c r="B373" s="2" t="s">
        <v>9</v>
      </c>
      <c r="C373">
        <v>182</v>
      </c>
      <c r="D373">
        <v>2251</v>
      </c>
      <c r="E373">
        <v>114</v>
      </c>
      <c r="F373">
        <v>10</v>
      </c>
      <c r="G373">
        <v>325</v>
      </c>
      <c r="H373">
        <v>242</v>
      </c>
      <c r="I373">
        <v>11</v>
      </c>
      <c r="J373">
        <v>0</v>
      </c>
      <c r="K373">
        <v>94</v>
      </c>
      <c r="L373" t="s">
        <v>411</v>
      </c>
      <c r="M373">
        <v>1.1067961165048543</v>
      </c>
      <c r="N373">
        <v>1</v>
      </c>
      <c r="O373">
        <v>4</v>
      </c>
    </row>
    <row r="374" spans="1:15" x14ac:dyDescent="0.3">
      <c r="A374" s="1">
        <v>44216</v>
      </c>
      <c r="B374" s="2" t="s">
        <v>6</v>
      </c>
      <c r="C374">
        <v>192</v>
      </c>
      <c r="D374">
        <v>1374</v>
      </c>
      <c r="E374">
        <v>74</v>
      </c>
      <c r="F374">
        <v>14</v>
      </c>
      <c r="G374">
        <v>94</v>
      </c>
      <c r="H374">
        <v>214</v>
      </c>
      <c r="I374">
        <v>12</v>
      </c>
      <c r="J374">
        <v>0</v>
      </c>
      <c r="K374">
        <v>33</v>
      </c>
      <c r="L374" t="s">
        <v>411</v>
      </c>
      <c r="M374">
        <v>1.1935483870967742</v>
      </c>
      <c r="N374">
        <v>1</v>
      </c>
      <c r="O374">
        <v>2</v>
      </c>
    </row>
    <row r="375" spans="1:15" x14ac:dyDescent="0.3">
      <c r="A375" s="1">
        <v>44216</v>
      </c>
      <c r="B375" s="2" t="s">
        <v>7</v>
      </c>
      <c r="C375">
        <v>173</v>
      </c>
      <c r="D375">
        <v>2694</v>
      </c>
      <c r="E375">
        <v>108</v>
      </c>
      <c r="F375">
        <v>28</v>
      </c>
      <c r="G375">
        <v>237</v>
      </c>
      <c r="H375">
        <v>233</v>
      </c>
      <c r="I375">
        <v>2</v>
      </c>
      <c r="J375">
        <v>2</v>
      </c>
      <c r="K375">
        <v>129</v>
      </c>
      <c r="L375" t="s">
        <v>411</v>
      </c>
      <c r="M375">
        <v>1.0188679245283019</v>
      </c>
      <c r="N375">
        <v>1.0769230769230769</v>
      </c>
      <c r="O375">
        <v>3</v>
      </c>
    </row>
    <row r="376" spans="1:15" x14ac:dyDescent="0.3">
      <c r="A376" s="1">
        <v>44216</v>
      </c>
      <c r="B376" s="2" t="s">
        <v>2</v>
      </c>
      <c r="C376">
        <v>289</v>
      </c>
      <c r="D376">
        <v>2942</v>
      </c>
      <c r="E376">
        <v>117</v>
      </c>
      <c r="F376">
        <v>22</v>
      </c>
      <c r="G376">
        <v>296</v>
      </c>
      <c r="H376">
        <v>323</v>
      </c>
      <c r="I376">
        <v>5</v>
      </c>
      <c r="J376">
        <v>0</v>
      </c>
      <c r="K376">
        <v>152</v>
      </c>
      <c r="L376" t="s">
        <v>411</v>
      </c>
      <c r="M376">
        <v>1.0446428571428572</v>
      </c>
      <c r="N376">
        <v>1</v>
      </c>
      <c r="O376">
        <v>5</v>
      </c>
    </row>
    <row r="377" spans="1:15" x14ac:dyDescent="0.3">
      <c r="A377" s="1">
        <v>44216</v>
      </c>
      <c r="B377" s="2" t="s">
        <v>3</v>
      </c>
      <c r="C377">
        <v>1354</v>
      </c>
      <c r="D377">
        <v>16030</v>
      </c>
      <c r="E377">
        <v>744</v>
      </c>
      <c r="F377">
        <v>135</v>
      </c>
      <c r="G377">
        <v>1566</v>
      </c>
      <c r="H377">
        <v>1727</v>
      </c>
      <c r="I377">
        <v>48</v>
      </c>
      <c r="J377">
        <v>3</v>
      </c>
      <c r="K377">
        <v>656</v>
      </c>
      <c r="L377" t="s">
        <v>411</v>
      </c>
      <c r="M377">
        <v>1.0689655172413792</v>
      </c>
      <c r="N377">
        <v>1.0227272727272727</v>
      </c>
      <c r="O377">
        <v>16</v>
      </c>
    </row>
    <row r="378" spans="1:15" x14ac:dyDescent="0.3">
      <c r="A378" s="1">
        <v>44217</v>
      </c>
      <c r="B378" s="2" t="s">
        <v>4</v>
      </c>
      <c r="C378">
        <v>346</v>
      </c>
      <c r="D378">
        <v>4414</v>
      </c>
      <c r="E378">
        <v>210</v>
      </c>
      <c r="F378">
        <v>38</v>
      </c>
      <c r="G378">
        <v>353</v>
      </c>
      <c r="H378">
        <v>446</v>
      </c>
      <c r="I378">
        <v>22</v>
      </c>
      <c r="J378">
        <v>0</v>
      </c>
      <c r="K378">
        <v>152</v>
      </c>
      <c r="L378" t="s">
        <v>422</v>
      </c>
      <c r="M378">
        <v>1.1170212765957446</v>
      </c>
      <c r="N378">
        <v>1</v>
      </c>
      <c r="O378">
        <v>3</v>
      </c>
    </row>
    <row r="379" spans="1:15" x14ac:dyDescent="0.3">
      <c r="A379" s="1">
        <v>44217</v>
      </c>
      <c r="B379" s="2" t="s">
        <v>5</v>
      </c>
      <c r="C379">
        <v>120</v>
      </c>
      <c r="D379">
        <v>1368</v>
      </c>
      <c r="E379">
        <v>117</v>
      </c>
      <c r="F379">
        <v>16</v>
      </c>
      <c r="G379">
        <v>109</v>
      </c>
      <c r="H379">
        <v>129</v>
      </c>
      <c r="I379">
        <v>13</v>
      </c>
      <c r="J379">
        <v>2</v>
      </c>
      <c r="K379">
        <v>42</v>
      </c>
      <c r="L379" t="s">
        <v>422</v>
      </c>
      <c r="M379">
        <v>1.125</v>
      </c>
      <c r="N379">
        <v>1.1428571428571428</v>
      </c>
      <c r="O379">
        <v>3</v>
      </c>
    </row>
    <row r="380" spans="1:15" x14ac:dyDescent="0.3">
      <c r="A380" s="1">
        <v>44217</v>
      </c>
      <c r="B380" s="2" t="s">
        <v>8</v>
      </c>
      <c r="C380">
        <v>151</v>
      </c>
      <c r="D380">
        <v>1449</v>
      </c>
      <c r="E380">
        <v>36</v>
      </c>
      <c r="F380">
        <v>10</v>
      </c>
      <c r="G380">
        <v>158</v>
      </c>
      <c r="H380">
        <v>163</v>
      </c>
      <c r="I380">
        <v>-3</v>
      </c>
      <c r="J380">
        <v>1</v>
      </c>
      <c r="K380">
        <v>75</v>
      </c>
      <c r="L380" t="s">
        <v>422</v>
      </c>
      <c r="M380">
        <v>0.92307692307692313</v>
      </c>
      <c r="N380">
        <v>1.1111111111111112</v>
      </c>
      <c r="O380">
        <v>0</v>
      </c>
    </row>
    <row r="381" spans="1:15" x14ac:dyDescent="0.3">
      <c r="A381" s="1">
        <v>44217</v>
      </c>
      <c r="B381" s="2" t="s">
        <v>9</v>
      </c>
      <c r="C381">
        <v>193</v>
      </c>
      <c r="D381">
        <v>2413</v>
      </c>
      <c r="E381">
        <v>119</v>
      </c>
      <c r="F381">
        <v>10</v>
      </c>
      <c r="G381">
        <v>327</v>
      </c>
      <c r="H381">
        <v>253</v>
      </c>
      <c r="I381">
        <v>5</v>
      </c>
      <c r="J381">
        <v>0</v>
      </c>
      <c r="K381">
        <v>89</v>
      </c>
      <c r="L381" t="s">
        <v>422</v>
      </c>
      <c r="M381">
        <v>1.0438596491228069</v>
      </c>
      <c r="N381">
        <v>1</v>
      </c>
      <c r="O381">
        <v>2</v>
      </c>
    </row>
    <row r="382" spans="1:15" x14ac:dyDescent="0.3">
      <c r="A382" s="1">
        <v>44217</v>
      </c>
      <c r="B382" s="2" t="s">
        <v>6</v>
      </c>
      <c r="C382">
        <v>138</v>
      </c>
      <c r="D382">
        <v>1485</v>
      </c>
      <c r="E382">
        <v>83</v>
      </c>
      <c r="F382">
        <v>14</v>
      </c>
      <c r="G382">
        <v>96</v>
      </c>
      <c r="H382">
        <v>162</v>
      </c>
      <c r="I382">
        <v>9</v>
      </c>
      <c r="J382">
        <v>0</v>
      </c>
      <c r="K382">
        <v>48</v>
      </c>
      <c r="L382" t="s">
        <v>422</v>
      </c>
      <c r="M382">
        <v>1.1216216216216217</v>
      </c>
      <c r="N382">
        <v>1</v>
      </c>
      <c r="O382">
        <v>2</v>
      </c>
    </row>
    <row r="383" spans="1:15" x14ac:dyDescent="0.3">
      <c r="A383" s="1">
        <v>44217</v>
      </c>
      <c r="B383" s="2" t="s">
        <v>7</v>
      </c>
      <c r="C383">
        <v>225</v>
      </c>
      <c r="D383">
        <v>2843</v>
      </c>
      <c r="E383">
        <v>114</v>
      </c>
      <c r="F383">
        <v>28</v>
      </c>
      <c r="G383">
        <v>240</v>
      </c>
      <c r="H383">
        <v>295</v>
      </c>
      <c r="I383">
        <v>6</v>
      </c>
      <c r="J383">
        <v>0</v>
      </c>
      <c r="K383">
        <v>144</v>
      </c>
      <c r="L383" t="s">
        <v>422</v>
      </c>
      <c r="M383">
        <v>1.0555555555555556</v>
      </c>
      <c r="N383">
        <v>1</v>
      </c>
      <c r="O383">
        <v>3</v>
      </c>
    </row>
    <row r="384" spans="1:15" x14ac:dyDescent="0.3">
      <c r="A384" s="1">
        <v>44217</v>
      </c>
      <c r="B384" s="2" t="s">
        <v>2</v>
      </c>
      <c r="C384">
        <v>332</v>
      </c>
      <c r="D384">
        <v>3153</v>
      </c>
      <c r="E384">
        <v>116</v>
      </c>
      <c r="F384">
        <v>21</v>
      </c>
      <c r="G384">
        <v>301</v>
      </c>
      <c r="H384">
        <v>354</v>
      </c>
      <c r="I384">
        <v>-1</v>
      </c>
      <c r="J384">
        <v>-1</v>
      </c>
      <c r="K384">
        <v>139</v>
      </c>
      <c r="L384" t="s">
        <v>422</v>
      </c>
      <c r="M384">
        <v>0.99145299145299148</v>
      </c>
      <c r="N384">
        <v>0.95454545454545459</v>
      </c>
      <c r="O384">
        <v>5</v>
      </c>
    </row>
    <row r="385" spans="1:15" x14ac:dyDescent="0.3">
      <c r="A385" s="1">
        <v>44217</v>
      </c>
      <c r="B385" s="2" t="s">
        <v>3</v>
      </c>
      <c r="C385">
        <v>1505</v>
      </c>
      <c r="D385">
        <v>17125</v>
      </c>
      <c r="E385">
        <v>795</v>
      </c>
      <c r="F385">
        <v>137</v>
      </c>
      <c r="G385">
        <v>1584</v>
      </c>
      <c r="H385">
        <v>1802</v>
      </c>
      <c r="I385">
        <v>51</v>
      </c>
      <c r="J385">
        <v>2</v>
      </c>
      <c r="K385">
        <v>689</v>
      </c>
      <c r="L385" t="s">
        <v>422</v>
      </c>
      <c r="M385">
        <v>1.0685483870967742</v>
      </c>
      <c r="N385">
        <v>1.0148148148148148</v>
      </c>
      <c r="O385">
        <v>18</v>
      </c>
    </row>
    <row r="386" spans="1:15" x14ac:dyDescent="0.3">
      <c r="A386" s="1">
        <v>44218</v>
      </c>
      <c r="B386" s="2" t="s">
        <v>4</v>
      </c>
      <c r="C386">
        <v>433</v>
      </c>
      <c r="D386">
        <v>4826</v>
      </c>
      <c r="E386">
        <v>226</v>
      </c>
      <c r="F386">
        <v>38</v>
      </c>
      <c r="G386">
        <v>358</v>
      </c>
      <c r="H386">
        <v>549</v>
      </c>
      <c r="I386">
        <v>16</v>
      </c>
      <c r="J386">
        <v>0</v>
      </c>
      <c r="K386">
        <v>132</v>
      </c>
      <c r="L386" t="s">
        <v>441</v>
      </c>
      <c r="M386">
        <v>1.0761904761904761</v>
      </c>
      <c r="N386">
        <v>1</v>
      </c>
      <c r="O386">
        <v>5</v>
      </c>
    </row>
    <row r="387" spans="1:15" x14ac:dyDescent="0.3">
      <c r="A387" s="1">
        <v>44218</v>
      </c>
      <c r="B387" s="2" t="s">
        <v>5</v>
      </c>
      <c r="C387">
        <v>138</v>
      </c>
      <c r="D387">
        <v>1472</v>
      </c>
      <c r="E387">
        <v>113</v>
      </c>
      <c r="F387">
        <v>19</v>
      </c>
      <c r="G387">
        <v>111</v>
      </c>
      <c r="H387">
        <v>149</v>
      </c>
      <c r="I387">
        <v>-4</v>
      </c>
      <c r="J387">
        <v>3</v>
      </c>
      <c r="K387">
        <v>43</v>
      </c>
      <c r="L387" t="s">
        <v>441</v>
      </c>
      <c r="M387">
        <v>0.96581196581196582</v>
      </c>
      <c r="N387">
        <v>1.1875</v>
      </c>
      <c r="O387">
        <v>2</v>
      </c>
    </row>
    <row r="388" spans="1:15" x14ac:dyDescent="0.3">
      <c r="A388" s="1">
        <v>44218</v>
      </c>
      <c r="B388" s="2" t="s">
        <v>8</v>
      </c>
      <c r="C388">
        <v>170</v>
      </c>
      <c r="D388">
        <v>1545</v>
      </c>
      <c r="E388">
        <v>41</v>
      </c>
      <c r="F388">
        <v>11</v>
      </c>
      <c r="G388">
        <v>158</v>
      </c>
      <c r="H388">
        <v>188</v>
      </c>
      <c r="I388">
        <v>5</v>
      </c>
      <c r="J388">
        <v>1</v>
      </c>
      <c r="K388">
        <v>92</v>
      </c>
      <c r="L388" t="s">
        <v>441</v>
      </c>
      <c r="M388">
        <v>1.1388888888888888</v>
      </c>
      <c r="N388">
        <v>1.1000000000000001</v>
      </c>
      <c r="O388">
        <v>0</v>
      </c>
    </row>
    <row r="389" spans="1:15" x14ac:dyDescent="0.3">
      <c r="A389" s="1">
        <v>44218</v>
      </c>
      <c r="B389" s="2" t="s">
        <v>9</v>
      </c>
      <c r="C389">
        <v>179</v>
      </c>
      <c r="D389">
        <v>2568</v>
      </c>
      <c r="E389">
        <v>129</v>
      </c>
      <c r="F389">
        <v>12</v>
      </c>
      <c r="G389">
        <v>328</v>
      </c>
      <c r="H389">
        <v>264</v>
      </c>
      <c r="I389">
        <v>10</v>
      </c>
      <c r="J389">
        <v>2</v>
      </c>
      <c r="K389">
        <v>108</v>
      </c>
      <c r="L389" t="s">
        <v>441</v>
      </c>
      <c r="M389">
        <v>1.0840336134453781</v>
      </c>
      <c r="N389">
        <v>1.2</v>
      </c>
      <c r="O389">
        <v>1</v>
      </c>
    </row>
    <row r="390" spans="1:15" x14ac:dyDescent="0.3">
      <c r="A390" s="1">
        <v>44218</v>
      </c>
      <c r="B390" s="2" t="s">
        <v>6</v>
      </c>
      <c r="C390">
        <v>124</v>
      </c>
      <c r="D390">
        <v>1579</v>
      </c>
      <c r="E390">
        <v>84</v>
      </c>
      <c r="F390">
        <v>13</v>
      </c>
      <c r="G390">
        <v>97</v>
      </c>
      <c r="H390">
        <v>154</v>
      </c>
      <c r="I390">
        <v>1</v>
      </c>
      <c r="J390">
        <v>-1</v>
      </c>
      <c r="K390">
        <v>59</v>
      </c>
      <c r="L390" t="s">
        <v>441</v>
      </c>
      <c r="M390">
        <v>1.0120481927710843</v>
      </c>
      <c r="N390">
        <v>0.9285714285714286</v>
      </c>
      <c r="O390">
        <v>1</v>
      </c>
    </row>
    <row r="391" spans="1:15" x14ac:dyDescent="0.3">
      <c r="A391" s="1">
        <v>44218</v>
      </c>
      <c r="B391" s="2" t="s">
        <v>7</v>
      </c>
      <c r="C391">
        <v>172</v>
      </c>
      <c r="D391">
        <v>2947</v>
      </c>
      <c r="E391">
        <v>106</v>
      </c>
      <c r="F391">
        <v>27</v>
      </c>
      <c r="G391">
        <v>243</v>
      </c>
      <c r="H391">
        <v>253</v>
      </c>
      <c r="I391">
        <v>-8</v>
      </c>
      <c r="J391">
        <v>-1</v>
      </c>
      <c r="K391">
        <v>147</v>
      </c>
      <c r="L391" t="s">
        <v>441</v>
      </c>
      <c r="M391">
        <v>0.92982456140350878</v>
      </c>
      <c r="N391">
        <v>0.9642857142857143</v>
      </c>
      <c r="O391">
        <v>3</v>
      </c>
    </row>
    <row r="392" spans="1:15" x14ac:dyDescent="0.3">
      <c r="A392" s="1">
        <v>44218</v>
      </c>
      <c r="B392" s="2" t="s">
        <v>2</v>
      </c>
      <c r="C392">
        <v>299</v>
      </c>
      <c r="D392">
        <v>3349</v>
      </c>
      <c r="E392">
        <v>126</v>
      </c>
      <c r="F392">
        <v>22</v>
      </c>
      <c r="G392">
        <v>304</v>
      </c>
      <c r="H392">
        <v>331</v>
      </c>
      <c r="I392">
        <v>10</v>
      </c>
      <c r="J392">
        <v>1</v>
      </c>
      <c r="K392">
        <v>132</v>
      </c>
      <c r="L392" t="s">
        <v>441</v>
      </c>
      <c r="M392">
        <v>1.0862068965517242</v>
      </c>
      <c r="N392">
        <v>1.0476190476190477</v>
      </c>
      <c r="O392">
        <v>3</v>
      </c>
    </row>
    <row r="393" spans="1:15" x14ac:dyDescent="0.3">
      <c r="A393" s="1">
        <v>44218</v>
      </c>
      <c r="B393" s="2" t="s">
        <v>3</v>
      </c>
      <c r="C393">
        <v>1515</v>
      </c>
      <c r="D393">
        <v>18286</v>
      </c>
      <c r="E393">
        <v>825</v>
      </c>
      <c r="F393">
        <v>142</v>
      </c>
      <c r="G393">
        <v>1599</v>
      </c>
      <c r="H393">
        <v>1888</v>
      </c>
      <c r="I393">
        <v>30</v>
      </c>
      <c r="J393">
        <v>5</v>
      </c>
      <c r="K393">
        <v>713</v>
      </c>
      <c r="L393" t="s">
        <v>441</v>
      </c>
      <c r="M393">
        <v>1.0377358490566038</v>
      </c>
      <c r="N393">
        <v>1.0364963503649636</v>
      </c>
      <c r="O393">
        <v>15</v>
      </c>
    </row>
    <row r="394" spans="1:15" x14ac:dyDescent="0.3">
      <c r="A394" s="1">
        <v>44219</v>
      </c>
      <c r="B394" s="2" t="s">
        <v>4</v>
      </c>
      <c r="C394">
        <v>390</v>
      </c>
      <c r="D394">
        <v>5057</v>
      </c>
      <c r="E394">
        <v>248</v>
      </c>
      <c r="F394">
        <v>39</v>
      </c>
      <c r="G394">
        <v>359</v>
      </c>
      <c r="H394">
        <v>449</v>
      </c>
      <c r="I394">
        <v>22</v>
      </c>
      <c r="J394">
        <v>1</v>
      </c>
      <c r="K394">
        <v>217</v>
      </c>
      <c r="L394" t="s">
        <v>442</v>
      </c>
      <c r="M394">
        <v>1.0973451327433628</v>
      </c>
      <c r="N394">
        <v>1.0263157894736843</v>
      </c>
      <c r="O394">
        <v>1</v>
      </c>
    </row>
    <row r="395" spans="1:15" x14ac:dyDescent="0.3">
      <c r="A395" s="1">
        <v>44219</v>
      </c>
      <c r="B395" s="2" t="s">
        <v>5</v>
      </c>
      <c r="C395">
        <v>98</v>
      </c>
      <c r="D395">
        <v>1544</v>
      </c>
      <c r="E395">
        <v>124</v>
      </c>
      <c r="F395">
        <v>21</v>
      </c>
      <c r="G395">
        <v>113</v>
      </c>
      <c r="H395">
        <v>107</v>
      </c>
      <c r="I395">
        <v>11</v>
      </c>
      <c r="J395">
        <v>2</v>
      </c>
      <c r="K395">
        <v>33</v>
      </c>
      <c r="L395" t="s">
        <v>442</v>
      </c>
      <c r="M395">
        <v>1.0973451327433628</v>
      </c>
      <c r="N395">
        <v>1.1052631578947369</v>
      </c>
      <c r="O395">
        <v>2</v>
      </c>
    </row>
    <row r="396" spans="1:15" x14ac:dyDescent="0.3">
      <c r="A396" s="1">
        <v>44219</v>
      </c>
      <c r="B396" s="2" t="s">
        <v>8</v>
      </c>
      <c r="C396">
        <v>157</v>
      </c>
      <c r="D396">
        <v>1666</v>
      </c>
      <c r="E396">
        <v>48</v>
      </c>
      <c r="F396">
        <v>11</v>
      </c>
      <c r="G396">
        <v>160</v>
      </c>
      <c r="H396">
        <v>173</v>
      </c>
      <c r="I396">
        <v>7</v>
      </c>
      <c r="J396">
        <v>0</v>
      </c>
      <c r="K396">
        <v>50</v>
      </c>
      <c r="L396" t="s">
        <v>442</v>
      </c>
      <c r="M396">
        <v>1.1707317073170731</v>
      </c>
      <c r="N396">
        <v>1</v>
      </c>
      <c r="O396">
        <v>2</v>
      </c>
    </row>
    <row r="397" spans="1:15" x14ac:dyDescent="0.3">
      <c r="A397" s="1">
        <v>44219</v>
      </c>
      <c r="B397" s="2" t="s">
        <v>9</v>
      </c>
      <c r="C397">
        <v>183</v>
      </c>
      <c r="D397">
        <v>2691</v>
      </c>
      <c r="E397">
        <v>143</v>
      </c>
      <c r="F397">
        <v>12</v>
      </c>
      <c r="G397">
        <v>328</v>
      </c>
      <c r="H397">
        <v>231</v>
      </c>
      <c r="I397">
        <v>14</v>
      </c>
      <c r="J397">
        <v>0</v>
      </c>
      <c r="K397">
        <v>108</v>
      </c>
      <c r="L397" t="s">
        <v>442</v>
      </c>
      <c r="M397">
        <v>1.1085271317829457</v>
      </c>
      <c r="N397">
        <v>1</v>
      </c>
      <c r="O397">
        <v>0</v>
      </c>
    </row>
    <row r="398" spans="1:15" x14ac:dyDescent="0.3">
      <c r="A398" s="1">
        <v>44219</v>
      </c>
      <c r="B398" s="2" t="s">
        <v>6</v>
      </c>
      <c r="C398">
        <v>111</v>
      </c>
      <c r="D398">
        <v>1650</v>
      </c>
      <c r="E398">
        <v>102</v>
      </c>
      <c r="F398">
        <v>15</v>
      </c>
      <c r="G398">
        <v>98</v>
      </c>
      <c r="H398">
        <v>134</v>
      </c>
      <c r="I398">
        <v>18</v>
      </c>
      <c r="J398">
        <v>2</v>
      </c>
      <c r="K398">
        <v>62</v>
      </c>
      <c r="L398" t="s">
        <v>442</v>
      </c>
      <c r="M398">
        <v>1.2142857142857142</v>
      </c>
      <c r="N398">
        <v>1.1538461538461537</v>
      </c>
      <c r="O398">
        <v>1</v>
      </c>
    </row>
    <row r="399" spans="1:15" x14ac:dyDescent="0.3">
      <c r="A399" s="1">
        <v>44219</v>
      </c>
      <c r="B399" s="2" t="s">
        <v>7</v>
      </c>
      <c r="C399">
        <v>118</v>
      </c>
      <c r="D399">
        <v>2924</v>
      </c>
      <c r="E399">
        <v>112</v>
      </c>
      <c r="F399">
        <v>29</v>
      </c>
      <c r="G399">
        <v>243</v>
      </c>
      <c r="H399">
        <v>159</v>
      </c>
      <c r="I399">
        <v>6</v>
      </c>
      <c r="J399">
        <v>2</v>
      </c>
      <c r="K399">
        <v>182</v>
      </c>
      <c r="L399" t="s">
        <v>442</v>
      </c>
      <c r="M399">
        <v>1.0566037735849056</v>
      </c>
      <c r="N399">
        <v>1.0740740740740742</v>
      </c>
      <c r="O399">
        <v>0</v>
      </c>
    </row>
    <row r="400" spans="1:15" x14ac:dyDescent="0.3">
      <c r="A400" s="1">
        <v>44219</v>
      </c>
      <c r="B400" s="2" t="s">
        <v>2</v>
      </c>
      <c r="C400">
        <v>268</v>
      </c>
      <c r="D400">
        <v>3460</v>
      </c>
      <c r="E400">
        <v>139</v>
      </c>
      <c r="F400">
        <v>23</v>
      </c>
      <c r="G400">
        <v>307</v>
      </c>
      <c r="H400">
        <v>275</v>
      </c>
      <c r="I400">
        <v>13</v>
      </c>
      <c r="J400">
        <v>1</v>
      </c>
      <c r="K400">
        <v>161</v>
      </c>
      <c r="L400" t="s">
        <v>442</v>
      </c>
      <c r="M400">
        <v>1.1031746031746033</v>
      </c>
      <c r="N400">
        <v>1.0454545454545454</v>
      </c>
      <c r="O400">
        <v>3</v>
      </c>
    </row>
    <row r="401" spans="1:15" x14ac:dyDescent="0.3">
      <c r="A401" s="1">
        <v>44219</v>
      </c>
      <c r="B401" s="2" t="s">
        <v>3</v>
      </c>
      <c r="C401">
        <v>1325</v>
      </c>
      <c r="D401">
        <v>18992</v>
      </c>
      <c r="E401">
        <v>916</v>
      </c>
      <c r="F401">
        <v>150</v>
      </c>
      <c r="G401">
        <v>1608</v>
      </c>
      <c r="H401">
        <v>1528</v>
      </c>
      <c r="I401">
        <v>91</v>
      </c>
      <c r="J401">
        <v>8</v>
      </c>
      <c r="K401">
        <v>813</v>
      </c>
      <c r="L401" t="s">
        <v>442</v>
      </c>
      <c r="M401">
        <v>1.1103030303030303</v>
      </c>
      <c r="N401">
        <v>1.056338028169014</v>
      </c>
      <c r="O401">
        <v>9</v>
      </c>
    </row>
    <row r="402" spans="1:15" x14ac:dyDescent="0.3">
      <c r="A402" s="1">
        <v>44220</v>
      </c>
      <c r="B402" s="2" t="s">
        <v>4</v>
      </c>
      <c r="C402">
        <v>251</v>
      </c>
      <c r="D402">
        <v>5225</v>
      </c>
      <c r="E402">
        <v>272</v>
      </c>
      <c r="F402">
        <v>43</v>
      </c>
      <c r="G402">
        <v>367</v>
      </c>
      <c r="H402">
        <v>300</v>
      </c>
      <c r="I402">
        <v>24</v>
      </c>
      <c r="J402">
        <v>4</v>
      </c>
      <c r="K402">
        <v>124</v>
      </c>
      <c r="L402" t="s">
        <v>461</v>
      </c>
      <c r="M402">
        <v>1.096774193548387</v>
      </c>
      <c r="N402">
        <v>1.1025641025641026</v>
      </c>
      <c r="O402">
        <v>8</v>
      </c>
    </row>
    <row r="403" spans="1:15" x14ac:dyDescent="0.3">
      <c r="A403" s="1">
        <v>44220</v>
      </c>
      <c r="B403" s="2" t="s">
        <v>5</v>
      </c>
      <c r="C403">
        <v>98</v>
      </c>
      <c r="D403">
        <v>1573</v>
      </c>
      <c r="E403">
        <v>131</v>
      </c>
      <c r="F403">
        <v>23</v>
      </c>
      <c r="G403">
        <v>113</v>
      </c>
      <c r="H403">
        <v>106</v>
      </c>
      <c r="I403">
        <v>7</v>
      </c>
      <c r="J403">
        <v>2</v>
      </c>
      <c r="K403">
        <v>77</v>
      </c>
      <c r="L403" t="s">
        <v>461</v>
      </c>
      <c r="M403">
        <v>1.0564516129032258</v>
      </c>
      <c r="N403">
        <v>1.0952380952380953</v>
      </c>
      <c r="O403">
        <v>0</v>
      </c>
    </row>
    <row r="404" spans="1:15" x14ac:dyDescent="0.3">
      <c r="A404" s="1">
        <v>44220</v>
      </c>
      <c r="B404" s="2" t="s">
        <v>8</v>
      </c>
      <c r="C404">
        <v>111</v>
      </c>
      <c r="D404">
        <v>1731</v>
      </c>
      <c r="E404">
        <v>51</v>
      </c>
      <c r="F404">
        <v>15</v>
      </c>
      <c r="G404">
        <v>160</v>
      </c>
      <c r="H404">
        <v>121</v>
      </c>
      <c r="I404">
        <v>3</v>
      </c>
      <c r="J404">
        <v>4</v>
      </c>
      <c r="K404">
        <v>56</v>
      </c>
      <c r="L404" t="s">
        <v>461</v>
      </c>
      <c r="M404">
        <v>1.0625</v>
      </c>
      <c r="N404">
        <v>1.3636363636363635</v>
      </c>
      <c r="O404">
        <v>0</v>
      </c>
    </row>
    <row r="405" spans="1:15" x14ac:dyDescent="0.3">
      <c r="A405" s="1">
        <v>44220</v>
      </c>
      <c r="B405" s="2" t="s">
        <v>9</v>
      </c>
      <c r="C405">
        <v>116</v>
      </c>
      <c r="D405">
        <v>2761</v>
      </c>
      <c r="E405">
        <v>156</v>
      </c>
      <c r="F405">
        <v>12</v>
      </c>
      <c r="G405">
        <v>330</v>
      </c>
      <c r="H405">
        <v>150</v>
      </c>
      <c r="I405">
        <v>13</v>
      </c>
      <c r="J405">
        <v>0</v>
      </c>
      <c r="K405">
        <v>78</v>
      </c>
      <c r="L405" t="s">
        <v>461</v>
      </c>
      <c r="M405">
        <v>1.0909090909090908</v>
      </c>
      <c r="N405">
        <v>1</v>
      </c>
      <c r="O405">
        <v>2</v>
      </c>
    </row>
    <row r="406" spans="1:15" x14ac:dyDescent="0.3">
      <c r="A406" s="1">
        <v>44220</v>
      </c>
      <c r="B406" s="2" t="s">
        <v>6</v>
      </c>
      <c r="C406">
        <v>186</v>
      </c>
      <c r="D406">
        <v>1818</v>
      </c>
      <c r="E406">
        <v>107</v>
      </c>
      <c r="F406">
        <v>15</v>
      </c>
      <c r="G406">
        <v>101</v>
      </c>
      <c r="H406">
        <v>201</v>
      </c>
      <c r="I406">
        <v>5</v>
      </c>
      <c r="J406">
        <v>0</v>
      </c>
      <c r="K406">
        <v>30</v>
      </c>
      <c r="L406" t="s">
        <v>461</v>
      </c>
      <c r="M406">
        <v>1.0490196078431373</v>
      </c>
      <c r="N406">
        <v>1</v>
      </c>
      <c r="O406">
        <v>3</v>
      </c>
    </row>
    <row r="407" spans="1:15" x14ac:dyDescent="0.3">
      <c r="A407" s="1">
        <v>44220</v>
      </c>
      <c r="B407" s="2" t="s">
        <v>7</v>
      </c>
      <c r="C407">
        <v>251</v>
      </c>
      <c r="D407">
        <v>3118</v>
      </c>
      <c r="E407">
        <v>122</v>
      </c>
      <c r="F407">
        <v>32</v>
      </c>
      <c r="G407">
        <v>243</v>
      </c>
      <c r="H407">
        <v>294</v>
      </c>
      <c r="I407">
        <v>10</v>
      </c>
      <c r="J407">
        <v>3</v>
      </c>
      <c r="K407">
        <v>99</v>
      </c>
      <c r="L407" t="s">
        <v>461</v>
      </c>
      <c r="M407">
        <v>1.0892857142857142</v>
      </c>
      <c r="N407">
        <v>1.103448275862069</v>
      </c>
      <c r="O407">
        <v>0</v>
      </c>
    </row>
    <row r="408" spans="1:15" x14ac:dyDescent="0.3">
      <c r="A408" s="1">
        <v>44220</v>
      </c>
      <c r="B408" s="2" t="s">
        <v>2</v>
      </c>
      <c r="C408">
        <v>221</v>
      </c>
      <c r="D408">
        <v>3542</v>
      </c>
      <c r="E408">
        <v>154</v>
      </c>
      <c r="F408">
        <v>21</v>
      </c>
      <c r="G408">
        <v>308</v>
      </c>
      <c r="H408">
        <v>230</v>
      </c>
      <c r="I408">
        <v>15</v>
      </c>
      <c r="J408">
        <v>-2</v>
      </c>
      <c r="K408">
        <v>148</v>
      </c>
      <c r="L408" t="s">
        <v>461</v>
      </c>
      <c r="M408">
        <v>1.1079136690647482</v>
      </c>
      <c r="N408">
        <v>0.91304347826086951</v>
      </c>
      <c r="O408">
        <v>1</v>
      </c>
    </row>
    <row r="409" spans="1:15" x14ac:dyDescent="0.3">
      <c r="A409" s="1">
        <v>44220</v>
      </c>
      <c r="B409" s="2" t="s">
        <v>3</v>
      </c>
      <c r="C409">
        <v>1234</v>
      </c>
      <c r="D409">
        <v>19768</v>
      </c>
      <c r="E409">
        <v>993</v>
      </c>
      <c r="F409">
        <v>161</v>
      </c>
      <c r="G409">
        <v>1622</v>
      </c>
      <c r="H409">
        <v>1402</v>
      </c>
      <c r="I409">
        <v>77</v>
      </c>
      <c r="J409">
        <v>11</v>
      </c>
      <c r="K409">
        <v>612</v>
      </c>
      <c r="L409" t="s">
        <v>461</v>
      </c>
      <c r="M409">
        <v>1.0840611353711791</v>
      </c>
      <c r="N409">
        <v>1.0733333333333333</v>
      </c>
      <c r="O409">
        <v>14</v>
      </c>
    </row>
    <row r="410" spans="1:15" x14ac:dyDescent="0.3">
      <c r="A410" s="1">
        <v>44221</v>
      </c>
      <c r="B410" s="2" t="s">
        <v>4</v>
      </c>
      <c r="C410">
        <v>252</v>
      </c>
      <c r="D410">
        <v>5389</v>
      </c>
      <c r="E410">
        <v>282</v>
      </c>
      <c r="F410">
        <v>47</v>
      </c>
      <c r="G410">
        <v>376</v>
      </c>
      <c r="H410">
        <v>347</v>
      </c>
      <c r="I410">
        <v>10</v>
      </c>
      <c r="J410">
        <v>4</v>
      </c>
      <c r="K410">
        <v>176</v>
      </c>
      <c r="L410" t="s">
        <v>462</v>
      </c>
      <c r="M410">
        <v>1.036764705882353</v>
      </c>
      <c r="N410">
        <v>1.0930232558139534</v>
      </c>
      <c r="O410">
        <v>9</v>
      </c>
    </row>
    <row r="411" spans="1:15" x14ac:dyDescent="0.3">
      <c r="A411" s="1">
        <v>44221</v>
      </c>
      <c r="B411" s="2" t="s">
        <v>5</v>
      </c>
      <c r="C411">
        <v>95</v>
      </c>
      <c r="D411">
        <v>1616</v>
      </c>
      <c r="E411">
        <v>132</v>
      </c>
      <c r="F411">
        <v>24</v>
      </c>
      <c r="G411">
        <v>118</v>
      </c>
      <c r="H411">
        <v>105</v>
      </c>
      <c r="I411">
        <v>1</v>
      </c>
      <c r="J411">
        <v>1</v>
      </c>
      <c r="K411">
        <v>57</v>
      </c>
      <c r="L411" t="s">
        <v>462</v>
      </c>
      <c r="M411">
        <v>1.0076335877862594</v>
      </c>
      <c r="N411">
        <v>1.0434782608695652</v>
      </c>
      <c r="O411">
        <v>5</v>
      </c>
    </row>
    <row r="412" spans="1:15" x14ac:dyDescent="0.3">
      <c r="A412" s="1">
        <v>44221</v>
      </c>
      <c r="B412" s="2" t="s">
        <v>8</v>
      </c>
      <c r="C412">
        <v>91</v>
      </c>
      <c r="D412">
        <v>1798</v>
      </c>
      <c r="E412">
        <v>57</v>
      </c>
      <c r="F412">
        <v>15</v>
      </c>
      <c r="G412">
        <v>162</v>
      </c>
      <c r="H412">
        <v>116</v>
      </c>
      <c r="I412">
        <v>6</v>
      </c>
      <c r="J412">
        <v>0</v>
      </c>
      <c r="K412">
        <v>47</v>
      </c>
      <c r="L412" t="s">
        <v>462</v>
      </c>
      <c r="M412">
        <v>1.1176470588235294</v>
      </c>
      <c r="N412">
        <v>1</v>
      </c>
      <c r="O412">
        <v>2</v>
      </c>
    </row>
    <row r="413" spans="1:15" x14ac:dyDescent="0.3">
      <c r="A413" s="1">
        <v>44221</v>
      </c>
      <c r="B413" s="2" t="s">
        <v>9</v>
      </c>
      <c r="C413">
        <v>118</v>
      </c>
      <c r="D413">
        <v>2866</v>
      </c>
      <c r="E413">
        <v>164</v>
      </c>
      <c r="F413">
        <v>12</v>
      </c>
      <c r="G413">
        <v>333</v>
      </c>
      <c r="H413">
        <v>211</v>
      </c>
      <c r="I413">
        <v>8</v>
      </c>
      <c r="J413">
        <v>0</v>
      </c>
      <c r="K413">
        <v>103</v>
      </c>
      <c r="L413" t="s">
        <v>462</v>
      </c>
      <c r="M413">
        <v>1.0512820512820513</v>
      </c>
      <c r="N413">
        <v>1</v>
      </c>
      <c r="O413">
        <v>3</v>
      </c>
    </row>
    <row r="414" spans="1:15" x14ac:dyDescent="0.3">
      <c r="A414" s="1">
        <v>44221</v>
      </c>
      <c r="B414" s="2" t="s">
        <v>6</v>
      </c>
      <c r="C414">
        <v>187</v>
      </c>
      <c r="D414">
        <v>1940</v>
      </c>
      <c r="E414">
        <v>113</v>
      </c>
      <c r="F414">
        <v>15</v>
      </c>
      <c r="G414">
        <v>101</v>
      </c>
      <c r="H414">
        <v>216</v>
      </c>
      <c r="I414">
        <v>6</v>
      </c>
      <c r="J414">
        <v>0</v>
      </c>
      <c r="K414">
        <v>94</v>
      </c>
      <c r="L414" t="s">
        <v>462</v>
      </c>
      <c r="M414">
        <v>1.0560747663551402</v>
      </c>
      <c r="N414">
        <v>1</v>
      </c>
      <c r="O414">
        <v>0</v>
      </c>
    </row>
    <row r="415" spans="1:15" x14ac:dyDescent="0.3">
      <c r="A415" s="1">
        <v>44221</v>
      </c>
      <c r="B415" s="2" t="s">
        <v>7</v>
      </c>
      <c r="C415">
        <v>174</v>
      </c>
      <c r="D415">
        <v>3242</v>
      </c>
      <c r="E415">
        <v>124</v>
      </c>
      <c r="F415">
        <v>34</v>
      </c>
      <c r="G415">
        <v>248</v>
      </c>
      <c r="H415">
        <v>239</v>
      </c>
      <c r="I415">
        <v>2</v>
      </c>
      <c r="J415">
        <v>2</v>
      </c>
      <c r="K415">
        <v>110</v>
      </c>
      <c r="L415" t="s">
        <v>462</v>
      </c>
      <c r="M415">
        <v>1.0163934426229508</v>
      </c>
      <c r="N415">
        <v>1.0625</v>
      </c>
      <c r="O415">
        <v>5</v>
      </c>
    </row>
    <row r="416" spans="1:15" x14ac:dyDescent="0.3">
      <c r="A416" s="1">
        <v>44221</v>
      </c>
      <c r="B416" s="2" t="s">
        <v>2</v>
      </c>
      <c r="C416">
        <v>151</v>
      </c>
      <c r="D416">
        <v>3630</v>
      </c>
      <c r="E416">
        <v>159</v>
      </c>
      <c r="F416">
        <v>23</v>
      </c>
      <c r="G416">
        <v>311</v>
      </c>
      <c r="H416">
        <v>177</v>
      </c>
      <c r="I416">
        <v>5</v>
      </c>
      <c r="J416">
        <v>2</v>
      </c>
      <c r="K416">
        <v>86</v>
      </c>
      <c r="L416" t="s">
        <v>462</v>
      </c>
      <c r="M416">
        <v>1.0324675324675325</v>
      </c>
      <c r="N416">
        <v>1.0952380952380953</v>
      </c>
      <c r="O416">
        <v>3</v>
      </c>
    </row>
    <row r="417" spans="1:15" x14ac:dyDescent="0.3">
      <c r="A417" s="1">
        <v>44221</v>
      </c>
      <c r="B417" s="2" t="s">
        <v>3</v>
      </c>
      <c r="C417">
        <v>1068</v>
      </c>
      <c r="D417">
        <v>20481</v>
      </c>
      <c r="E417">
        <v>1031</v>
      </c>
      <c r="F417">
        <v>170</v>
      </c>
      <c r="G417">
        <v>1649</v>
      </c>
      <c r="H417">
        <v>1411</v>
      </c>
      <c r="I417">
        <v>38</v>
      </c>
      <c r="J417">
        <v>9</v>
      </c>
      <c r="K417">
        <v>673</v>
      </c>
      <c r="L417" t="s">
        <v>462</v>
      </c>
      <c r="M417">
        <v>1.0382678751258811</v>
      </c>
      <c r="N417">
        <v>1.0559006211180124</v>
      </c>
      <c r="O417">
        <v>27</v>
      </c>
    </row>
    <row r="418" spans="1:15" x14ac:dyDescent="0.3">
      <c r="A418" s="1">
        <v>44222</v>
      </c>
      <c r="B418" s="2" t="s">
        <v>4</v>
      </c>
      <c r="C418">
        <v>366</v>
      </c>
      <c r="D418">
        <v>5679</v>
      </c>
      <c r="E418">
        <v>305</v>
      </c>
      <c r="F418">
        <v>48</v>
      </c>
      <c r="G418">
        <v>379</v>
      </c>
      <c r="H418">
        <v>446</v>
      </c>
      <c r="I418">
        <v>23</v>
      </c>
      <c r="J418">
        <v>1</v>
      </c>
      <c r="K418">
        <v>153</v>
      </c>
      <c r="L418" t="s">
        <v>463</v>
      </c>
      <c r="M418">
        <v>1.0815602836879432</v>
      </c>
      <c r="N418">
        <v>1.0212765957446808</v>
      </c>
      <c r="O418">
        <v>3</v>
      </c>
    </row>
    <row r="419" spans="1:15" x14ac:dyDescent="0.3">
      <c r="A419" s="1">
        <v>44222</v>
      </c>
      <c r="B419" s="2" t="s">
        <v>5</v>
      </c>
      <c r="C419">
        <v>85</v>
      </c>
      <c r="D419">
        <v>1669</v>
      </c>
      <c r="E419">
        <v>136</v>
      </c>
      <c r="F419">
        <v>26</v>
      </c>
      <c r="G419">
        <v>120</v>
      </c>
      <c r="H419">
        <v>96</v>
      </c>
      <c r="I419">
        <v>4</v>
      </c>
      <c r="J419">
        <v>2</v>
      </c>
      <c r="K419">
        <v>41</v>
      </c>
      <c r="L419" t="s">
        <v>463</v>
      </c>
      <c r="M419">
        <v>1.0303030303030303</v>
      </c>
      <c r="N419">
        <v>1.0833333333333333</v>
      </c>
      <c r="O419">
        <v>2</v>
      </c>
    </row>
    <row r="420" spans="1:15" x14ac:dyDescent="0.3">
      <c r="A420" s="1">
        <v>44222</v>
      </c>
      <c r="B420" s="2" t="s">
        <v>8</v>
      </c>
      <c r="C420">
        <v>184</v>
      </c>
      <c r="D420">
        <v>1954</v>
      </c>
      <c r="E420">
        <v>58</v>
      </c>
      <c r="F420">
        <v>15</v>
      </c>
      <c r="G420">
        <v>162</v>
      </c>
      <c r="H420">
        <v>211</v>
      </c>
      <c r="I420">
        <v>1</v>
      </c>
      <c r="J420">
        <v>0</v>
      </c>
      <c r="K420">
        <v>55</v>
      </c>
      <c r="L420" t="s">
        <v>463</v>
      </c>
      <c r="M420">
        <v>1.0175438596491229</v>
      </c>
      <c r="N420">
        <v>1</v>
      </c>
      <c r="O420">
        <v>0</v>
      </c>
    </row>
    <row r="421" spans="1:15" x14ac:dyDescent="0.3">
      <c r="A421" s="1">
        <v>44222</v>
      </c>
      <c r="B421" s="2" t="s">
        <v>9</v>
      </c>
      <c r="C421">
        <v>160</v>
      </c>
      <c r="D421">
        <v>2980</v>
      </c>
      <c r="E421">
        <v>172</v>
      </c>
      <c r="F421">
        <v>14</v>
      </c>
      <c r="G421">
        <v>335</v>
      </c>
      <c r="H421">
        <v>218</v>
      </c>
      <c r="I421">
        <v>8</v>
      </c>
      <c r="J421">
        <v>2</v>
      </c>
      <c r="K421">
        <v>101</v>
      </c>
      <c r="L421" t="s">
        <v>463</v>
      </c>
      <c r="M421">
        <v>1.0487804878048781</v>
      </c>
      <c r="N421">
        <v>1.1666666666666667</v>
      </c>
      <c r="O421">
        <v>2</v>
      </c>
    </row>
    <row r="422" spans="1:15" x14ac:dyDescent="0.3">
      <c r="A422" s="1">
        <v>44222</v>
      </c>
      <c r="B422" s="2" t="s">
        <v>6</v>
      </c>
      <c r="C422">
        <v>133</v>
      </c>
      <c r="D422">
        <v>2022</v>
      </c>
      <c r="E422">
        <v>118</v>
      </c>
      <c r="F422">
        <v>16</v>
      </c>
      <c r="G422">
        <v>101</v>
      </c>
      <c r="H422">
        <v>165</v>
      </c>
      <c r="I422">
        <v>5</v>
      </c>
      <c r="J422">
        <v>1</v>
      </c>
      <c r="K422">
        <v>83</v>
      </c>
      <c r="L422" t="s">
        <v>463</v>
      </c>
      <c r="M422">
        <v>1.0442477876106195</v>
      </c>
      <c r="N422">
        <v>1.0666666666666667</v>
      </c>
      <c r="O422">
        <v>0</v>
      </c>
    </row>
    <row r="423" spans="1:15" x14ac:dyDescent="0.3">
      <c r="A423" s="1">
        <v>44222</v>
      </c>
      <c r="B423" s="2" t="s">
        <v>7</v>
      </c>
      <c r="C423">
        <v>159</v>
      </c>
      <c r="D423">
        <v>3309</v>
      </c>
      <c r="E423">
        <v>126</v>
      </c>
      <c r="F423">
        <v>36</v>
      </c>
      <c r="G423">
        <v>250</v>
      </c>
      <c r="H423">
        <v>225</v>
      </c>
      <c r="I423">
        <v>2</v>
      </c>
      <c r="J423">
        <v>2</v>
      </c>
      <c r="K423">
        <v>156</v>
      </c>
      <c r="L423" t="s">
        <v>463</v>
      </c>
      <c r="M423">
        <v>1.0161290322580645</v>
      </c>
      <c r="N423">
        <v>1.0588235294117647</v>
      </c>
      <c r="O423">
        <v>2</v>
      </c>
    </row>
    <row r="424" spans="1:15" x14ac:dyDescent="0.3">
      <c r="A424" s="1">
        <v>44222</v>
      </c>
      <c r="B424" s="2" t="s">
        <v>2</v>
      </c>
      <c r="C424">
        <v>210</v>
      </c>
      <c r="D424">
        <v>3680</v>
      </c>
      <c r="E424">
        <v>178</v>
      </c>
      <c r="F424">
        <v>23</v>
      </c>
      <c r="G424">
        <v>312</v>
      </c>
      <c r="H424">
        <v>225</v>
      </c>
      <c r="I424">
        <v>19</v>
      </c>
      <c r="J424">
        <v>0</v>
      </c>
      <c r="K424">
        <v>175</v>
      </c>
      <c r="L424" t="s">
        <v>463</v>
      </c>
      <c r="M424">
        <v>1.1194968553459119</v>
      </c>
      <c r="N424">
        <v>1</v>
      </c>
      <c r="O424">
        <v>1</v>
      </c>
    </row>
    <row r="425" spans="1:15" x14ac:dyDescent="0.3">
      <c r="A425" s="1">
        <v>44222</v>
      </c>
      <c r="B425" s="2" t="s">
        <v>3</v>
      </c>
      <c r="C425">
        <v>1297</v>
      </c>
      <c r="D425">
        <v>21293</v>
      </c>
      <c r="E425">
        <v>1093</v>
      </c>
      <c r="F425">
        <v>178</v>
      </c>
      <c r="G425">
        <v>1659</v>
      </c>
      <c r="H425">
        <v>1586</v>
      </c>
      <c r="I425">
        <v>62</v>
      </c>
      <c r="J425">
        <v>8</v>
      </c>
      <c r="K425">
        <v>764</v>
      </c>
      <c r="L425" t="s">
        <v>463</v>
      </c>
      <c r="M425">
        <v>1.0601357904946653</v>
      </c>
      <c r="N425">
        <v>1.0470588235294118</v>
      </c>
      <c r="O425">
        <v>10</v>
      </c>
    </row>
    <row r="426" spans="1:15" x14ac:dyDescent="0.3">
      <c r="A426" s="1">
        <v>44223</v>
      </c>
      <c r="B426" s="2" t="s">
        <v>4</v>
      </c>
      <c r="C426">
        <v>277</v>
      </c>
      <c r="D426">
        <v>5855</v>
      </c>
      <c r="E426">
        <v>310</v>
      </c>
      <c r="F426">
        <v>59</v>
      </c>
      <c r="G426">
        <v>391</v>
      </c>
      <c r="H426">
        <v>409</v>
      </c>
      <c r="I426">
        <v>5</v>
      </c>
      <c r="J426">
        <v>11</v>
      </c>
      <c r="K426">
        <v>222</v>
      </c>
      <c r="L426" t="s">
        <v>470</v>
      </c>
      <c r="M426">
        <v>1.0163934426229508</v>
      </c>
      <c r="N426">
        <v>1.2291666666666667</v>
      </c>
      <c r="O426">
        <v>12</v>
      </c>
    </row>
    <row r="427" spans="1:15" x14ac:dyDescent="0.3">
      <c r="A427" s="1">
        <v>44223</v>
      </c>
      <c r="B427" s="2" t="s">
        <v>5</v>
      </c>
      <c r="C427">
        <v>101</v>
      </c>
      <c r="D427">
        <v>1706</v>
      </c>
      <c r="E427">
        <v>135</v>
      </c>
      <c r="F427">
        <v>30</v>
      </c>
      <c r="G427">
        <v>120</v>
      </c>
      <c r="H427">
        <v>115</v>
      </c>
      <c r="I427">
        <v>-1</v>
      </c>
      <c r="J427">
        <v>4</v>
      </c>
      <c r="K427">
        <v>78</v>
      </c>
      <c r="L427" t="s">
        <v>470</v>
      </c>
      <c r="M427">
        <v>0.99264705882352944</v>
      </c>
      <c r="N427">
        <v>1.1538461538461537</v>
      </c>
      <c r="O427">
        <v>0</v>
      </c>
    </row>
    <row r="428" spans="1:15" x14ac:dyDescent="0.3">
      <c r="A428" s="1">
        <v>44223</v>
      </c>
      <c r="B428" s="2" t="s">
        <v>8</v>
      </c>
      <c r="C428">
        <v>130</v>
      </c>
      <c r="D428">
        <v>1978</v>
      </c>
      <c r="E428">
        <v>57</v>
      </c>
      <c r="F428">
        <v>15</v>
      </c>
      <c r="G428">
        <v>163</v>
      </c>
      <c r="H428">
        <v>134</v>
      </c>
      <c r="I428">
        <v>-1</v>
      </c>
      <c r="J428">
        <v>0</v>
      </c>
      <c r="K428">
        <v>109</v>
      </c>
      <c r="L428" t="s">
        <v>470</v>
      </c>
      <c r="M428">
        <v>0.98275862068965514</v>
      </c>
      <c r="N428">
        <v>1</v>
      </c>
      <c r="O428">
        <v>1</v>
      </c>
    </row>
    <row r="429" spans="1:15" x14ac:dyDescent="0.3">
      <c r="A429" s="1">
        <v>44223</v>
      </c>
      <c r="B429" s="2" t="s">
        <v>9</v>
      </c>
      <c r="C429">
        <v>137</v>
      </c>
      <c r="D429">
        <v>2968</v>
      </c>
      <c r="E429">
        <v>177</v>
      </c>
      <c r="F429">
        <v>14</v>
      </c>
      <c r="G429">
        <v>340</v>
      </c>
      <c r="H429">
        <v>171</v>
      </c>
      <c r="I429">
        <v>5</v>
      </c>
      <c r="J429">
        <v>0</v>
      </c>
      <c r="K429">
        <v>178</v>
      </c>
      <c r="L429" t="s">
        <v>470</v>
      </c>
      <c r="M429">
        <v>1.0290697674418605</v>
      </c>
      <c r="N429">
        <v>1</v>
      </c>
      <c r="O429">
        <v>5</v>
      </c>
    </row>
    <row r="430" spans="1:15" x14ac:dyDescent="0.3">
      <c r="A430" s="1">
        <v>44223</v>
      </c>
      <c r="B430" s="2" t="s">
        <v>6</v>
      </c>
      <c r="C430">
        <v>151</v>
      </c>
      <c r="D430">
        <v>2154</v>
      </c>
      <c r="E430">
        <v>116</v>
      </c>
      <c r="F430">
        <v>17</v>
      </c>
      <c r="G430">
        <v>105</v>
      </c>
      <c r="H430">
        <v>187</v>
      </c>
      <c r="I430">
        <v>-2</v>
      </c>
      <c r="J430">
        <v>1</v>
      </c>
      <c r="K430">
        <v>51</v>
      </c>
      <c r="L430" t="s">
        <v>470</v>
      </c>
      <c r="M430">
        <v>0.98305084745762716</v>
      </c>
      <c r="N430">
        <v>1.0625</v>
      </c>
      <c r="O430">
        <v>4</v>
      </c>
    </row>
    <row r="431" spans="1:15" x14ac:dyDescent="0.3">
      <c r="A431" s="1">
        <v>44223</v>
      </c>
      <c r="B431" s="2" t="s">
        <v>7</v>
      </c>
      <c r="C431">
        <v>124</v>
      </c>
      <c r="D431">
        <v>3271</v>
      </c>
      <c r="E431">
        <v>119</v>
      </c>
      <c r="F431">
        <v>35</v>
      </c>
      <c r="G431">
        <v>253</v>
      </c>
      <c r="H431">
        <v>197</v>
      </c>
      <c r="I431">
        <v>-7</v>
      </c>
      <c r="J431">
        <v>-1</v>
      </c>
      <c r="K431">
        <v>231</v>
      </c>
      <c r="L431" t="s">
        <v>470</v>
      </c>
      <c r="M431">
        <v>0.94444444444444442</v>
      </c>
      <c r="N431">
        <v>0.97222222222222221</v>
      </c>
      <c r="O431">
        <v>3</v>
      </c>
    </row>
    <row r="432" spans="1:15" x14ac:dyDescent="0.3">
      <c r="A432" s="1">
        <v>44223</v>
      </c>
      <c r="B432" s="2" t="s">
        <v>2</v>
      </c>
      <c r="C432">
        <v>201</v>
      </c>
      <c r="D432">
        <v>3681</v>
      </c>
      <c r="E432">
        <v>172</v>
      </c>
      <c r="F432">
        <v>23</v>
      </c>
      <c r="G432">
        <v>316</v>
      </c>
      <c r="H432">
        <v>255</v>
      </c>
      <c r="I432">
        <v>-6</v>
      </c>
      <c r="J432">
        <v>0</v>
      </c>
      <c r="K432">
        <v>250</v>
      </c>
      <c r="L432" t="s">
        <v>470</v>
      </c>
      <c r="M432">
        <v>0.9662921348314607</v>
      </c>
      <c r="N432">
        <v>1</v>
      </c>
      <c r="O432">
        <v>4</v>
      </c>
    </row>
    <row r="433" spans="1:15" x14ac:dyDescent="0.3">
      <c r="A433" s="1">
        <v>44223</v>
      </c>
      <c r="B433" s="2" t="s">
        <v>3</v>
      </c>
      <c r="C433">
        <v>1121</v>
      </c>
      <c r="D433">
        <v>21613</v>
      </c>
      <c r="E433">
        <v>1086</v>
      </c>
      <c r="F433">
        <v>193</v>
      </c>
      <c r="G433">
        <v>1688</v>
      </c>
      <c r="H433">
        <v>1468</v>
      </c>
      <c r="I433">
        <v>-7</v>
      </c>
      <c r="J433">
        <v>15</v>
      </c>
      <c r="K433">
        <v>1119</v>
      </c>
      <c r="L433" t="s">
        <v>470</v>
      </c>
      <c r="M433">
        <v>0.9935956084172004</v>
      </c>
      <c r="N433">
        <v>1.0842696629213484</v>
      </c>
      <c r="O433">
        <v>29</v>
      </c>
    </row>
    <row r="434" spans="1:15" x14ac:dyDescent="0.3">
      <c r="A434" s="1">
        <v>44224</v>
      </c>
      <c r="B434" s="2" t="s">
        <v>4</v>
      </c>
      <c r="C434">
        <v>250</v>
      </c>
      <c r="D434">
        <v>5912</v>
      </c>
      <c r="E434">
        <v>321</v>
      </c>
      <c r="F434">
        <v>69</v>
      </c>
      <c r="G434">
        <v>400</v>
      </c>
      <c r="H434">
        <v>365</v>
      </c>
      <c r="I434">
        <v>11</v>
      </c>
      <c r="J434">
        <v>10</v>
      </c>
      <c r="K434">
        <v>300</v>
      </c>
      <c r="L434" t="s">
        <v>472</v>
      </c>
      <c r="M434">
        <v>1.0354838709677419</v>
      </c>
      <c r="N434">
        <v>1.1694915254237288</v>
      </c>
      <c r="O434">
        <v>9</v>
      </c>
    </row>
    <row r="435" spans="1:15" x14ac:dyDescent="0.3">
      <c r="A435" s="1">
        <v>44224</v>
      </c>
      <c r="B435" s="2" t="s">
        <v>5</v>
      </c>
      <c r="C435">
        <v>124</v>
      </c>
      <c r="D435">
        <v>1796</v>
      </c>
      <c r="E435">
        <v>150</v>
      </c>
      <c r="F435">
        <v>25</v>
      </c>
      <c r="G435">
        <v>123</v>
      </c>
      <c r="H435">
        <v>145</v>
      </c>
      <c r="I435">
        <v>15</v>
      </c>
      <c r="J435">
        <v>-5</v>
      </c>
      <c r="K435">
        <v>52</v>
      </c>
      <c r="L435" t="s">
        <v>472</v>
      </c>
      <c r="M435">
        <v>1.1111111111111112</v>
      </c>
      <c r="N435">
        <v>0.83333333333333337</v>
      </c>
      <c r="O435">
        <v>3</v>
      </c>
    </row>
    <row r="436" spans="1:15" x14ac:dyDescent="0.3">
      <c r="A436" s="1">
        <v>44224</v>
      </c>
      <c r="B436" s="2" t="s">
        <v>8</v>
      </c>
      <c r="C436">
        <v>114</v>
      </c>
      <c r="D436">
        <v>2009</v>
      </c>
      <c r="E436">
        <v>56</v>
      </c>
      <c r="F436">
        <v>16</v>
      </c>
      <c r="G436">
        <v>168</v>
      </c>
      <c r="H436">
        <v>123</v>
      </c>
      <c r="I436">
        <v>-1</v>
      </c>
      <c r="J436">
        <v>1</v>
      </c>
      <c r="K436">
        <v>87</v>
      </c>
      <c r="L436" t="s">
        <v>472</v>
      </c>
      <c r="M436">
        <v>0.98245614035087714</v>
      </c>
      <c r="N436">
        <v>1.0666666666666667</v>
      </c>
      <c r="O436">
        <v>5</v>
      </c>
    </row>
    <row r="437" spans="1:15" x14ac:dyDescent="0.3">
      <c r="A437" s="1">
        <v>44224</v>
      </c>
      <c r="B437" s="2" t="s">
        <v>9</v>
      </c>
      <c r="C437">
        <v>160</v>
      </c>
      <c r="D437">
        <v>2989</v>
      </c>
      <c r="E437">
        <v>178</v>
      </c>
      <c r="F437">
        <v>12</v>
      </c>
      <c r="G437">
        <v>347</v>
      </c>
      <c r="H437">
        <v>190</v>
      </c>
      <c r="I437">
        <v>1</v>
      </c>
      <c r="J437">
        <v>-2</v>
      </c>
      <c r="K437">
        <v>162</v>
      </c>
      <c r="L437" t="s">
        <v>472</v>
      </c>
      <c r="M437">
        <v>1.0056497175141244</v>
      </c>
      <c r="N437">
        <v>0.8571428571428571</v>
      </c>
      <c r="O437">
        <v>7</v>
      </c>
    </row>
    <row r="438" spans="1:15" x14ac:dyDescent="0.3">
      <c r="A438" s="1">
        <v>44224</v>
      </c>
      <c r="B438" s="2" t="s">
        <v>6</v>
      </c>
      <c r="C438">
        <v>156</v>
      </c>
      <c r="D438">
        <v>2246</v>
      </c>
      <c r="E438">
        <v>119</v>
      </c>
      <c r="F438">
        <v>25</v>
      </c>
      <c r="G438">
        <v>105</v>
      </c>
      <c r="H438">
        <v>170</v>
      </c>
      <c r="I438">
        <v>3</v>
      </c>
      <c r="J438">
        <v>8</v>
      </c>
      <c r="K438">
        <v>78</v>
      </c>
      <c r="L438" t="s">
        <v>472</v>
      </c>
      <c r="M438">
        <v>1.0258620689655173</v>
      </c>
      <c r="N438">
        <v>1.4705882352941178</v>
      </c>
      <c r="O438">
        <v>0</v>
      </c>
    </row>
    <row r="439" spans="1:15" x14ac:dyDescent="0.3">
      <c r="A439" s="1">
        <v>44224</v>
      </c>
      <c r="B439" s="2" t="s">
        <v>7</v>
      </c>
      <c r="C439">
        <v>253</v>
      </c>
      <c r="D439">
        <v>3373</v>
      </c>
      <c r="E439">
        <v>133</v>
      </c>
      <c r="F439">
        <v>40</v>
      </c>
      <c r="G439">
        <v>257</v>
      </c>
      <c r="H439">
        <v>301</v>
      </c>
      <c r="I439">
        <v>14</v>
      </c>
      <c r="J439">
        <v>5</v>
      </c>
      <c r="K439">
        <v>195</v>
      </c>
      <c r="L439" t="s">
        <v>472</v>
      </c>
      <c r="M439">
        <v>1.1176470588235294</v>
      </c>
      <c r="N439">
        <v>1.1428571428571428</v>
      </c>
      <c r="O439">
        <v>4</v>
      </c>
    </row>
    <row r="440" spans="1:15" x14ac:dyDescent="0.3">
      <c r="A440" s="1">
        <v>44224</v>
      </c>
      <c r="B440" s="2" t="s">
        <v>2</v>
      </c>
      <c r="C440">
        <v>333</v>
      </c>
      <c r="D440">
        <v>3799</v>
      </c>
      <c r="E440">
        <v>164</v>
      </c>
      <c r="F440">
        <v>23</v>
      </c>
      <c r="G440">
        <v>318</v>
      </c>
      <c r="H440">
        <v>349</v>
      </c>
      <c r="I440">
        <v>-8</v>
      </c>
      <c r="J440">
        <v>0</v>
      </c>
      <c r="K440">
        <v>229</v>
      </c>
      <c r="L440" t="s">
        <v>472</v>
      </c>
      <c r="M440">
        <v>0.95348837209302328</v>
      </c>
      <c r="N440">
        <v>1</v>
      </c>
      <c r="O440">
        <v>2</v>
      </c>
    </row>
    <row r="441" spans="1:15" x14ac:dyDescent="0.3">
      <c r="A441" s="1">
        <v>44224</v>
      </c>
      <c r="B441" s="2" t="s">
        <v>3</v>
      </c>
      <c r="C441">
        <v>1390</v>
      </c>
      <c r="D441">
        <v>22124</v>
      </c>
      <c r="E441">
        <v>1121</v>
      </c>
      <c r="F441">
        <v>210</v>
      </c>
      <c r="G441">
        <v>1718</v>
      </c>
      <c r="H441">
        <v>1643</v>
      </c>
      <c r="I441">
        <v>35</v>
      </c>
      <c r="J441">
        <v>17</v>
      </c>
      <c r="K441">
        <v>1103</v>
      </c>
      <c r="L441" t="s">
        <v>472</v>
      </c>
      <c r="M441">
        <v>1.0322283609576428</v>
      </c>
      <c r="N441">
        <v>1.0880829015544042</v>
      </c>
      <c r="O441">
        <v>30</v>
      </c>
    </row>
    <row r="442" spans="1:15" x14ac:dyDescent="0.3">
      <c r="A442" s="1">
        <v>44225</v>
      </c>
      <c r="B442" s="2" t="s">
        <v>4</v>
      </c>
      <c r="C442">
        <v>251</v>
      </c>
      <c r="D442">
        <v>5984</v>
      </c>
      <c r="E442">
        <v>313</v>
      </c>
      <c r="F442">
        <v>79</v>
      </c>
      <c r="G442">
        <v>412</v>
      </c>
      <c r="H442">
        <v>320</v>
      </c>
      <c r="I442">
        <v>-8</v>
      </c>
      <c r="J442">
        <v>10</v>
      </c>
      <c r="K442">
        <v>237</v>
      </c>
      <c r="L442" t="s">
        <v>473</v>
      </c>
      <c r="M442">
        <v>0.97507788161993769</v>
      </c>
      <c r="N442">
        <v>1.144927536231884</v>
      </c>
      <c r="O442">
        <v>12</v>
      </c>
    </row>
    <row r="443" spans="1:15" x14ac:dyDescent="0.3">
      <c r="A443" s="1">
        <v>44225</v>
      </c>
      <c r="B443" s="2" t="s">
        <v>5</v>
      </c>
      <c r="C443">
        <v>126</v>
      </c>
      <c r="D443">
        <v>1787</v>
      </c>
      <c r="E443">
        <v>150</v>
      </c>
      <c r="F443">
        <v>24</v>
      </c>
      <c r="G443">
        <v>125</v>
      </c>
      <c r="H443">
        <v>132</v>
      </c>
      <c r="I443">
        <v>0</v>
      </c>
      <c r="J443">
        <v>-1</v>
      </c>
      <c r="K443">
        <v>138</v>
      </c>
      <c r="L443" t="s">
        <v>473</v>
      </c>
      <c r="M443">
        <v>1</v>
      </c>
      <c r="N443">
        <v>0.96</v>
      </c>
      <c r="O443">
        <v>2</v>
      </c>
    </row>
    <row r="444" spans="1:15" x14ac:dyDescent="0.3">
      <c r="A444" s="1">
        <v>44225</v>
      </c>
      <c r="B444" s="2" t="s">
        <v>8</v>
      </c>
      <c r="C444">
        <v>169</v>
      </c>
      <c r="D444">
        <v>2121</v>
      </c>
      <c r="E444">
        <v>57</v>
      </c>
      <c r="F444">
        <v>21</v>
      </c>
      <c r="G444">
        <v>170</v>
      </c>
      <c r="H444">
        <v>179</v>
      </c>
      <c r="I444">
        <v>1</v>
      </c>
      <c r="J444">
        <v>5</v>
      </c>
      <c r="K444">
        <v>66</v>
      </c>
      <c r="L444" t="s">
        <v>473</v>
      </c>
      <c r="M444">
        <v>1.0178571428571428</v>
      </c>
      <c r="N444">
        <v>1.3125</v>
      </c>
      <c r="O444">
        <v>2</v>
      </c>
    </row>
    <row r="445" spans="1:15" x14ac:dyDescent="0.3">
      <c r="A445" s="1">
        <v>44225</v>
      </c>
      <c r="B445" s="2" t="s">
        <v>9</v>
      </c>
      <c r="C445">
        <v>96</v>
      </c>
      <c r="D445">
        <v>2963</v>
      </c>
      <c r="E445">
        <v>168</v>
      </c>
      <c r="F445">
        <v>14</v>
      </c>
      <c r="G445">
        <v>350</v>
      </c>
      <c r="H445">
        <v>136</v>
      </c>
      <c r="I445">
        <v>-10</v>
      </c>
      <c r="J445">
        <v>2</v>
      </c>
      <c r="K445">
        <v>159</v>
      </c>
      <c r="L445" t="s">
        <v>473</v>
      </c>
      <c r="M445">
        <v>0.9438202247191011</v>
      </c>
      <c r="N445">
        <v>1.1666666666666667</v>
      </c>
      <c r="O445">
        <v>3</v>
      </c>
    </row>
    <row r="446" spans="1:15" x14ac:dyDescent="0.3">
      <c r="A446" s="1">
        <v>44225</v>
      </c>
      <c r="B446" s="2" t="s">
        <v>6</v>
      </c>
      <c r="C446">
        <v>172</v>
      </c>
      <c r="D446">
        <v>2365</v>
      </c>
      <c r="E446">
        <v>112</v>
      </c>
      <c r="F446">
        <v>29</v>
      </c>
      <c r="G446">
        <v>109</v>
      </c>
      <c r="H446">
        <v>208</v>
      </c>
      <c r="I446">
        <v>-7</v>
      </c>
      <c r="J446">
        <v>4</v>
      </c>
      <c r="K446">
        <v>85</v>
      </c>
      <c r="L446" t="s">
        <v>473</v>
      </c>
      <c r="M446">
        <v>0.94117647058823528</v>
      </c>
      <c r="N446">
        <v>1.1599999999999999</v>
      </c>
      <c r="O446">
        <v>4</v>
      </c>
    </row>
    <row r="447" spans="1:15" x14ac:dyDescent="0.3">
      <c r="A447" s="1">
        <v>44225</v>
      </c>
      <c r="B447" s="2" t="s">
        <v>7</v>
      </c>
      <c r="C447">
        <v>209</v>
      </c>
      <c r="D447">
        <v>3445</v>
      </c>
      <c r="E447">
        <v>131</v>
      </c>
      <c r="F447">
        <v>40</v>
      </c>
      <c r="G447">
        <v>260</v>
      </c>
      <c r="H447">
        <v>266</v>
      </c>
      <c r="I447">
        <v>-2</v>
      </c>
      <c r="J447">
        <v>0</v>
      </c>
      <c r="K447">
        <v>191</v>
      </c>
      <c r="L447" t="s">
        <v>473</v>
      </c>
      <c r="M447">
        <v>0.98496240601503759</v>
      </c>
      <c r="N447">
        <v>1</v>
      </c>
      <c r="O447">
        <v>3</v>
      </c>
    </row>
    <row r="448" spans="1:15" x14ac:dyDescent="0.3">
      <c r="A448" s="1">
        <v>44225</v>
      </c>
      <c r="B448" s="2" t="s">
        <v>2</v>
      </c>
      <c r="C448">
        <v>236</v>
      </c>
      <c r="D448">
        <v>3846</v>
      </c>
      <c r="E448">
        <v>153</v>
      </c>
      <c r="F448">
        <v>21</v>
      </c>
      <c r="G448">
        <v>326</v>
      </c>
      <c r="H448">
        <v>251</v>
      </c>
      <c r="I448">
        <v>-11</v>
      </c>
      <c r="J448">
        <v>-2</v>
      </c>
      <c r="K448">
        <v>196</v>
      </c>
      <c r="L448" t="s">
        <v>473</v>
      </c>
      <c r="M448">
        <v>0.93292682926829273</v>
      </c>
      <c r="N448">
        <v>0.91304347826086951</v>
      </c>
      <c r="O448">
        <v>8</v>
      </c>
    </row>
    <row r="449" spans="1:15" x14ac:dyDescent="0.3">
      <c r="A449" s="1">
        <v>44225</v>
      </c>
      <c r="B449" s="2" t="s">
        <v>3</v>
      </c>
      <c r="C449">
        <v>1259</v>
      </c>
      <c r="D449">
        <v>22511</v>
      </c>
      <c r="E449">
        <v>1084</v>
      </c>
      <c r="F449">
        <v>228</v>
      </c>
      <c r="G449">
        <v>1752</v>
      </c>
      <c r="H449">
        <v>1492</v>
      </c>
      <c r="I449">
        <v>-37</v>
      </c>
      <c r="J449">
        <v>18</v>
      </c>
      <c r="K449">
        <v>1072</v>
      </c>
      <c r="L449" t="s">
        <v>473</v>
      </c>
      <c r="M449">
        <v>0.96699375557537914</v>
      </c>
      <c r="N449">
        <v>1.0857142857142856</v>
      </c>
      <c r="O449">
        <v>34</v>
      </c>
    </row>
    <row r="450" spans="1:15" x14ac:dyDescent="0.3">
      <c r="A450" s="1">
        <v>44226</v>
      </c>
      <c r="B450" s="2" t="s">
        <v>4</v>
      </c>
      <c r="C450">
        <v>293</v>
      </c>
      <c r="D450">
        <v>6020</v>
      </c>
      <c r="E450">
        <v>326</v>
      </c>
      <c r="F450">
        <v>82</v>
      </c>
      <c r="G450">
        <v>419</v>
      </c>
      <c r="H450">
        <v>339</v>
      </c>
      <c r="I450">
        <v>13</v>
      </c>
      <c r="J450">
        <v>3</v>
      </c>
      <c r="K450">
        <v>296</v>
      </c>
      <c r="L450" t="s">
        <v>474</v>
      </c>
      <c r="M450">
        <v>1.0415335463258786</v>
      </c>
      <c r="N450">
        <v>1.0379746835443038</v>
      </c>
      <c r="O450">
        <v>7</v>
      </c>
    </row>
    <row r="451" spans="1:15" x14ac:dyDescent="0.3">
      <c r="A451" s="1">
        <v>44226</v>
      </c>
      <c r="B451" s="2" t="s">
        <v>5</v>
      </c>
      <c r="C451">
        <v>88</v>
      </c>
      <c r="D451">
        <v>1779</v>
      </c>
      <c r="E451">
        <v>160</v>
      </c>
      <c r="F451">
        <v>25</v>
      </c>
      <c r="G451">
        <v>125</v>
      </c>
      <c r="H451">
        <v>91</v>
      </c>
      <c r="I451">
        <v>10</v>
      </c>
      <c r="J451">
        <v>1</v>
      </c>
      <c r="K451">
        <v>99</v>
      </c>
      <c r="L451" t="s">
        <v>474</v>
      </c>
      <c r="M451">
        <v>1.0666666666666667</v>
      </c>
      <c r="N451">
        <v>1.0416666666666667</v>
      </c>
      <c r="O451">
        <v>0</v>
      </c>
    </row>
    <row r="452" spans="1:15" x14ac:dyDescent="0.3">
      <c r="A452" s="1">
        <v>44226</v>
      </c>
      <c r="B452" s="2" t="s">
        <v>8</v>
      </c>
      <c r="C452">
        <v>116</v>
      </c>
      <c r="D452">
        <v>2129</v>
      </c>
      <c r="E452">
        <v>54</v>
      </c>
      <c r="F452">
        <v>19</v>
      </c>
      <c r="G452">
        <v>171</v>
      </c>
      <c r="H452">
        <v>124</v>
      </c>
      <c r="I452">
        <v>-3</v>
      </c>
      <c r="J452">
        <v>-2</v>
      </c>
      <c r="K452">
        <v>115</v>
      </c>
      <c r="L452" t="s">
        <v>474</v>
      </c>
      <c r="M452">
        <v>0.94736842105263153</v>
      </c>
      <c r="N452">
        <v>0.90476190476190477</v>
      </c>
      <c r="O452">
        <v>1</v>
      </c>
    </row>
    <row r="453" spans="1:15" x14ac:dyDescent="0.3">
      <c r="A453" s="1">
        <v>44226</v>
      </c>
      <c r="B453" s="2" t="s">
        <v>9</v>
      </c>
      <c r="C453">
        <v>142</v>
      </c>
      <c r="D453">
        <v>2949</v>
      </c>
      <c r="E453">
        <v>171</v>
      </c>
      <c r="F453">
        <v>13</v>
      </c>
      <c r="G453">
        <v>351</v>
      </c>
      <c r="H453">
        <v>156</v>
      </c>
      <c r="I453">
        <v>3</v>
      </c>
      <c r="J453">
        <v>-1</v>
      </c>
      <c r="K453">
        <v>170</v>
      </c>
      <c r="L453" t="s">
        <v>474</v>
      </c>
      <c r="M453">
        <v>1.0178571428571428</v>
      </c>
      <c r="N453">
        <v>0.9285714285714286</v>
      </c>
      <c r="O453">
        <v>1</v>
      </c>
    </row>
    <row r="454" spans="1:15" x14ac:dyDescent="0.3">
      <c r="A454" s="1">
        <v>44226</v>
      </c>
      <c r="B454" s="2" t="s">
        <v>6</v>
      </c>
      <c r="C454">
        <v>148</v>
      </c>
      <c r="D454">
        <v>2455</v>
      </c>
      <c r="E454">
        <v>124</v>
      </c>
      <c r="F454">
        <v>30</v>
      </c>
      <c r="G454">
        <v>109</v>
      </c>
      <c r="H454">
        <v>168</v>
      </c>
      <c r="I454">
        <v>12</v>
      </c>
      <c r="J454">
        <v>1</v>
      </c>
      <c r="K454">
        <v>78</v>
      </c>
      <c r="L454" t="s">
        <v>474</v>
      </c>
      <c r="M454">
        <v>1.1071428571428572</v>
      </c>
      <c r="N454">
        <v>1.0344827586206897</v>
      </c>
      <c r="O454">
        <v>0</v>
      </c>
    </row>
    <row r="455" spans="1:15" x14ac:dyDescent="0.3">
      <c r="A455" s="1">
        <v>44226</v>
      </c>
      <c r="B455" s="2" t="s">
        <v>7</v>
      </c>
      <c r="C455">
        <v>137</v>
      </c>
      <c r="D455">
        <v>3425</v>
      </c>
      <c r="E455">
        <v>141</v>
      </c>
      <c r="F455">
        <v>42</v>
      </c>
      <c r="G455">
        <v>260</v>
      </c>
      <c r="H455">
        <v>176</v>
      </c>
      <c r="I455">
        <v>10</v>
      </c>
      <c r="J455">
        <v>2</v>
      </c>
      <c r="K455">
        <v>196</v>
      </c>
      <c r="L455" t="s">
        <v>474</v>
      </c>
      <c r="M455">
        <v>1.0763358778625953</v>
      </c>
      <c r="N455">
        <v>1.05</v>
      </c>
      <c r="O455">
        <v>0</v>
      </c>
    </row>
    <row r="456" spans="1:15" x14ac:dyDescent="0.3">
      <c r="A456" s="1">
        <v>44226</v>
      </c>
      <c r="B456" s="2" t="s">
        <v>2</v>
      </c>
      <c r="C456">
        <v>261</v>
      </c>
      <c r="D456">
        <v>3851</v>
      </c>
      <c r="E456">
        <v>154</v>
      </c>
      <c r="F456">
        <v>21</v>
      </c>
      <c r="G456">
        <v>326</v>
      </c>
      <c r="H456">
        <v>277</v>
      </c>
      <c r="I456">
        <v>1</v>
      </c>
      <c r="J456">
        <v>0</v>
      </c>
      <c r="K456">
        <v>271</v>
      </c>
      <c r="L456" t="s">
        <v>474</v>
      </c>
      <c r="M456">
        <v>1.0065359477124183</v>
      </c>
      <c r="N456">
        <v>1</v>
      </c>
      <c r="O456">
        <v>0</v>
      </c>
    </row>
    <row r="457" spans="1:15" x14ac:dyDescent="0.3">
      <c r="A457" s="1">
        <v>44226</v>
      </c>
      <c r="B457" s="2" t="s">
        <v>3</v>
      </c>
      <c r="C457">
        <v>1185</v>
      </c>
      <c r="D457">
        <v>22608</v>
      </c>
      <c r="E457">
        <v>1130</v>
      </c>
      <c r="F457">
        <v>232</v>
      </c>
      <c r="G457">
        <v>1761</v>
      </c>
      <c r="H457">
        <v>1331</v>
      </c>
      <c r="I457">
        <v>46</v>
      </c>
      <c r="J457">
        <v>4</v>
      </c>
      <c r="K457">
        <v>1225</v>
      </c>
      <c r="L457" t="s">
        <v>474</v>
      </c>
      <c r="M457">
        <v>1.0424354243542435</v>
      </c>
      <c r="N457">
        <v>1.0175438596491229</v>
      </c>
      <c r="O457">
        <v>9</v>
      </c>
    </row>
    <row r="458" spans="1:15" x14ac:dyDescent="0.3">
      <c r="A458" s="1">
        <v>44227</v>
      </c>
      <c r="B458" s="2" t="s">
        <v>4</v>
      </c>
      <c r="C458">
        <v>182</v>
      </c>
      <c r="D458">
        <v>5934</v>
      </c>
      <c r="E458">
        <v>341</v>
      </c>
      <c r="F458">
        <v>86</v>
      </c>
      <c r="G458">
        <v>420</v>
      </c>
      <c r="H458">
        <v>214</v>
      </c>
      <c r="I458">
        <v>15</v>
      </c>
      <c r="J458">
        <v>4</v>
      </c>
      <c r="K458">
        <v>299</v>
      </c>
      <c r="L458" t="s">
        <v>475</v>
      </c>
      <c r="M458">
        <v>1.0460122699386503</v>
      </c>
      <c r="N458">
        <v>1.0487804878048781</v>
      </c>
      <c r="O458">
        <v>1</v>
      </c>
    </row>
    <row r="459" spans="1:15" x14ac:dyDescent="0.3">
      <c r="A459" s="1">
        <v>44227</v>
      </c>
      <c r="B459" s="2" t="s">
        <v>5</v>
      </c>
      <c r="C459">
        <v>94</v>
      </c>
      <c r="D459">
        <v>1788</v>
      </c>
      <c r="E459">
        <v>164</v>
      </c>
      <c r="F459">
        <v>24</v>
      </c>
      <c r="G459">
        <v>129</v>
      </c>
      <c r="H459">
        <v>100</v>
      </c>
      <c r="I459">
        <v>4</v>
      </c>
      <c r="J459">
        <v>-1</v>
      </c>
      <c r="K459">
        <v>87</v>
      </c>
      <c r="L459" t="s">
        <v>475</v>
      </c>
      <c r="M459">
        <v>1.0249999999999999</v>
      </c>
      <c r="N459">
        <v>0.96</v>
      </c>
      <c r="O459">
        <v>4</v>
      </c>
    </row>
    <row r="460" spans="1:15" x14ac:dyDescent="0.3">
      <c r="A460" s="1">
        <v>44227</v>
      </c>
      <c r="B460" s="2" t="s">
        <v>8</v>
      </c>
      <c r="C460">
        <v>92</v>
      </c>
      <c r="D460">
        <v>2130</v>
      </c>
      <c r="E460">
        <v>67</v>
      </c>
      <c r="F460">
        <v>20</v>
      </c>
      <c r="G460">
        <v>172</v>
      </c>
      <c r="H460">
        <v>97</v>
      </c>
      <c r="I460">
        <v>13</v>
      </c>
      <c r="J460">
        <v>1</v>
      </c>
      <c r="K460">
        <v>95</v>
      </c>
      <c r="L460" t="s">
        <v>475</v>
      </c>
      <c r="M460">
        <v>1.2407407407407407</v>
      </c>
      <c r="N460">
        <v>1.0526315789473684</v>
      </c>
      <c r="O460">
        <v>1</v>
      </c>
    </row>
    <row r="461" spans="1:15" x14ac:dyDescent="0.3">
      <c r="A461" s="1">
        <v>44227</v>
      </c>
      <c r="B461" s="2" t="s">
        <v>9</v>
      </c>
      <c r="C461">
        <v>125</v>
      </c>
      <c r="D461">
        <v>2883</v>
      </c>
      <c r="E461">
        <v>185</v>
      </c>
      <c r="F461">
        <v>13</v>
      </c>
      <c r="G461">
        <v>353</v>
      </c>
      <c r="H461">
        <v>132</v>
      </c>
      <c r="I461">
        <v>14</v>
      </c>
      <c r="J461">
        <v>0</v>
      </c>
      <c r="K461">
        <v>196</v>
      </c>
      <c r="L461" t="s">
        <v>475</v>
      </c>
      <c r="M461">
        <v>1.0818713450292399</v>
      </c>
      <c r="N461">
        <v>1</v>
      </c>
      <c r="O461">
        <v>2</v>
      </c>
    </row>
    <row r="462" spans="1:15" x14ac:dyDescent="0.3">
      <c r="A462" s="1">
        <v>44227</v>
      </c>
      <c r="B462" s="2" t="s">
        <v>6</v>
      </c>
      <c r="C462">
        <v>106</v>
      </c>
      <c r="D462">
        <v>2469</v>
      </c>
      <c r="E462">
        <v>131</v>
      </c>
      <c r="F462">
        <v>31</v>
      </c>
      <c r="G462">
        <v>112</v>
      </c>
      <c r="H462">
        <v>119</v>
      </c>
      <c r="I462">
        <v>7</v>
      </c>
      <c r="J462">
        <v>1</v>
      </c>
      <c r="K462">
        <v>102</v>
      </c>
      <c r="L462" t="s">
        <v>475</v>
      </c>
      <c r="M462">
        <v>1.0564516129032258</v>
      </c>
      <c r="N462">
        <v>1.0333333333333334</v>
      </c>
      <c r="O462">
        <v>3</v>
      </c>
    </row>
    <row r="463" spans="1:15" x14ac:dyDescent="0.3">
      <c r="A463" s="1">
        <v>44227</v>
      </c>
      <c r="B463" s="2" t="s">
        <v>7</v>
      </c>
      <c r="C463">
        <v>130</v>
      </c>
      <c r="D463">
        <v>3418</v>
      </c>
      <c r="E463">
        <v>156</v>
      </c>
      <c r="F463">
        <v>44</v>
      </c>
      <c r="G463">
        <v>262</v>
      </c>
      <c r="H463">
        <v>148</v>
      </c>
      <c r="I463">
        <v>15</v>
      </c>
      <c r="J463">
        <v>2</v>
      </c>
      <c r="K463">
        <v>153</v>
      </c>
      <c r="L463" t="s">
        <v>475</v>
      </c>
      <c r="M463">
        <v>1.1063829787234043</v>
      </c>
      <c r="N463">
        <v>1.0476190476190477</v>
      </c>
      <c r="O463">
        <v>2</v>
      </c>
    </row>
    <row r="464" spans="1:15" x14ac:dyDescent="0.3">
      <c r="A464" s="1">
        <v>44227</v>
      </c>
      <c r="B464" s="2" t="s">
        <v>2</v>
      </c>
      <c r="C464">
        <v>151</v>
      </c>
      <c r="D464">
        <v>3798</v>
      </c>
      <c r="E464">
        <v>166</v>
      </c>
      <c r="F464">
        <v>24</v>
      </c>
      <c r="G464">
        <v>327</v>
      </c>
      <c r="H464">
        <v>153</v>
      </c>
      <c r="I464">
        <v>12</v>
      </c>
      <c r="J464">
        <v>3</v>
      </c>
      <c r="K464">
        <v>205</v>
      </c>
      <c r="L464" t="s">
        <v>475</v>
      </c>
      <c r="M464">
        <v>1.0779220779220779</v>
      </c>
      <c r="N464">
        <v>1.1428571428571428</v>
      </c>
      <c r="O464">
        <v>1</v>
      </c>
    </row>
    <row r="465" spans="1:15" x14ac:dyDescent="0.3">
      <c r="A465" s="1">
        <v>44227</v>
      </c>
      <c r="B465" s="2" t="s">
        <v>3</v>
      </c>
      <c r="C465">
        <v>880</v>
      </c>
      <c r="D465">
        <v>22420</v>
      </c>
      <c r="E465">
        <v>1210</v>
      </c>
      <c r="F465">
        <v>242</v>
      </c>
      <c r="G465">
        <v>1775</v>
      </c>
      <c r="H465">
        <v>963</v>
      </c>
      <c r="I465">
        <v>80</v>
      </c>
      <c r="J465">
        <v>10</v>
      </c>
      <c r="K465">
        <v>1137</v>
      </c>
      <c r="L465" t="s">
        <v>475</v>
      </c>
      <c r="M465">
        <v>1.0707964601769913</v>
      </c>
      <c r="N465">
        <v>1.0431034482758621</v>
      </c>
      <c r="O465">
        <v>14</v>
      </c>
    </row>
    <row r="466" spans="1:15" x14ac:dyDescent="0.3">
      <c r="A466" s="1">
        <v>44228</v>
      </c>
      <c r="B466" s="2" t="s">
        <v>4</v>
      </c>
      <c r="C466">
        <v>172</v>
      </c>
      <c r="D466">
        <v>5883</v>
      </c>
      <c r="E466">
        <v>323</v>
      </c>
      <c r="F466">
        <v>93</v>
      </c>
      <c r="G466">
        <v>435</v>
      </c>
      <c r="H466">
        <v>232</v>
      </c>
      <c r="I466">
        <v>-18</v>
      </c>
      <c r="J466">
        <v>7</v>
      </c>
      <c r="K466">
        <v>268</v>
      </c>
      <c r="L466" t="s">
        <v>479</v>
      </c>
      <c r="M466">
        <v>0.94721407624633436</v>
      </c>
      <c r="N466">
        <v>1.0813953488372092</v>
      </c>
      <c r="O466">
        <v>15</v>
      </c>
    </row>
    <row r="467" spans="1:15" x14ac:dyDescent="0.3">
      <c r="A467" s="1">
        <v>44228</v>
      </c>
      <c r="B467" s="2" t="s">
        <v>5</v>
      </c>
      <c r="C467">
        <v>95</v>
      </c>
      <c r="D467">
        <v>1824</v>
      </c>
      <c r="E467">
        <v>166</v>
      </c>
      <c r="F467">
        <v>23</v>
      </c>
      <c r="G467">
        <v>134</v>
      </c>
      <c r="H467">
        <v>114</v>
      </c>
      <c r="I467">
        <v>2</v>
      </c>
      <c r="J467">
        <v>-1</v>
      </c>
      <c r="K467">
        <v>73</v>
      </c>
      <c r="L467" t="s">
        <v>479</v>
      </c>
      <c r="M467">
        <v>1.0121951219512195</v>
      </c>
      <c r="N467">
        <v>0.95833333333333337</v>
      </c>
      <c r="O467">
        <v>5</v>
      </c>
    </row>
    <row r="468" spans="1:15" x14ac:dyDescent="0.3">
      <c r="A468" s="1">
        <v>44228</v>
      </c>
      <c r="B468" s="2" t="s">
        <v>8</v>
      </c>
      <c r="C468">
        <v>64</v>
      </c>
      <c r="D468">
        <v>2135</v>
      </c>
      <c r="E468">
        <v>70</v>
      </c>
      <c r="F468">
        <v>22</v>
      </c>
      <c r="G468">
        <v>172</v>
      </c>
      <c r="H468">
        <v>78</v>
      </c>
      <c r="I468">
        <v>3</v>
      </c>
      <c r="J468">
        <v>2</v>
      </c>
      <c r="K468">
        <v>73</v>
      </c>
      <c r="L468" t="s">
        <v>479</v>
      </c>
      <c r="M468">
        <v>1.044776119402985</v>
      </c>
      <c r="N468">
        <v>1.1000000000000001</v>
      </c>
      <c r="O468">
        <v>0</v>
      </c>
    </row>
    <row r="469" spans="1:15" x14ac:dyDescent="0.3">
      <c r="A469" s="1">
        <v>44228</v>
      </c>
      <c r="B469" s="2" t="s">
        <v>9</v>
      </c>
      <c r="C469">
        <v>93</v>
      </c>
      <c r="D469">
        <v>2874</v>
      </c>
      <c r="E469">
        <v>184</v>
      </c>
      <c r="F469">
        <v>13</v>
      </c>
      <c r="G469">
        <v>357</v>
      </c>
      <c r="H469">
        <v>119</v>
      </c>
      <c r="I469">
        <v>-1</v>
      </c>
      <c r="J469">
        <v>0</v>
      </c>
      <c r="K469">
        <v>124</v>
      </c>
      <c r="L469" t="s">
        <v>479</v>
      </c>
      <c r="M469">
        <v>0.99459459459459465</v>
      </c>
      <c r="N469">
        <v>1</v>
      </c>
      <c r="O469">
        <v>4</v>
      </c>
    </row>
    <row r="470" spans="1:15" x14ac:dyDescent="0.3">
      <c r="A470" s="1">
        <v>44228</v>
      </c>
      <c r="B470" s="2" t="s">
        <v>6</v>
      </c>
      <c r="C470">
        <v>130</v>
      </c>
      <c r="D470">
        <v>2503</v>
      </c>
      <c r="E470">
        <v>130</v>
      </c>
      <c r="F470">
        <v>30</v>
      </c>
      <c r="G470">
        <v>115</v>
      </c>
      <c r="H470">
        <v>154</v>
      </c>
      <c r="I470">
        <v>-1</v>
      </c>
      <c r="J470">
        <v>-1</v>
      </c>
      <c r="K470">
        <v>117</v>
      </c>
      <c r="L470" t="s">
        <v>479</v>
      </c>
      <c r="M470">
        <v>0.99236641221374045</v>
      </c>
      <c r="N470">
        <v>0.967741935483871</v>
      </c>
      <c r="O470">
        <v>3</v>
      </c>
    </row>
    <row r="471" spans="1:15" x14ac:dyDescent="0.3">
      <c r="A471" s="1">
        <v>44228</v>
      </c>
      <c r="B471" s="2" t="s">
        <v>7</v>
      </c>
      <c r="C471">
        <v>125</v>
      </c>
      <c r="D471">
        <v>3442</v>
      </c>
      <c r="E471">
        <v>141</v>
      </c>
      <c r="F471">
        <v>47</v>
      </c>
      <c r="G471">
        <v>269</v>
      </c>
      <c r="H471">
        <v>169</v>
      </c>
      <c r="I471">
        <v>-15</v>
      </c>
      <c r="J471">
        <v>3</v>
      </c>
      <c r="K471">
        <v>138</v>
      </c>
      <c r="L471" t="s">
        <v>479</v>
      </c>
      <c r="M471">
        <v>0.90384615384615385</v>
      </c>
      <c r="N471">
        <v>1.0681818181818181</v>
      </c>
      <c r="O471">
        <v>7</v>
      </c>
    </row>
    <row r="472" spans="1:15" x14ac:dyDescent="0.3">
      <c r="A472" s="1">
        <v>44228</v>
      </c>
      <c r="B472" s="2" t="s">
        <v>2</v>
      </c>
      <c r="C472">
        <v>112</v>
      </c>
      <c r="D472">
        <v>3861</v>
      </c>
      <c r="E472">
        <v>172</v>
      </c>
      <c r="F472">
        <v>25</v>
      </c>
      <c r="G472">
        <v>333</v>
      </c>
      <c r="H472">
        <v>135</v>
      </c>
      <c r="I472">
        <v>6</v>
      </c>
      <c r="J472">
        <v>1</v>
      </c>
      <c r="K472">
        <v>66</v>
      </c>
      <c r="L472" t="s">
        <v>479</v>
      </c>
      <c r="M472">
        <v>1.036144578313253</v>
      </c>
      <c r="N472">
        <v>1.0416666666666667</v>
      </c>
      <c r="O472">
        <v>6</v>
      </c>
    </row>
    <row r="473" spans="1:15" x14ac:dyDescent="0.3">
      <c r="A473" s="1">
        <v>44228</v>
      </c>
      <c r="B473" s="2" t="s">
        <v>3</v>
      </c>
      <c r="C473">
        <v>791</v>
      </c>
      <c r="D473">
        <v>22522</v>
      </c>
      <c r="E473">
        <v>1186</v>
      </c>
      <c r="F473">
        <v>253</v>
      </c>
      <c r="G473">
        <v>1815</v>
      </c>
      <c r="H473">
        <v>1001</v>
      </c>
      <c r="I473">
        <v>-24</v>
      </c>
      <c r="J473">
        <v>11</v>
      </c>
      <c r="K473">
        <v>859</v>
      </c>
      <c r="L473" t="s">
        <v>479</v>
      </c>
      <c r="M473">
        <v>0.98016528925619839</v>
      </c>
      <c r="N473">
        <v>1.0454545454545454</v>
      </c>
      <c r="O473">
        <v>40</v>
      </c>
    </row>
    <row r="474" spans="1:15" x14ac:dyDescent="0.3">
      <c r="A474" s="1">
        <v>44229</v>
      </c>
      <c r="B474" s="2" t="s">
        <v>4</v>
      </c>
      <c r="C474">
        <v>203</v>
      </c>
      <c r="D474">
        <v>5889</v>
      </c>
      <c r="E474">
        <v>306</v>
      </c>
      <c r="F474">
        <v>85</v>
      </c>
      <c r="G474">
        <v>444</v>
      </c>
      <c r="H474">
        <v>293</v>
      </c>
      <c r="I474">
        <v>-17</v>
      </c>
      <c r="J474">
        <v>-8</v>
      </c>
      <c r="K474">
        <v>278</v>
      </c>
      <c r="L474" t="s">
        <v>480</v>
      </c>
      <c r="M474">
        <v>0.94736842105263153</v>
      </c>
      <c r="N474">
        <v>0.91397849462365588</v>
      </c>
      <c r="O474">
        <v>9</v>
      </c>
    </row>
    <row r="475" spans="1:15" x14ac:dyDescent="0.3">
      <c r="A475" s="1">
        <v>44229</v>
      </c>
      <c r="B475" s="2" t="s">
        <v>5</v>
      </c>
      <c r="C475">
        <v>97</v>
      </c>
      <c r="D475">
        <v>1832</v>
      </c>
      <c r="E475">
        <v>166</v>
      </c>
      <c r="F475">
        <v>27</v>
      </c>
      <c r="G475">
        <v>136</v>
      </c>
      <c r="H475">
        <v>109</v>
      </c>
      <c r="I475">
        <v>0</v>
      </c>
      <c r="J475">
        <v>4</v>
      </c>
      <c r="K475">
        <v>97</v>
      </c>
      <c r="L475" t="s">
        <v>480</v>
      </c>
      <c r="M475">
        <v>1</v>
      </c>
      <c r="N475">
        <v>1.173913043478261</v>
      </c>
      <c r="O475">
        <v>2</v>
      </c>
    </row>
    <row r="476" spans="1:15" x14ac:dyDescent="0.3">
      <c r="A476" s="1">
        <v>44229</v>
      </c>
      <c r="B476" s="2" t="s">
        <v>8</v>
      </c>
      <c r="C476">
        <v>80</v>
      </c>
      <c r="D476">
        <v>2093</v>
      </c>
      <c r="E476">
        <v>70</v>
      </c>
      <c r="F476">
        <v>25</v>
      </c>
      <c r="G476">
        <v>174</v>
      </c>
      <c r="H476">
        <v>77</v>
      </c>
      <c r="I476">
        <v>0</v>
      </c>
      <c r="J476">
        <v>3</v>
      </c>
      <c r="K476">
        <v>118</v>
      </c>
      <c r="L476" t="s">
        <v>480</v>
      </c>
      <c r="M476">
        <v>1</v>
      </c>
      <c r="N476">
        <v>1.1363636363636365</v>
      </c>
      <c r="O476">
        <v>2</v>
      </c>
    </row>
    <row r="477" spans="1:15" x14ac:dyDescent="0.3">
      <c r="A477" s="1">
        <v>44229</v>
      </c>
      <c r="B477" s="2" t="s">
        <v>9</v>
      </c>
      <c r="C477">
        <v>96</v>
      </c>
      <c r="D477">
        <v>2815</v>
      </c>
      <c r="E477">
        <v>176</v>
      </c>
      <c r="F477">
        <v>14</v>
      </c>
      <c r="G477">
        <v>363</v>
      </c>
      <c r="H477">
        <v>114</v>
      </c>
      <c r="I477">
        <v>-8</v>
      </c>
      <c r="J477">
        <v>1</v>
      </c>
      <c r="K477">
        <v>169</v>
      </c>
      <c r="L477" t="s">
        <v>480</v>
      </c>
      <c r="M477">
        <v>0.95652173913043481</v>
      </c>
      <c r="N477">
        <v>1.0769230769230769</v>
      </c>
      <c r="O477">
        <v>6</v>
      </c>
    </row>
    <row r="478" spans="1:15" x14ac:dyDescent="0.3">
      <c r="A478" s="1">
        <v>44229</v>
      </c>
      <c r="B478" s="2" t="s">
        <v>6</v>
      </c>
      <c r="C478">
        <v>125</v>
      </c>
      <c r="D478">
        <v>2578</v>
      </c>
      <c r="E478">
        <v>117</v>
      </c>
      <c r="F478">
        <v>29</v>
      </c>
      <c r="G478">
        <v>117</v>
      </c>
      <c r="H478">
        <v>179</v>
      </c>
      <c r="I478">
        <v>-13</v>
      </c>
      <c r="J478">
        <v>-1</v>
      </c>
      <c r="K478">
        <v>102</v>
      </c>
      <c r="L478" t="s">
        <v>480</v>
      </c>
      <c r="M478">
        <v>0.9</v>
      </c>
      <c r="N478">
        <v>0.96666666666666667</v>
      </c>
      <c r="O478">
        <v>2</v>
      </c>
    </row>
    <row r="479" spans="1:15" x14ac:dyDescent="0.3">
      <c r="A479" s="1">
        <v>44229</v>
      </c>
      <c r="B479" s="2" t="s">
        <v>7</v>
      </c>
      <c r="C479">
        <v>102</v>
      </c>
      <c r="D479">
        <v>3366</v>
      </c>
      <c r="E479">
        <v>125</v>
      </c>
      <c r="F479">
        <v>43</v>
      </c>
      <c r="G479">
        <v>273</v>
      </c>
      <c r="H479">
        <v>129</v>
      </c>
      <c r="I479">
        <v>-16</v>
      </c>
      <c r="J479">
        <v>-4</v>
      </c>
      <c r="K479">
        <v>201</v>
      </c>
      <c r="L479" t="s">
        <v>480</v>
      </c>
      <c r="M479">
        <v>0.88652482269503541</v>
      </c>
      <c r="N479">
        <v>0.91489361702127658</v>
      </c>
      <c r="O479">
        <v>4</v>
      </c>
    </row>
    <row r="480" spans="1:15" x14ac:dyDescent="0.3">
      <c r="A480" s="1">
        <v>44229</v>
      </c>
      <c r="B480" s="2" t="s">
        <v>2</v>
      </c>
      <c r="C480">
        <v>232</v>
      </c>
      <c r="D480">
        <v>3867</v>
      </c>
      <c r="E480">
        <v>165</v>
      </c>
      <c r="F480">
        <v>24</v>
      </c>
      <c r="G480">
        <v>336</v>
      </c>
      <c r="H480">
        <v>239</v>
      </c>
      <c r="I480">
        <v>-7</v>
      </c>
      <c r="J480">
        <v>-1</v>
      </c>
      <c r="K480">
        <v>230</v>
      </c>
      <c r="L480" t="s">
        <v>480</v>
      </c>
      <c r="M480">
        <v>0.95930232558139539</v>
      </c>
      <c r="N480">
        <v>0.96</v>
      </c>
      <c r="O480">
        <v>3</v>
      </c>
    </row>
    <row r="481" spans="1:15" x14ac:dyDescent="0.3">
      <c r="A481" s="1">
        <v>44229</v>
      </c>
      <c r="B481" s="2" t="s">
        <v>3</v>
      </c>
      <c r="C481">
        <v>935</v>
      </c>
      <c r="D481">
        <v>22440</v>
      </c>
      <c r="E481">
        <v>1125</v>
      </c>
      <c r="F481">
        <v>247</v>
      </c>
      <c r="G481">
        <v>1843</v>
      </c>
      <c r="H481">
        <v>1140</v>
      </c>
      <c r="I481">
        <v>-61</v>
      </c>
      <c r="J481">
        <v>-6</v>
      </c>
      <c r="K481">
        <v>1195</v>
      </c>
      <c r="L481" t="s">
        <v>480</v>
      </c>
      <c r="M481">
        <v>0.94856661045531199</v>
      </c>
      <c r="N481">
        <v>0.97628458498023718</v>
      </c>
      <c r="O481">
        <v>28</v>
      </c>
    </row>
    <row r="482" spans="1:15" x14ac:dyDescent="0.3">
      <c r="A482" s="1">
        <v>44230</v>
      </c>
      <c r="B482" s="2" t="s">
        <v>4</v>
      </c>
      <c r="C482">
        <v>278</v>
      </c>
      <c r="D482">
        <v>5845</v>
      </c>
      <c r="E482">
        <v>282</v>
      </c>
      <c r="F482">
        <v>87</v>
      </c>
      <c r="G482">
        <v>455</v>
      </c>
      <c r="H482">
        <v>297</v>
      </c>
      <c r="I482">
        <v>-24</v>
      </c>
      <c r="J482">
        <v>2</v>
      </c>
      <c r="K482">
        <v>331</v>
      </c>
      <c r="L482" t="s">
        <v>481</v>
      </c>
      <c r="M482">
        <v>0.92156862745098034</v>
      </c>
      <c r="N482">
        <v>1.0235294117647058</v>
      </c>
      <c r="O482">
        <v>11</v>
      </c>
    </row>
    <row r="483" spans="1:15" x14ac:dyDescent="0.3">
      <c r="A483" s="1">
        <v>44230</v>
      </c>
      <c r="B483" s="2" t="s">
        <v>5</v>
      </c>
      <c r="C483">
        <v>86</v>
      </c>
      <c r="D483">
        <v>1858</v>
      </c>
      <c r="E483">
        <v>173</v>
      </c>
      <c r="F483">
        <v>25</v>
      </c>
      <c r="G483">
        <v>142</v>
      </c>
      <c r="H483">
        <v>97</v>
      </c>
      <c r="I483">
        <v>7</v>
      </c>
      <c r="J483">
        <v>-2</v>
      </c>
      <c r="K483">
        <v>65</v>
      </c>
      <c r="L483" t="s">
        <v>481</v>
      </c>
      <c r="M483">
        <v>1.0421686746987953</v>
      </c>
      <c r="N483">
        <v>0.92592592592592593</v>
      </c>
      <c r="O483">
        <v>6</v>
      </c>
    </row>
    <row r="484" spans="1:15" x14ac:dyDescent="0.3">
      <c r="A484" s="1">
        <v>44230</v>
      </c>
      <c r="B484" s="2" t="s">
        <v>8</v>
      </c>
      <c r="C484">
        <v>102</v>
      </c>
      <c r="D484">
        <v>2105</v>
      </c>
      <c r="E484">
        <v>65</v>
      </c>
      <c r="F484">
        <v>26</v>
      </c>
      <c r="G484">
        <v>177</v>
      </c>
      <c r="H484">
        <v>107</v>
      </c>
      <c r="I484">
        <v>-5</v>
      </c>
      <c r="J484">
        <v>1</v>
      </c>
      <c r="K484">
        <v>92</v>
      </c>
      <c r="L484" t="s">
        <v>481</v>
      </c>
      <c r="M484">
        <v>0.9285714285714286</v>
      </c>
      <c r="N484">
        <v>1.04</v>
      </c>
      <c r="O484">
        <v>3</v>
      </c>
    </row>
    <row r="485" spans="1:15" x14ac:dyDescent="0.3">
      <c r="A485" s="1">
        <v>44230</v>
      </c>
      <c r="B485" s="2" t="s">
        <v>9</v>
      </c>
      <c r="C485">
        <v>102</v>
      </c>
      <c r="D485">
        <v>2730</v>
      </c>
      <c r="E485">
        <v>156</v>
      </c>
      <c r="F485">
        <v>15</v>
      </c>
      <c r="G485">
        <v>369</v>
      </c>
      <c r="H485">
        <v>121</v>
      </c>
      <c r="I485">
        <v>-20</v>
      </c>
      <c r="J485">
        <v>1</v>
      </c>
      <c r="K485">
        <v>200</v>
      </c>
      <c r="L485" t="s">
        <v>481</v>
      </c>
      <c r="M485">
        <v>0.88636363636363635</v>
      </c>
      <c r="N485">
        <v>1.0714285714285714</v>
      </c>
      <c r="O485">
        <v>6</v>
      </c>
    </row>
    <row r="486" spans="1:15" x14ac:dyDescent="0.3">
      <c r="A486" s="1">
        <v>44230</v>
      </c>
      <c r="B486" s="2" t="s">
        <v>6</v>
      </c>
      <c r="C486">
        <v>91</v>
      </c>
      <c r="D486">
        <v>2613</v>
      </c>
      <c r="E486">
        <v>113</v>
      </c>
      <c r="F486">
        <v>27</v>
      </c>
      <c r="G486">
        <v>119</v>
      </c>
      <c r="H486">
        <v>115</v>
      </c>
      <c r="I486">
        <v>-4</v>
      </c>
      <c r="J486">
        <v>-2</v>
      </c>
      <c r="K486">
        <v>78</v>
      </c>
      <c r="L486" t="s">
        <v>481</v>
      </c>
      <c r="M486">
        <v>0.96581196581196582</v>
      </c>
      <c r="N486">
        <v>0.93103448275862066</v>
      </c>
      <c r="O486">
        <v>2</v>
      </c>
    </row>
    <row r="487" spans="1:15" x14ac:dyDescent="0.3">
      <c r="A487" s="1">
        <v>44230</v>
      </c>
      <c r="B487" s="2" t="s">
        <v>7</v>
      </c>
      <c r="C487">
        <v>224</v>
      </c>
      <c r="D487">
        <v>3418</v>
      </c>
      <c r="E487">
        <v>128</v>
      </c>
      <c r="F487">
        <v>42</v>
      </c>
      <c r="G487">
        <v>278</v>
      </c>
      <c r="H487">
        <v>242</v>
      </c>
      <c r="I487">
        <v>3</v>
      </c>
      <c r="J487">
        <v>-1</v>
      </c>
      <c r="K487">
        <v>185</v>
      </c>
      <c r="L487" t="s">
        <v>481</v>
      </c>
      <c r="M487">
        <v>1.024</v>
      </c>
      <c r="N487">
        <v>0.97674418604651159</v>
      </c>
      <c r="O487">
        <v>5</v>
      </c>
    </row>
    <row r="488" spans="1:15" x14ac:dyDescent="0.3">
      <c r="A488" s="1">
        <v>44230</v>
      </c>
      <c r="B488" s="2" t="s">
        <v>2</v>
      </c>
      <c r="C488">
        <v>208</v>
      </c>
      <c r="D488">
        <v>3830</v>
      </c>
      <c r="E488">
        <v>153</v>
      </c>
      <c r="F488">
        <v>25</v>
      </c>
      <c r="G488">
        <v>340</v>
      </c>
      <c r="H488">
        <v>204</v>
      </c>
      <c r="I488">
        <v>-12</v>
      </c>
      <c r="J488">
        <v>1</v>
      </c>
      <c r="K488">
        <v>237</v>
      </c>
      <c r="L488" t="s">
        <v>481</v>
      </c>
      <c r="M488">
        <v>0.92727272727272725</v>
      </c>
      <c r="N488">
        <v>1.0416666666666667</v>
      </c>
      <c r="O488">
        <v>4</v>
      </c>
    </row>
    <row r="489" spans="1:15" x14ac:dyDescent="0.3">
      <c r="A489" s="1">
        <v>44230</v>
      </c>
      <c r="B489" s="2" t="s">
        <v>3</v>
      </c>
      <c r="C489">
        <v>1091</v>
      </c>
      <c r="D489">
        <v>22399</v>
      </c>
      <c r="E489">
        <v>1070</v>
      </c>
      <c r="F489">
        <v>247</v>
      </c>
      <c r="G489">
        <v>1880</v>
      </c>
      <c r="H489">
        <v>1183</v>
      </c>
      <c r="I489">
        <v>-55</v>
      </c>
      <c r="J489">
        <v>0</v>
      </c>
      <c r="K489">
        <v>1188</v>
      </c>
      <c r="L489" t="s">
        <v>481</v>
      </c>
      <c r="M489">
        <v>0.95111111111111113</v>
      </c>
      <c r="N489">
        <v>1</v>
      </c>
      <c r="O489">
        <v>37</v>
      </c>
    </row>
    <row r="490" spans="1:15" x14ac:dyDescent="0.3">
      <c r="A490" s="1">
        <v>44231</v>
      </c>
      <c r="B490" s="2" t="s">
        <v>4</v>
      </c>
      <c r="C490">
        <v>207</v>
      </c>
      <c r="D490">
        <v>5713</v>
      </c>
      <c r="E490">
        <v>276</v>
      </c>
      <c r="F490">
        <v>85</v>
      </c>
      <c r="G490">
        <v>459</v>
      </c>
      <c r="H490">
        <v>259</v>
      </c>
      <c r="I490">
        <v>-6</v>
      </c>
      <c r="J490">
        <v>-2</v>
      </c>
      <c r="K490">
        <v>386</v>
      </c>
      <c r="L490" t="s">
        <v>482</v>
      </c>
      <c r="M490">
        <v>0.97872340425531912</v>
      </c>
      <c r="N490">
        <v>0.97701149425287359</v>
      </c>
      <c r="O490">
        <v>4</v>
      </c>
    </row>
    <row r="491" spans="1:15" x14ac:dyDescent="0.3">
      <c r="A491" s="1">
        <v>44231</v>
      </c>
      <c r="B491" s="2" t="s">
        <v>5</v>
      </c>
      <c r="C491">
        <v>76</v>
      </c>
      <c r="D491">
        <v>1810</v>
      </c>
      <c r="E491">
        <v>165</v>
      </c>
      <c r="F491">
        <v>25</v>
      </c>
      <c r="G491">
        <v>149</v>
      </c>
      <c r="H491">
        <v>102</v>
      </c>
      <c r="I491">
        <v>-8</v>
      </c>
      <c r="J491">
        <v>0</v>
      </c>
      <c r="K491">
        <v>143</v>
      </c>
      <c r="L491" t="s">
        <v>482</v>
      </c>
      <c r="M491">
        <v>0.95375722543352603</v>
      </c>
      <c r="N491">
        <v>1</v>
      </c>
      <c r="O491">
        <v>7</v>
      </c>
    </row>
    <row r="492" spans="1:15" x14ac:dyDescent="0.3">
      <c r="A492" s="1">
        <v>44231</v>
      </c>
      <c r="B492" s="2" t="s">
        <v>8</v>
      </c>
      <c r="C492">
        <v>73</v>
      </c>
      <c r="D492">
        <v>2023</v>
      </c>
      <c r="E492">
        <v>64</v>
      </c>
      <c r="F492">
        <v>27</v>
      </c>
      <c r="G492">
        <v>178</v>
      </c>
      <c r="H492">
        <v>82</v>
      </c>
      <c r="I492">
        <v>-1</v>
      </c>
      <c r="J492">
        <v>1</v>
      </c>
      <c r="K492">
        <v>163</v>
      </c>
      <c r="L492" t="s">
        <v>482</v>
      </c>
      <c r="M492">
        <v>0.98461538461538467</v>
      </c>
      <c r="N492">
        <v>1.0384615384615385</v>
      </c>
      <c r="O492">
        <v>1</v>
      </c>
    </row>
    <row r="493" spans="1:15" x14ac:dyDescent="0.3">
      <c r="A493" s="1">
        <v>44231</v>
      </c>
      <c r="B493" s="2" t="s">
        <v>9</v>
      </c>
      <c r="C493">
        <v>96</v>
      </c>
      <c r="D493">
        <v>2578</v>
      </c>
      <c r="E493">
        <v>154</v>
      </c>
      <c r="F493">
        <v>18</v>
      </c>
      <c r="G493">
        <v>372</v>
      </c>
      <c r="H493">
        <v>112</v>
      </c>
      <c r="I493">
        <v>-2</v>
      </c>
      <c r="J493">
        <v>3</v>
      </c>
      <c r="K493">
        <v>261</v>
      </c>
      <c r="L493" t="s">
        <v>482</v>
      </c>
      <c r="M493">
        <v>0.98717948717948723</v>
      </c>
      <c r="N493">
        <v>1.2</v>
      </c>
      <c r="O493">
        <v>3</v>
      </c>
    </row>
    <row r="494" spans="1:15" x14ac:dyDescent="0.3">
      <c r="A494" s="1">
        <v>44231</v>
      </c>
      <c r="B494" s="2" t="s">
        <v>6</v>
      </c>
      <c r="C494">
        <v>152</v>
      </c>
      <c r="D494">
        <v>2576</v>
      </c>
      <c r="E494">
        <v>112</v>
      </c>
      <c r="F494">
        <v>27</v>
      </c>
      <c r="G494">
        <v>124</v>
      </c>
      <c r="H494">
        <v>163</v>
      </c>
      <c r="I494">
        <v>-1</v>
      </c>
      <c r="J494">
        <v>0</v>
      </c>
      <c r="K494">
        <v>195</v>
      </c>
      <c r="L494" t="s">
        <v>482</v>
      </c>
      <c r="M494">
        <v>0.99115044247787609</v>
      </c>
      <c r="N494">
        <v>1</v>
      </c>
      <c r="O494">
        <v>5</v>
      </c>
    </row>
    <row r="495" spans="1:15" x14ac:dyDescent="0.3">
      <c r="A495" s="1">
        <v>44231</v>
      </c>
      <c r="B495" s="2" t="s">
        <v>7</v>
      </c>
      <c r="C495">
        <v>143</v>
      </c>
      <c r="D495">
        <v>3339</v>
      </c>
      <c r="E495">
        <v>131</v>
      </c>
      <c r="F495">
        <v>43</v>
      </c>
      <c r="G495">
        <v>281</v>
      </c>
      <c r="H495">
        <v>172</v>
      </c>
      <c r="I495">
        <v>3</v>
      </c>
      <c r="J495">
        <v>1</v>
      </c>
      <c r="K495">
        <v>249</v>
      </c>
      <c r="L495" t="s">
        <v>482</v>
      </c>
      <c r="M495">
        <v>1.0234375</v>
      </c>
      <c r="N495">
        <v>1.0238095238095237</v>
      </c>
      <c r="O495">
        <v>3</v>
      </c>
    </row>
    <row r="496" spans="1:15" x14ac:dyDescent="0.3">
      <c r="A496" s="1">
        <v>44231</v>
      </c>
      <c r="B496" s="2" t="s">
        <v>2</v>
      </c>
      <c r="C496">
        <v>127</v>
      </c>
      <c r="D496">
        <v>3647</v>
      </c>
      <c r="E496">
        <v>136</v>
      </c>
      <c r="F496">
        <v>26</v>
      </c>
      <c r="G496">
        <v>347</v>
      </c>
      <c r="H496">
        <v>135</v>
      </c>
      <c r="I496">
        <v>-17</v>
      </c>
      <c r="J496">
        <v>1</v>
      </c>
      <c r="K496">
        <v>311</v>
      </c>
      <c r="L496" t="s">
        <v>482</v>
      </c>
      <c r="M496">
        <v>0.88888888888888884</v>
      </c>
      <c r="N496">
        <v>1.04</v>
      </c>
      <c r="O496">
        <v>7</v>
      </c>
    </row>
    <row r="497" spans="1:15" x14ac:dyDescent="0.3">
      <c r="A497" s="1">
        <v>44231</v>
      </c>
      <c r="B497" s="2" t="s">
        <v>3</v>
      </c>
      <c r="C497">
        <v>874</v>
      </c>
      <c r="D497">
        <v>21686</v>
      </c>
      <c r="E497">
        <v>1038</v>
      </c>
      <c r="F497">
        <v>251</v>
      </c>
      <c r="G497">
        <v>1910</v>
      </c>
      <c r="H497">
        <v>1025</v>
      </c>
      <c r="I497">
        <v>-32</v>
      </c>
      <c r="J497">
        <v>4</v>
      </c>
      <c r="K497">
        <v>1708</v>
      </c>
      <c r="L497" t="s">
        <v>482</v>
      </c>
      <c r="M497">
        <v>0.97009345794392521</v>
      </c>
      <c r="N497">
        <v>1.0161943319838056</v>
      </c>
      <c r="O497">
        <v>30</v>
      </c>
    </row>
    <row r="498" spans="1:15" x14ac:dyDescent="0.3">
      <c r="A498" s="1">
        <v>44232</v>
      </c>
      <c r="B498" s="2" t="s">
        <v>4</v>
      </c>
      <c r="C498">
        <v>218</v>
      </c>
      <c r="D498">
        <v>5542</v>
      </c>
      <c r="E498">
        <v>287</v>
      </c>
      <c r="F498">
        <v>81</v>
      </c>
      <c r="G498">
        <v>469</v>
      </c>
      <c r="H498">
        <v>261</v>
      </c>
      <c r="I498">
        <v>11</v>
      </c>
      <c r="J498">
        <v>-4</v>
      </c>
      <c r="K498">
        <v>422</v>
      </c>
      <c r="L498" t="s">
        <v>483</v>
      </c>
      <c r="M498">
        <v>1.0398550724637681</v>
      </c>
      <c r="N498">
        <v>0.95294117647058818</v>
      </c>
      <c r="O498">
        <v>10</v>
      </c>
    </row>
    <row r="499" spans="1:15" x14ac:dyDescent="0.3">
      <c r="A499" s="1">
        <v>44232</v>
      </c>
      <c r="B499" s="2" t="s">
        <v>5</v>
      </c>
      <c r="C499">
        <v>88</v>
      </c>
      <c r="D499">
        <v>1765</v>
      </c>
      <c r="E499">
        <v>160</v>
      </c>
      <c r="F499">
        <v>25</v>
      </c>
      <c r="G499">
        <v>151</v>
      </c>
      <c r="H499">
        <v>90</v>
      </c>
      <c r="I499">
        <v>-5</v>
      </c>
      <c r="J499">
        <v>0</v>
      </c>
      <c r="K499">
        <v>133</v>
      </c>
      <c r="L499" t="s">
        <v>483</v>
      </c>
      <c r="M499">
        <v>0.96969696969696972</v>
      </c>
      <c r="N499">
        <v>1</v>
      </c>
      <c r="O499">
        <v>2</v>
      </c>
    </row>
    <row r="500" spans="1:15" x14ac:dyDescent="0.3">
      <c r="A500" s="1">
        <v>44232</v>
      </c>
      <c r="B500" s="2" t="s">
        <v>8</v>
      </c>
      <c r="C500">
        <v>81</v>
      </c>
      <c r="D500">
        <v>1957</v>
      </c>
      <c r="E500">
        <v>67</v>
      </c>
      <c r="F500">
        <v>30</v>
      </c>
      <c r="G500">
        <v>178</v>
      </c>
      <c r="H500">
        <v>91</v>
      </c>
      <c r="I500">
        <v>3</v>
      </c>
      <c r="J500">
        <v>3</v>
      </c>
      <c r="K500">
        <v>157</v>
      </c>
      <c r="L500" t="s">
        <v>483</v>
      </c>
      <c r="M500">
        <v>1.046875</v>
      </c>
      <c r="N500">
        <v>1.1111111111111112</v>
      </c>
      <c r="O500">
        <v>0</v>
      </c>
    </row>
    <row r="501" spans="1:15" x14ac:dyDescent="0.3">
      <c r="A501" s="1">
        <v>44232</v>
      </c>
      <c r="B501" s="2" t="s">
        <v>9</v>
      </c>
      <c r="C501">
        <v>61</v>
      </c>
      <c r="D501">
        <v>2409</v>
      </c>
      <c r="E501">
        <v>145</v>
      </c>
      <c r="F501">
        <v>17</v>
      </c>
      <c r="G501">
        <v>375</v>
      </c>
      <c r="H501">
        <v>77</v>
      </c>
      <c r="I501">
        <v>-9</v>
      </c>
      <c r="J501">
        <v>-1</v>
      </c>
      <c r="K501">
        <v>243</v>
      </c>
      <c r="L501" t="s">
        <v>483</v>
      </c>
      <c r="M501">
        <v>0.94155844155844159</v>
      </c>
      <c r="N501">
        <v>0.94444444444444442</v>
      </c>
      <c r="O501">
        <v>3</v>
      </c>
    </row>
    <row r="502" spans="1:15" x14ac:dyDescent="0.3">
      <c r="A502" s="1">
        <v>44232</v>
      </c>
      <c r="B502" s="2" t="s">
        <v>6</v>
      </c>
      <c r="C502">
        <v>103</v>
      </c>
      <c r="D502">
        <v>2562</v>
      </c>
      <c r="E502">
        <v>106</v>
      </c>
      <c r="F502">
        <v>24</v>
      </c>
      <c r="G502">
        <v>128</v>
      </c>
      <c r="H502">
        <v>114</v>
      </c>
      <c r="I502">
        <v>-6</v>
      </c>
      <c r="J502">
        <v>-3</v>
      </c>
      <c r="K502">
        <v>124</v>
      </c>
      <c r="L502" t="s">
        <v>483</v>
      </c>
      <c r="M502">
        <v>0.9464285714285714</v>
      </c>
      <c r="N502">
        <v>0.88888888888888884</v>
      </c>
      <c r="O502">
        <v>4</v>
      </c>
    </row>
    <row r="503" spans="1:15" x14ac:dyDescent="0.3">
      <c r="A503" s="1">
        <v>44232</v>
      </c>
      <c r="B503" s="2" t="s">
        <v>7</v>
      </c>
      <c r="C503">
        <v>116</v>
      </c>
      <c r="D503">
        <v>3183</v>
      </c>
      <c r="E503">
        <v>136</v>
      </c>
      <c r="F503">
        <v>44</v>
      </c>
      <c r="G503">
        <v>285</v>
      </c>
      <c r="H503">
        <v>130</v>
      </c>
      <c r="I503">
        <v>5</v>
      </c>
      <c r="J503">
        <v>1</v>
      </c>
      <c r="K503">
        <v>282</v>
      </c>
      <c r="L503" t="s">
        <v>483</v>
      </c>
      <c r="M503">
        <v>1.0381679389312977</v>
      </c>
      <c r="N503">
        <v>1.0232558139534884</v>
      </c>
      <c r="O503">
        <v>4</v>
      </c>
    </row>
    <row r="504" spans="1:15" x14ac:dyDescent="0.3">
      <c r="A504" s="1">
        <v>44232</v>
      </c>
      <c r="B504" s="2" t="s">
        <v>2</v>
      </c>
      <c r="C504">
        <v>141</v>
      </c>
      <c r="D504">
        <v>3469</v>
      </c>
      <c r="E504">
        <v>135</v>
      </c>
      <c r="F504">
        <v>26</v>
      </c>
      <c r="G504">
        <v>348</v>
      </c>
      <c r="H504">
        <v>156</v>
      </c>
      <c r="I504">
        <v>-1</v>
      </c>
      <c r="J504">
        <v>0</v>
      </c>
      <c r="K504">
        <v>333</v>
      </c>
      <c r="L504" t="s">
        <v>483</v>
      </c>
      <c r="M504">
        <v>0.99264705882352944</v>
      </c>
      <c r="N504">
        <v>1</v>
      </c>
      <c r="O504">
        <v>1</v>
      </c>
    </row>
    <row r="505" spans="1:15" x14ac:dyDescent="0.3">
      <c r="A505" s="1">
        <v>44232</v>
      </c>
      <c r="B505" s="2" t="s">
        <v>3</v>
      </c>
      <c r="C505">
        <v>808</v>
      </c>
      <c r="D505">
        <v>20887</v>
      </c>
      <c r="E505">
        <v>1036</v>
      </c>
      <c r="F505">
        <v>247</v>
      </c>
      <c r="G505">
        <v>1934</v>
      </c>
      <c r="H505">
        <v>919</v>
      </c>
      <c r="I505">
        <v>-2</v>
      </c>
      <c r="J505">
        <v>-4</v>
      </c>
      <c r="K505">
        <v>1694</v>
      </c>
      <c r="L505" t="s">
        <v>483</v>
      </c>
      <c r="M505">
        <v>0.9980732177263969</v>
      </c>
      <c r="N505">
        <v>0.98406374501992033</v>
      </c>
      <c r="O505">
        <v>24</v>
      </c>
    </row>
    <row r="506" spans="1:15" x14ac:dyDescent="0.3">
      <c r="A506" s="1">
        <v>44233</v>
      </c>
      <c r="B506" s="2" t="s">
        <v>4</v>
      </c>
      <c r="C506">
        <v>264</v>
      </c>
      <c r="D506">
        <v>5319</v>
      </c>
      <c r="E506">
        <v>286</v>
      </c>
      <c r="F506">
        <v>81</v>
      </c>
      <c r="G506">
        <v>477</v>
      </c>
      <c r="H506">
        <v>285</v>
      </c>
      <c r="I506">
        <v>-1</v>
      </c>
      <c r="J506">
        <v>0</v>
      </c>
      <c r="K506">
        <v>500</v>
      </c>
      <c r="L506" t="s">
        <v>484</v>
      </c>
      <c r="M506">
        <v>0.99651567944250874</v>
      </c>
      <c r="N506">
        <v>1</v>
      </c>
      <c r="O506">
        <v>8</v>
      </c>
    </row>
    <row r="507" spans="1:15" x14ac:dyDescent="0.3">
      <c r="A507" s="1">
        <v>44233</v>
      </c>
      <c r="B507" s="2" t="s">
        <v>5</v>
      </c>
      <c r="C507">
        <v>55</v>
      </c>
      <c r="D507">
        <v>1694</v>
      </c>
      <c r="E507">
        <v>150</v>
      </c>
      <c r="F507">
        <v>24</v>
      </c>
      <c r="G507">
        <v>153</v>
      </c>
      <c r="H507">
        <v>52</v>
      </c>
      <c r="I507">
        <v>-10</v>
      </c>
      <c r="J507">
        <v>-1</v>
      </c>
      <c r="K507">
        <v>121</v>
      </c>
      <c r="L507" t="s">
        <v>484</v>
      </c>
      <c r="M507">
        <v>0.9375</v>
      </c>
      <c r="N507">
        <v>0.96</v>
      </c>
      <c r="O507">
        <v>2</v>
      </c>
    </row>
    <row r="508" spans="1:15" x14ac:dyDescent="0.3">
      <c r="A508" s="1">
        <v>44233</v>
      </c>
      <c r="B508" s="2" t="s">
        <v>8</v>
      </c>
      <c r="C508">
        <v>88</v>
      </c>
      <c r="D508">
        <v>1863</v>
      </c>
      <c r="E508">
        <v>67</v>
      </c>
      <c r="F508">
        <v>28</v>
      </c>
      <c r="G508">
        <v>180</v>
      </c>
      <c r="H508">
        <v>92</v>
      </c>
      <c r="I508">
        <v>0</v>
      </c>
      <c r="J508">
        <v>-2</v>
      </c>
      <c r="K508">
        <v>184</v>
      </c>
      <c r="L508" t="s">
        <v>484</v>
      </c>
      <c r="M508">
        <v>1</v>
      </c>
      <c r="N508">
        <v>0.93333333333333335</v>
      </c>
      <c r="O508">
        <v>2</v>
      </c>
    </row>
    <row r="509" spans="1:15" x14ac:dyDescent="0.3">
      <c r="A509" s="1">
        <v>44233</v>
      </c>
      <c r="B509" s="2" t="s">
        <v>9</v>
      </c>
      <c r="C509">
        <v>84</v>
      </c>
      <c r="D509">
        <v>2240</v>
      </c>
      <c r="E509">
        <v>153</v>
      </c>
      <c r="F509">
        <v>18</v>
      </c>
      <c r="G509">
        <v>378</v>
      </c>
      <c r="H509">
        <v>81</v>
      </c>
      <c r="I509">
        <v>8</v>
      </c>
      <c r="J509">
        <v>1</v>
      </c>
      <c r="K509">
        <v>247</v>
      </c>
      <c r="L509" t="s">
        <v>484</v>
      </c>
      <c r="M509">
        <v>1.0551724137931036</v>
      </c>
      <c r="N509">
        <v>1.0588235294117647</v>
      </c>
      <c r="O509">
        <v>3</v>
      </c>
    </row>
    <row r="510" spans="1:15" x14ac:dyDescent="0.3">
      <c r="A510" s="1">
        <v>44233</v>
      </c>
      <c r="B510" s="2" t="s">
        <v>6</v>
      </c>
      <c r="C510">
        <v>134</v>
      </c>
      <c r="D510">
        <v>2526</v>
      </c>
      <c r="E510">
        <v>105</v>
      </c>
      <c r="F510">
        <v>23</v>
      </c>
      <c r="G510">
        <v>128</v>
      </c>
      <c r="H510">
        <v>112</v>
      </c>
      <c r="I510">
        <v>-1</v>
      </c>
      <c r="J510">
        <v>-1</v>
      </c>
      <c r="K510">
        <v>148</v>
      </c>
      <c r="L510" t="s">
        <v>484</v>
      </c>
      <c r="M510">
        <v>0.99056603773584906</v>
      </c>
      <c r="N510">
        <v>0.95833333333333337</v>
      </c>
      <c r="O510">
        <v>0</v>
      </c>
    </row>
    <row r="511" spans="1:15" x14ac:dyDescent="0.3">
      <c r="A511" s="1">
        <v>44233</v>
      </c>
      <c r="B511" s="2" t="s">
        <v>7</v>
      </c>
      <c r="C511">
        <v>100</v>
      </c>
      <c r="D511">
        <v>3023</v>
      </c>
      <c r="E511">
        <v>129</v>
      </c>
      <c r="F511">
        <v>44</v>
      </c>
      <c r="G511">
        <v>286</v>
      </c>
      <c r="H511">
        <v>108</v>
      </c>
      <c r="I511">
        <v>-7</v>
      </c>
      <c r="J511">
        <v>0</v>
      </c>
      <c r="K511">
        <v>267</v>
      </c>
      <c r="L511" t="s">
        <v>484</v>
      </c>
      <c r="M511">
        <v>0.94852941176470584</v>
      </c>
      <c r="N511">
        <v>1</v>
      </c>
      <c r="O511">
        <v>1</v>
      </c>
    </row>
    <row r="512" spans="1:15" x14ac:dyDescent="0.3">
      <c r="A512" s="1">
        <v>44233</v>
      </c>
      <c r="B512" s="2" t="s">
        <v>2</v>
      </c>
      <c r="C512">
        <v>94</v>
      </c>
      <c r="D512">
        <v>3301</v>
      </c>
      <c r="E512">
        <v>136</v>
      </c>
      <c r="F512">
        <v>30</v>
      </c>
      <c r="G512">
        <v>348</v>
      </c>
      <c r="H512">
        <v>103</v>
      </c>
      <c r="I512">
        <v>1</v>
      </c>
      <c r="J512">
        <v>4</v>
      </c>
      <c r="K512">
        <v>271</v>
      </c>
      <c r="L512" t="s">
        <v>484</v>
      </c>
      <c r="M512">
        <v>1.0074074074074073</v>
      </c>
      <c r="N512">
        <v>1.1538461538461537</v>
      </c>
      <c r="O512">
        <v>0</v>
      </c>
    </row>
    <row r="513" spans="1:15" x14ac:dyDescent="0.3">
      <c r="A513" s="1">
        <v>44233</v>
      </c>
      <c r="B513" s="2" t="s">
        <v>3</v>
      </c>
      <c r="C513">
        <v>819</v>
      </c>
      <c r="D513">
        <v>19966</v>
      </c>
      <c r="E513">
        <v>1026</v>
      </c>
      <c r="F513">
        <v>248</v>
      </c>
      <c r="G513">
        <v>1950</v>
      </c>
      <c r="H513">
        <v>833</v>
      </c>
      <c r="I513">
        <v>-10</v>
      </c>
      <c r="J513">
        <v>1</v>
      </c>
      <c r="K513">
        <v>1738</v>
      </c>
      <c r="L513" t="s">
        <v>484</v>
      </c>
      <c r="M513">
        <v>0.99034749034749037</v>
      </c>
      <c r="N513">
        <v>1.0040485829959513</v>
      </c>
      <c r="O513">
        <v>16</v>
      </c>
    </row>
    <row r="514" spans="1:15" x14ac:dyDescent="0.3">
      <c r="A514" s="1">
        <v>44234</v>
      </c>
      <c r="B514" s="2" t="s">
        <v>4</v>
      </c>
      <c r="C514">
        <v>166</v>
      </c>
      <c r="D514">
        <v>5161</v>
      </c>
      <c r="E514">
        <v>287</v>
      </c>
      <c r="F514">
        <v>85</v>
      </c>
      <c r="G514">
        <v>482</v>
      </c>
      <c r="H514">
        <v>177</v>
      </c>
      <c r="I514">
        <v>1</v>
      </c>
      <c r="J514">
        <v>4</v>
      </c>
      <c r="K514">
        <v>331</v>
      </c>
      <c r="L514" t="s">
        <v>485</v>
      </c>
      <c r="M514">
        <v>1.0034965034965035</v>
      </c>
      <c r="N514">
        <v>1.0493827160493827</v>
      </c>
      <c r="O514">
        <v>5</v>
      </c>
    </row>
    <row r="515" spans="1:15" x14ac:dyDescent="0.3">
      <c r="A515" s="1">
        <v>44234</v>
      </c>
      <c r="B515" s="2" t="s">
        <v>5</v>
      </c>
      <c r="C515">
        <v>49</v>
      </c>
      <c r="D515">
        <v>1661</v>
      </c>
      <c r="E515">
        <v>158</v>
      </c>
      <c r="F515">
        <v>23</v>
      </c>
      <c r="G515">
        <v>154</v>
      </c>
      <c r="H515">
        <v>50</v>
      </c>
      <c r="I515">
        <v>8</v>
      </c>
      <c r="J515">
        <v>-1</v>
      </c>
      <c r="K515">
        <v>82</v>
      </c>
      <c r="L515" t="s">
        <v>485</v>
      </c>
      <c r="M515">
        <v>1.0533333333333332</v>
      </c>
      <c r="N515">
        <v>0.95833333333333337</v>
      </c>
      <c r="O515">
        <v>1</v>
      </c>
    </row>
    <row r="516" spans="1:15" x14ac:dyDescent="0.3">
      <c r="A516" s="1">
        <v>44234</v>
      </c>
      <c r="B516" s="2" t="s">
        <v>8</v>
      </c>
      <c r="C516">
        <v>50</v>
      </c>
      <c r="D516">
        <v>1767</v>
      </c>
      <c r="E516">
        <v>68</v>
      </c>
      <c r="F516">
        <v>29</v>
      </c>
      <c r="G516">
        <v>182</v>
      </c>
      <c r="H516">
        <v>51</v>
      </c>
      <c r="I516">
        <v>1</v>
      </c>
      <c r="J516">
        <v>1</v>
      </c>
      <c r="K516">
        <v>145</v>
      </c>
      <c r="L516" t="s">
        <v>485</v>
      </c>
      <c r="M516">
        <v>1.0149253731343284</v>
      </c>
      <c r="N516">
        <v>1.0357142857142858</v>
      </c>
      <c r="O516">
        <v>2</v>
      </c>
    </row>
    <row r="517" spans="1:15" x14ac:dyDescent="0.3">
      <c r="A517" s="1">
        <v>44234</v>
      </c>
      <c r="B517" s="2" t="s">
        <v>9</v>
      </c>
      <c r="C517">
        <v>43</v>
      </c>
      <c r="D517">
        <v>2096</v>
      </c>
      <c r="E517">
        <v>161</v>
      </c>
      <c r="F517">
        <v>20</v>
      </c>
      <c r="G517">
        <v>380</v>
      </c>
      <c r="H517">
        <v>44</v>
      </c>
      <c r="I517">
        <v>8</v>
      </c>
      <c r="J517">
        <v>2</v>
      </c>
      <c r="K517">
        <v>186</v>
      </c>
      <c r="L517" t="s">
        <v>485</v>
      </c>
      <c r="M517">
        <v>1.0522875816993464</v>
      </c>
      <c r="N517">
        <v>1.1111111111111112</v>
      </c>
      <c r="O517">
        <v>2</v>
      </c>
    </row>
    <row r="518" spans="1:15" x14ac:dyDescent="0.3">
      <c r="A518" s="1">
        <v>44234</v>
      </c>
      <c r="B518" s="2" t="s">
        <v>6</v>
      </c>
      <c r="C518">
        <v>48</v>
      </c>
      <c r="D518">
        <v>2483</v>
      </c>
      <c r="E518">
        <v>111</v>
      </c>
      <c r="F518">
        <v>21</v>
      </c>
      <c r="G518">
        <v>128</v>
      </c>
      <c r="H518">
        <v>59</v>
      </c>
      <c r="I518">
        <v>6</v>
      </c>
      <c r="J518">
        <v>-2</v>
      </c>
      <c r="K518">
        <v>102</v>
      </c>
      <c r="L518" t="s">
        <v>485</v>
      </c>
      <c r="M518">
        <v>1.0571428571428572</v>
      </c>
      <c r="N518">
        <v>0.91304347826086951</v>
      </c>
      <c r="O518">
        <v>0</v>
      </c>
    </row>
    <row r="519" spans="1:15" x14ac:dyDescent="0.3">
      <c r="A519" s="1">
        <v>44234</v>
      </c>
      <c r="B519" s="2" t="s">
        <v>7</v>
      </c>
      <c r="C519">
        <v>60</v>
      </c>
      <c r="D519">
        <v>2932</v>
      </c>
      <c r="E519">
        <v>133</v>
      </c>
      <c r="F519">
        <v>47</v>
      </c>
      <c r="G519">
        <v>290</v>
      </c>
      <c r="H519">
        <v>73</v>
      </c>
      <c r="I519">
        <v>4</v>
      </c>
      <c r="J519">
        <v>3</v>
      </c>
      <c r="K519">
        <v>160</v>
      </c>
      <c r="L519" t="s">
        <v>485</v>
      </c>
      <c r="M519">
        <v>1.0310077519379846</v>
      </c>
      <c r="N519">
        <v>1.0681818181818181</v>
      </c>
      <c r="O519">
        <v>4</v>
      </c>
    </row>
    <row r="520" spans="1:15" x14ac:dyDescent="0.3">
      <c r="A520" s="1">
        <v>44234</v>
      </c>
      <c r="B520" s="2" t="s">
        <v>2</v>
      </c>
      <c r="C520">
        <v>74</v>
      </c>
      <c r="D520">
        <v>3146</v>
      </c>
      <c r="E520">
        <v>145</v>
      </c>
      <c r="F520">
        <v>29</v>
      </c>
      <c r="G520">
        <v>351</v>
      </c>
      <c r="H520">
        <v>71</v>
      </c>
      <c r="I520">
        <v>9</v>
      </c>
      <c r="J520">
        <v>-1</v>
      </c>
      <c r="K520">
        <v>223</v>
      </c>
      <c r="L520" t="s">
        <v>485</v>
      </c>
      <c r="M520">
        <v>1.0661764705882353</v>
      </c>
      <c r="N520">
        <v>0.96666666666666667</v>
      </c>
      <c r="O520">
        <v>3</v>
      </c>
    </row>
    <row r="521" spans="1:15" x14ac:dyDescent="0.3">
      <c r="A521" s="1">
        <v>44234</v>
      </c>
      <c r="B521" s="2" t="s">
        <v>3</v>
      </c>
      <c r="C521">
        <v>490</v>
      </c>
      <c r="D521">
        <v>19246</v>
      </c>
      <c r="E521">
        <v>1063</v>
      </c>
      <c r="F521">
        <v>254</v>
      </c>
      <c r="G521">
        <v>1967</v>
      </c>
      <c r="H521">
        <v>525</v>
      </c>
      <c r="I521">
        <v>37</v>
      </c>
      <c r="J521">
        <v>6</v>
      </c>
      <c r="K521">
        <v>1229</v>
      </c>
      <c r="L521" t="s">
        <v>485</v>
      </c>
      <c r="M521">
        <v>1.0360623781676412</v>
      </c>
      <c r="N521">
        <v>1.0241935483870968</v>
      </c>
      <c r="O521">
        <v>17</v>
      </c>
    </row>
  </sheetData>
  <phoneticPr fontId="3" type="noConversion"/>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F036CF-D8D0-4891-8252-2744D7BB76C5}">
  <sheetPr codeName="Sheet2"/>
  <dimension ref="D30:K96"/>
  <sheetViews>
    <sheetView showGridLines="0" workbookViewId="0">
      <selection activeCell="A69" sqref="A69:XFD69"/>
    </sheetView>
  </sheetViews>
  <sheetFormatPr defaultRowHeight="14.4" x14ac:dyDescent="0.3"/>
  <cols>
    <col min="4" max="4" width="12.77734375" bestFit="1" customWidth="1"/>
    <col min="5" max="5" width="12.88671875" bestFit="1" customWidth="1"/>
    <col min="6" max="6" width="11.21875" bestFit="1" customWidth="1"/>
    <col min="7" max="7" width="10" bestFit="1" customWidth="1"/>
    <col min="8" max="8" width="7.88671875" bestFit="1" customWidth="1"/>
  </cols>
  <sheetData>
    <row r="30" spans="4:8" x14ac:dyDescent="0.3">
      <c r="D30" s="11" t="s">
        <v>341</v>
      </c>
      <c r="E30" t="s">
        <v>395</v>
      </c>
      <c r="F30" t="s">
        <v>396</v>
      </c>
      <c r="G30" t="s">
        <v>368</v>
      </c>
      <c r="H30" t="s">
        <v>397</v>
      </c>
    </row>
    <row r="31" spans="4:8" x14ac:dyDescent="0.3">
      <c r="D31" s="12" t="s">
        <v>369</v>
      </c>
      <c r="E31" s="2">
        <v>40</v>
      </c>
      <c r="F31" s="2">
        <v>97</v>
      </c>
      <c r="G31" s="2">
        <v>23</v>
      </c>
      <c r="H31" s="2">
        <v>1114</v>
      </c>
    </row>
    <row r="32" spans="4:8" x14ac:dyDescent="0.3">
      <c r="D32" s="12" t="s">
        <v>370</v>
      </c>
      <c r="E32" s="2">
        <v>53</v>
      </c>
      <c r="F32" s="2">
        <v>98</v>
      </c>
      <c r="G32" s="2">
        <v>22</v>
      </c>
      <c r="H32" s="2">
        <v>824</v>
      </c>
    </row>
    <row r="33" spans="4:8" x14ac:dyDescent="0.3">
      <c r="D33" s="12" t="s">
        <v>371</v>
      </c>
      <c r="E33" s="2">
        <v>37</v>
      </c>
      <c r="F33" s="2">
        <v>87</v>
      </c>
      <c r="G33" s="2">
        <v>17</v>
      </c>
      <c r="H33" s="2">
        <v>614</v>
      </c>
    </row>
    <row r="34" spans="4:8" x14ac:dyDescent="0.3">
      <c r="D34" s="12" t="s">
        <v>372</v>
      </c>
      <c r="E34" s="2">
        <v>47</v>
      </c>
      <c r="F34" s="2">
        <v>84</v>
      </c>
      <c r="G34" s="2">
        <v>16</v>
      </c>
      <c r="H34" s="2">
        <v>1481</v>
      </c>
    </row>
    <row r="35" spans="4:8" x14ac:dyDescent="0.3">
      <c r="D35" s="12" t="s">
        <v>373</v>
      </c>
      <c r="E35" s="2">
        <v>43</v>
      </c>
      <c r="F35" s="2">
        <v>76</v>
      </c>
      <c r="G35" s="2">
        <v>14</v>
      </c>
      <c r="H35" s="2">
        <v>898</v>
      </c>
    </row>
    <row r="36" spans="4:8" x14ac:dyDescent="0.3">
      <c r="D36" s="12" t="s">
        <v>374</v>
      </c>
      <c r="E36" s="2">
        <v>43</v>
      </c>
      <c r="F36" s="2">
        <v>78</v>
      </c>
      <c r="G36" s="2">
        <v>13</v>
      </c>
      <c r="H36" s="2">
        <v>1554</v>
      </c>
    </row>
    <row r="37" spans="4:8" x14ac:dyDescent="0.3">
      <c r="D37" s="12" t="s">
        <v>375</v>
      </c>
      <c r="E37" s="2">
        <v>51</v>
      </c>
      <c r="F37" s="2">
        <v>74</v>
      </c>
      <c r="G37" s="2">
        <v>13</v>
      </c>
      <c r="H37" s="2">
        <v>1672</v>
      </c>
    </row>
    <row r="38" spans="4:8" x14ac:dyDescent="0.3">
      <c r="D38" s="12" t="s">
        <v>376</v>
      </c>
      <c r="E38" s="2">
        <v>42</v>
      </c>
      <c r="F38" s="2">
        <v>74</v>
      </c>
      <c r="G38" s="2">
        <v>13</v>
      </c>
      <c r="H38" s="2">
        <v>1260</v>
      </c>
    </row>
    <row r="39" spans="4:8" x14ac:dyDescent="0.3">
      <c r="D39" s="12" t="s">
        <v>377</v>
      </c>
      <c r="E39" s="2">
        <v>65</v>
      </c>
      <c r="F39" s="2">
        <v>75</v>
      </c>
      <c r="G39" s="2">
        <v>13</v>
      </c>
      <c r="H39" s="2">
        <v>809</v>
      </c>
    </row>
    <row r="40" spans="4:8" x14ac:dyDescent="0.3">
      <c r="D40" s="12" t="s">
        <v>378</v>
      </c>
      <c r="E40" s="2">
        <v>21</v>
      </c>
      <c r="F40" s="2">
        <v>72</v>
      </c>
      <c r="G40" s="2">
        <v>14</v>
      </c>
      <c r="H40" s="2">
        <v>515</v>
      </c>
    </row>
    <row r="41" spans="4:8" x14ac:dyDescent="0.3">
      <c r="D41" s="12" t="s">
        <v>379</v>
      </c>
      <c r="E41" s="2">
        <v>45</v>
      </c>
      <c r="F41" s="2">
        <v>63</v>
      </c>
      <c r="G41" s="2">
        <v>13</v>
      </c>
      <c r="H41" s="2">
        <v>1220</v>
      </c>
    </row>
    <row r="42" spans="4:8" x14ac:dyDescent="0.3">
      <c r="D42" s="12" t="s">
        <v>380</v>
      </c>
      <c r="E42" s="2">
        <v>61</v>
      </c>
      <c r="F42" s="2">
        <v>69</v>
      </c>
      <c r="G42" s="2">
        <v>12</v>
      </c>
      <c r="H42" s="2">
        <v>1069</v>
      </c>
    </row>
    <row r="43" spans="4:8" x14ac:dyDescent="0.3">
      <c r="D43" s="12" t="s">
        <v>381</v>
      </c>
      <c r="E43" s="2">
        <v>44</v>
      </c>
      <c r="F43" s="2">
        <v>64</v>
      </c>
      <c r="G43" s="2">
        <v>14</v>
      </c>
      <c r="H43" s="2">
        <v>975</v>
      </c>
    </row>
    <row r="44" spans="4:8" x14ac:dyDescent="0.3">
      <c r="D44" s="12" t="s">
        <v>382</v>
      </c>
      <c r="E44" s="2">
        <v>77</v>
      </c>
      <c r="F44" s="2">
        <v>58</v>
      </c>
      <c r="G44" s="2">
        <v>14</v>
      </c>
      <c r="H44" s="2">
        <v>1473</v>
      </c>
    </row>
    <row r="45" spans="4:8" x14ac:dyDescent="0.3">
      <c r="D45" s="12" t="s">
        <v>383</v>
      </c>
      <c r="E45" s="2">
        <v>67</v>
      </c>
      <c r="F45" s="2">
        <v>59</v>
      </c>
      <c r="G45" s="2">
        <v>14</v>
      </c>
      <c r="H45" s="2">
        <v>962</v>
      </c>
    </row>
    <row r="46" spans="4:8" x14ac:dyDescent="0.3">
      <c r="D46" s="12" t="s">
        <v>384</v>
      </c>
      <c r="E46" s="2">
        <v>53</v>
      </c>
      <c r="F46" s="2">
        <v>60</v>
      </c>
      <c r="G46" s="2">
        <v>14</v>
      </c>
      <c r="H46" s="2">
        <v>1114</v>
      </c>
    </row>
    <row r="47" spans="4:8" x14ac:dyDescent="0.3">
      <c r="D47" s="12" t="s">
        <v>385</v>
      </c>
      <c r="E47" s="2">
        <v>23</v>
      </c>
      <c r="F47" s="2">
        <v>63</v>
      </c>
      <c r="G47" s="2">
        <v>15</v>
      </c>
      <c r="H47" s="2">
        <v>789</v>
      </c>
    </row>
    <row r="48" spans="4:8" x14ac:dyDescent="0.3">
      <c r="D48" s="12" t="s">
        <v>386</v>
      </c>
      <c r="E48" s="2">
        <v>64</v>
      </c>
      <c r="F48" s="2">
        <v>56</v>
      </c>
      <c r="G48" s="2">
        <v>15</v>
      </c>
      <c r="H48" s="2">
        <v>1902</v>
      </c>
    </row>
    <row r="49" spans="4:8" x14ac:dyDescent="0.3">
      <c r="D49" s="12" t="s">
        <v>367</v>
      </c>
      <c r="E49" s="2">
        <v>60</v>
      </c>
      <c r="F49" s="2">
        <v>55</v>
      </c>
      <c r="G49" s="2">
        <v>17</v>
      </c>
      <c r="H49" s="2">
        <v>2880</v>
      </c>
    </row>
    <row r="50" spans="4:8" x14ac:dyDescent="0.3">
      <c r="D50" s="12" t="s">
        <v>343</v>
      </c>
      <c r="E50" s="2">
        <v>67</v>
      </c>
      <c r="F50" s="2">
        <v>56</v>
      </c>
      <c r="G50" s="2">
        <v>18</v>
      </c>
      <c r="H50" s="2">
        <v>2461</v>
      </c>
    </row>
    <row r="51" spans="4:8" x14ac:dyDescent="0.3">
      <c r="D51" s="12" t="s">
        <v>344</v>
      </c>
      <c r="E51" s="2">
        <v>59</v>
      </c>
      <c r="F51" s="2">
        <v>56</v>
      </c>
      <c r="G51" s="2">
        <v>17</v>
      </c>
      <c r="H51" s="2">
        <v>1231</v>
      </c>
    </row>
    <row r="52" spans="4:8" x14ac:dyDescent="0.3">
      <c r="D52" s="12" t="s">
        <v>345</v>
      </c>
      <c r="E52" s="2">
        <v>36</v>
      </c>
      <c r="F52" s="2">
        <v>61</v>
      </c>
      <c r="G52" s="2">
        <v>18</v>
      </c>
      <c r="H52" s="2">
        <v>404</v>
      </c>
    </row>
    <row r="53" spans="4:8" x14ac:dyDescent="0.3">
      <c r="D53" s="12" t="s">
        <v>346</v>
      </c>
      <c r="E53" s="2">
        <v>48</v>
      </c>
      <c r="F53" s="2">
        <v>66</v>
      </c>
      <c r="G53" s="2">
        <v>17</v>
      </c>
      <c r="H53" s="2">
        <v>1214</v>
      </c>
    </row>
    <row r="54" spans="4:8" x14ac:dyDescent="0.3">
      <c r="D54" s="12" t="s">
        <v>347</v>
      </c>
      <c r="E54" s="2">
        <v>54</v>
      </c>
      <c r="F54" s="2">
        <v>71</v>
      </c>
      <c r="G54" s="2">
        <v>18</v>
      </c>
      <c r="H54" s="2">
        <v>827</v>
      </c>
    </row>
    <row r="55" spans="4:8" x14ac:dyDescent="0.3">
      <c r="D55" s="12" t="s">
        <v>348</v>
      </c>
      <c r="E55" s="2">
        <v>121</v>
      </c>
      <c r="F55" s="2">
        <v>71</v>
      </c>
      <c r="G55" s="2">
        <v>18</v>
      </c>
      <c r="H55" s="2">
        <v>1445</v>
      </c>
    </row>
    <row r="56" spans="4:8" x14ac:dyDescent="0.3">
      <c r="D56" s="12" t="s">
        <v>349</v>
      </c>
      <c r="E56" s="2">
        <v>134</v>
      </c>
      <c r="F56" s="2">
        <v>70</v>
      </c>
      <c r="G56" s="2">
        <v>19</v>
      </c>
      <c r="H56" s="2">
        <v>1614</v>
      </c>
    </row>
    <row r="57" spans="4:8" x14ac:dyDescent="0.3">
      <c r="D57" s="12" t="s">
        <v>350</v>
      </c>
      <c r="E57" s="2">
        <v>107</v>
      </c>
      <c r="F57" s="2">
        <v>67</v>
      </c>
      <c r="G57" s="2">
        <v>20</v>
      </c>
      <c r="H57" s="2">
        <v>1455</v>
      </c>
    </row>
    <row r="58" spans="4:8" x14ac:dyDescent="0.3">
      <c r="D58" s="12" t="s">
        <v>351</v>
      </c>
      <c r="E58" s="2">
        <v>118</v>
      </c>
      <c r="F58" s="2">
        <v>72</v>
      </c>
      <c r="G58" s="2">
        <v>20</v>
      </c>
      <c r="H58" s="2">
        <v>1205</v>
      </c>
    </row>
    <row r="59" spans="4:8" x14ac:dyDescent="0.3">
      <c r="D59" s="12" t="s">
        <v>352</v>
      </c>
      <c r="E59" s="2">
        <v>46</v>
      </c>
      <c r="F59" s="2">
        <v>77</v>
      </c>
      <c r="G59" s="2">
        <v>18</v>
      </c>
      <c r="H59" s="2">
        <v>711</v>
      </c>
    </row>
    <row r="60" spans="4:8" x14ac:dyDescent="0.3">
      <c r="D60" s="12" t="s">
        <v>353</v>
      </c>
      <c r="E60" s="2">
        <v>118</v>
      </c>
      <c r="F60" s="2">
        <v>83</v>
      </c>
      <c r="G60" s="2">
        <v>19</v>
      </c>
      <c r="H60" s="2">
        <v>945</v>
      </c>
    </row>
    <row r="61" spans="4:8" x14ac:dyDescent="0.3">
      <c r="D61" s="12" t="s">
        <v>354</v>
      </c>
      <c r="E61" s="2">
        <v>86</v>
      </c>
      <c r="F61" s="2">
        <v>81</v>
      </c>
      <c r="G61" s="2">
        <v>17</v>
      </c>
      <c r="H61" s="2">
        <v>633</v>
      </c>
    </row>
    <row r="62" spans="4:8" x14ac:dyDescent="0.3">
      <c r="D62" s="12" t="s">
        <v>355</v>
      </c>
      <c r="E62" s="2">
        <v>187</v>
      </c>
      <c r="F62" s="2">
        <v>79</v>
      </c>
      <c r="G62" s="2">
        <v>18</v>
      </c>
      <c r="H62" s="2">
        <v>1505</v>
      </c>
    </row>
    <row r="63" spans="4:8" x14ac:dyDescent="0.3">
      <c r="D63" s="12" t="s">
        <v>356</v>
      </c>
      <c r="E63" s="2">
        <v>158</v>
      </c>
      <c r="F63" s="2">
        <v>85</v>
      </c>
      <c r="G63" s="2">
        <v>19</v>
      </c>
      <c r="H63" s="2">
        <v>1227</v>
      </c>
    </row>
    <row r="64" spans="4:8" x14ac:dyDescent="0.3">
      <c r="D64" s="12" t="s">
        <v>387</v>
      </c>
      <c r="E64" s="2">
        <v>151</v>
      </c>
      <c r="F64" s="2">
        <v>88</v>
      </c>
      <c r="G64" s="2">
        <v>21</v>
      </c>
      <c r="H64" s="2">
        <v>1057</v>
      </c>
    </row>
    <row r="65" spans="4:11" x14ac:dyDescent="0.3">
      <c r="D65" s="12" t="s">
        <v>398</v>
      </c>
      <c r="E65" s="2">
        <v>199</v>
      </c>
      <c r="F65" s="2">
        <v>84</v>
      </c>
      <c r="G65" s="2">
        <v>18</v>
      </c>
      <c r="H65" s="2">
        <v>1762</v>
      </c>
    </row>
    <row r="66" spans="4:11" x14ac:dyDescent="0.3">
      <c r="D66" s="12" t="s">
        <v>399</v>
      </c>
      <c r="E66" s="2">
        <v>184</v>
      </c>
      <c r="F66" s="2">
        <v>83</v>
      </c>
      <c r="G66" s="2">
        <v>18</v>
      </c>
      <c r="H66" s="2">
        <v>1489</v>
      </c>
    </row>
    <row r="67" spans="4:11" x14ac:dyDescent="0.3">
      <c r="D67" s="12" t="s">
        <v>400</v>
      </c>
      <c r="E67" s="2">
        <v>158</v>
      </c>
      <c r="F67" s="2">
        <v>93</v>
      </c>
      <c r="G67" s="2">
        <v>21</v>
      </c>
      <c r="H67" s="2">
        <v>1255</v>
      </c>
    </row>
    <row r="68" spans="4:11" x14ac:dyDescent="0.3">
      <c r="D68" s="12" t="s">
        <v>401</v>
      </c>
      <c r="E68" s="2">
        <v>179</v>
      </c>
      <c r="F68" s="2">
        <v>95</v>
      </c>
      <c r="G68" s="2">
        <v>22</v>
      </c>
      <c r="H68" s="2">
        <v>1273</v>
      </c>
    </row>
    <row r="69" spans="4:11" x14ac:dyDescent="0.3">
      <c r="D69" s="12" t="s">
        <v>403</v>
      </c>
      <c r="E69" s="2">
        <v>256</v>
      </c>
      <c r="F69" s="2">
        <v>108</v>
      </c>
      <c r="G69" s="2">
        <v>22</v>
      </c>
      <c r="H69" s="2">
        <v>2002</v>
      </c>
    </row>
    <row r="70" spans="4:11" x14ac:dyDescent="0.3">
      <c r="D70" s="12" t="s">
        <v>404</v>
      </c>
      <c r="E70" s="2">
        <v>298</v>
      </c>
      <c r="F70" s="2">
        <v>123</v>
      </c>
      <c r="G70" s="2">
        <v>27</v>
      </c>
      <c r="H70" s="2">
        <v>2662</v>
      </c>
    </row>
    <row r="71" spans="4:11" x14ac:dyDescent="0.3">
      <c r="D71" s="12" t="s">
        <v>405</v>
      </c>
      <c r="E71" s="2">
        <v>295</v>
      </c>
      <c r="F71" s="2">
        <v>138</v>
      </c>
      <c r="G71" s="2">
        <v>26</v>
      </c>
      <c r="H71" s="2">
        <v>2776</v>
      </c>
    </row>
    <row r="72" spans="4:11" x14ac:dyDescent="0.3">
      <c r="D72" s="12" t="s">
        <v>406</v>
      </c>
      <c r="E72" s="2">
        <v>330</v>
      </c>
      <c r="F72" s="2">
        <v>130</v>
      </c>
      <c r="G72" s="2">
        <v>26</v>
      </c>
      <c r="H72" s="2">
        <v>2497</v>
      </c>
    </row>
    <row r="73" spans="4:11" x14ac:dyDescent="0.3">
      <c r="D73" s="12" t="s">
        <v>407</v>
      </c>
      <c r="E73" s="2">
        <v>360</v>
      </c>
      <c r="F73" s="2">
        <v>145</v>
      </c>
      <c r="G73" s="2">
        <v>28</v>
      </c>
      <c r="H73" s="2">
        <v>2303</v>
      </c>
    </row>
    <row r="74" spans="4:11" x14ac:dyDescent="0.3">
      <c r="D74" s="12" t="s">
        <v>408</v>
      </c>
      <c r="E74" s="2">
        <v>282</v>
      </c>
      <c r="F74" s="2">
        <v>163</v>
      </c>
      <c r="G74" s="2">
        <v>31</v>
      </c>
      <c r="H74" s="2">
        <v>1788</v>
      </c>
    </row>
    <row r="75" spans="4:11" x14ac:dyDescent="0.3">
      <c r="D75" s="12" t="s">
        <v>409</v>
      </c>
      <c r="E75" s="2">
        <v>277</v>
      </c>
      <c r="F75" s="2">
        <v>167</v>
      </c>
      <c r="G75" s="2">
        <v>36</v>
      </c>
      <c r="H75" s="2">
        <v>1717</v>
      </c>
    </row>
    <row r="76" spans="4:11" x14ac:dyDescent="0.3">
      <c r="D76" s="12" t="s">
        <v>410</v>
      </c>
      <c r="E76" s="2">
        <v>435</v>
      </c>
      <c r="F76" s="2">
        <v>179</v>
      </c>
      <c r="G76" s="2">
        <v>39</v>
      </c>
      <c r="H76" s="2">
        <v>3016</v>
      </c>
      <c r="I76">
        <f>GETPIVOTDATA("Nuevos Casos",$D$30,"Dia","2021/01/18")+GETPIVOTDATA("Nuevos Casos",$D$30,"Dia","2021/01/19")</f>
        <v>712</v>
      </c>
      <c r="J76">
        <f>SUM(H74:H75)</f>
        <v>3505</v>
      </c>
      <c r="K76">
        <f>J76/I76</f>
        <v>4.922752808988764</v>
      </c>
    </row>
    <row r="77" spans="4:11" x14ac:dyDescent="0.3">
      <c r="D77" s="12" t="s">
        <v>411</v>
      </c>
      <c r="E77" s="2">
        <v>442</v>
      </c>
      <c r="F77" s="2">
        <v>188</v>
      </c>
      <c r="G77" s="2">
        <v>38</v>
      </c>
      <c r="H77" s="2">
        <v>3934</v>
      </c>
    </row>
    <row r="78" spans="4:11" x14ac:dyDescent="0.3">
      <c r="D78" s="12" t="s">
        <v>422</v>
      </c>
      <c r="E78" s="2">
        <v>446</v>
      </c>
      <c r="F78" s="2">
        <v>210</v>
      </c>
      <c r="G78" s="2">
        <v>38</v>
      </c>
      <c r="H78" s="2">
        <v>3303</v>
      </c>
    </row>
    <row r="79" spans="4:11" x14ac:dyDescent="0.3">
      <c r="D79" s="12" t="s">
        <v>441</v>
      </c>
      <c r="E79" s="2">
        <v>549</v>
      </c>
      <c r="F79" s="2">
        <v>226</v>
      </c>
      <c r="G79" s="2">
        <v>38</v>
      </c>
      <c r="H79" s="2">
        <v>4125</v>
      </c>
    </row>
    <row r="80" spans="4:11" x14ac:dyDescent="0.3">
      <c r="D80" s="12" t="s">
        <v>442</v>
      </c>
      <c r="E80" s="2">
        <v>449</v>
      </c>
      <c r="F80" s="2">
        <v>248</v>
      </c>
      <c r="G80" s="2">
        <v>39</v>
      </c>
      <c r="H80" s="2">
        <v>3697</v>
      </c>
    </row>
    <row r="81" spans="4:11" x14ac:dyDescent="0.3">
      <c r="D81" s="12" t="s">
        <v>461</v>
      </c>
      <c r="E81" s="2">
        <v>300</v>
      </c>
      <c r="F81" s="2">
        <v>272</v>
      </c>
      <c r="G81" s="2">
        <v>43</v>
      </c>
      <c r="H81" s="2">
        <v>2537</v>
      </c>
    </row>
    <row r="82" spans="4:11" x14ac:dyDescent="0.3">
      <c r="D82" s="12" t="s">
        <v>462</v>
      </c>
      <c r="E82" s="2">
        <v>347</v>
      </c>
      <c r="F82" s="2">
        <v>282</v>
      </c>
      <c r="G82" s="2">
        <v>47</v>
      </c>
      <c r="H82" s="2">
        <v>2265</v>
      </c>
    </row>
    <row r="83" spans="4:11" x14ac:dyDescent="0.3">
      <c r="D83" s="12" t="s">
        <v>463</v>
      </c>
      <c r="E83" s="2">
        <v>446</v>
      </c>
      <c r="F83" s="2">
        <v>305</v>
      </c>
      <c r="G83" s="2">
        <v>48</v>
      </c>
      <c r="H83" s="2">
        <v>3500</v>
      </c>
      <c r="I83">
        <f>GETPIVOTDATA("Nuevos Casos",$D$30,"Dia","2021/01/25")+GETPIVOTDATA("Nuevos Casos",$D$30,"Dia","2021/01/26")</f>
        <v>793</v>
      </c>
      <c r="J83">
        <f>SUM(H81:H82)</f>
        <v>4802</v>
      </c>
      <c r="K83">
        <f>J83/I83</f>
        <v>6.0554854981084487</v>
      </c>
    </row>
    <row r="84" spans="4:11" x14ac:dyDescent="0.3">
      <c r="D84" s="12" t="s">
        <v>470</v>
      </c>
      <c r="E84" s="2">
        <v>409</v>
      </c>
      <c r="F84" s="2">
        <v>310</v>
      </c>
      <c r="G84" s="2">
        <v>59</v>
      </c>
      <c r="H84" s="2">
        <v>4480</v>
      </c>
    </row>
    <row r="85" spans="4:11" x14ac:dyDescent="0.3">
      <c r="D85" s="12" t="s">
        <v>472</v>
      </c>
      <c r="E85" s="2">
        <v>365</v>
      </c>
      <c r="F85" s="2">
        <v>321</v>
      </c>
      <c r="G85" s="2">
        <v>69</v>
      </c>
      <c r="H85" s="2">
        <v>4965</v>
      </c>
    </row>
    <row r="86" spans="4:11" x14ac:dyDescent="0.3">
      <c r="D86" s="12" t="s">
        <v>473</v>
      </c>
      <c r="E86" s="2">
        <v>320</v>
      </c>
      <c r="F86" s="2">
        <v>313</v>
      </c>
      <c r="G86" s="2">
        <v>79</v>
      </c>
      <c r="H86" s="2">
        <v>4891</v>
      </c>
    </row>
    <row r="87" spans="4:11" x14ac:dyDescent="0.3">
      <c r="D87" s="12" t="s">
        <v>474</v>
      </c>
      <c r="E87" s="2">
        <v>339</v>
      </c>
      <c r="F87" s="2">
        <v>326</v>
      </c>
      <c r="G87" s="2">
        <v>82</v>
      </c>
      <c r="H87" s="2">
        <v>6446</v>
      </c>
    </row>
    <row r="88" spans="4:11" x14ac:dyDescent="0.3">
      <c r="D88" s="12" t="s">
        <v>475</v>
      </c>
      <c r="E88" s="2">
        <v>214</v>
      </c>
      <c r="F88" s="2">
        <v>341</v>
      </c>
      <c r="G88" s="2">
        <v>86</v>
      </c>
      <c r="H88" s="2">
        <v>5929</v>
      </c>
    </row>
    <row r="89" spans="4:11" x14ac:dyDescent="0.3">
      <c r="D89" s="12" t="s">
        <v>479</v>
      </c>
      <c r="E89" s="2">
        <v>232</v>
      </c>
      <c r="F89" s="2">
        <v>323</v>
      </c>
      <c r="G89" s="2">
        <v>93</v>
      </c>
      <c r="H89" s="2">
        <v>4870</v>
      </c>
    </row>
    <row r="90" spans="4:11" x14ac:dyDescent="0.3">
      <c r="D90" s="12" t="s">
        <v>480</v>
      </c>
      <c r="E90" s="2">
        <v>293</v>
      </c>
      <c r="F90" s="2">
        <v>306</v>
      </c>
      <c r="G90" s="2">
        <v>85</v>
      </c>
      <c r="H90" s="2">
        <v>6227</v>
      </c>
    </row>
    <row r="91" spans="4:11" x14ac:dyDescent="0.3">
      <c r="D91" s="12" t="s">
        <v>481</v>
      </c>
      <c r="E91" s="2">
        <v>297</v>
      </c>
      <c r="F91" s="2">
        <v>282</v>
      </c>
      <c r="G91" s="2">
        <v>87</v>
      </c>
      <c r="H91" s="2">
        <v>7133</v>
      </c>
    </row>
    <row r="92" spans="4:11" x14ac:dyDescent="0.3">
      <c r="D92" s="12" t="s">
        <v>482</v>
      </c>
      <c r="E92" s="2">
        <v>259</v>
      </c>
      <c r="F92" s="2">
        <v>276</v>
      </c>
      <c r="G92" s="2">
        <v>85</v>
      </c>
      <c r="H92" s="2">
        <v>6752</v>
      </c>
    </row>
    <row r="93" spans="4:11" x14ac:dyDescent="0.3">
      <c r="D93" s="12" t="s">
        <v>483</v>
      </c>
      <c r="E93" s="2">
        <v>261</v>
      </c>
      <c r="F93" s="2">
        <v>287</v>
      </c>
      <c r="G93" s="2">
        <v>81</v>
      </c>
      <c r="H93" s="2">
        <v>9935</v>
      </c>
    </row>
    <row r="94" spans="4:11" x14ac:dyDescent="0.3">
      <c r="D94" s="12" t="s">
        <v>484</v>
      </c>
      <c r="E94" s="2">
        <v>285</v>
      </c>
      <c r="F94" s="2">
        <v>286</v>
      </c>
      <c r="G94" s="2">
        <v>81</v>
      </c>
      <c r="H94" s="2">
        <v>7587</v>
      </c>
    </row>
    <row r="95" spans="4:11" x14ac:dyDescent="0.3">
      <c r="D95" s="12" t="s">
        <v>485</v>
      </c>
      <c r="E95" s="2">
        <v>177</v>
      </c>
      <c r="F95" s="2">
        <v>287</v>
      </c>
      <c r="G95" s="2">
        <v>85</v>
      </c>
      <c r="H95" s="2">
        <v>8093</v>
      </c>
    </row>
    <row r="96" spans="4:11" x14ac:dyDescent="0.3">
      <c r="D96" s="12" t="s">
        <v>342</v>
      </c>
      <c r="E96" s="2">
        <v>12109</v>
      </c>
      <c r="F96" s="2">
        <v>9342</v>
      </c>
      <c r="G96" s="2">
        <v>2140</v>
      </c>
      <c r="H96" s="2">
        <v>166268</v>
      </c>
    </row>
  </sheetData>
  <pageMargins left="0.7" right="0.7" top="0.75" bottom="0.75" header="0.3" footer="0.3"/>
  <pageSetup paperSize="9" orientation="portrait" r:id="rId2"/>
  <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C26B7A-BECA-440E-8EA0-03590646B588}">
  <sheetPr codeName="Sheet3"/>
  <dimension ref="D30:H96"/>
  <sheetViews>
    <sheetView showGridLines="0" workbookViewId="0">
      <selection activeCell="L72" sqref="L72"/>
    </sheetView>
  </sheetViews>
  <sheetFormatPr defaultRowHeight="14.4" x14ac:dyDescent="0.3"/>
  <cols>
    <col min="4" max="4" width="12.77734375" bestFit="1" customWidth="1"/>
    <col min="5" max="5" width="12.88671875" bestFit="1" customWidth="1"/>
    <col min="6" max="6" width="11.21875" bestFit="1" customWidth="1"/>
    <col min="7" max="7" width="10" bestFit="1" customWidth="1"/>
    <col min="8" max="8" width="7.88671875" bestFit="1" customWidth="1"/>
    <col min="9" max="11" width="12" bestFit="1" customWidth="1"/>
    <col min="12" max="12" width="11" bestFit="1" customWidth="1"/>
    <col min="13" max="16" width="12" bestFit="1" customWidth="1"/>
    <col min="17" max="18" width="11" bestFit="1" customWidth="1"/>
    <col min="19" max="19" width="12" bestFit="1" customWidth="1"/>
    <col min="20" max="20" width="11" bestFit="1" customWidth="1"/>
    <col min="21" max="25" width="12" bestFit="1" customWidth="1"/>
    <col min="26" max="26" width="11" bestFit="1" customWidth="1"/>
    <col min="27" max="28" width="12" bestFit="1" customWidth="1"/>
    <col min="29" max="29" width="11" bestFit="1" customWidth="1"/>
    <col min="30" max="45" width="12" bestFit="1" customWidth="1"/>
    <col min="46" max="46" width="11" bestFit="1" customWidth="1"/>
    <col min="47" max="52" width="12" bestFit="1" customWidth="1"/>
    <col min="53" max="53" width="11" bestFit="1" customWidth="1"/>
    <col min="54" max="54" width="12" bestFit="1" customWidth="1"/>
    <col min="55" max="55" width="11" bestFit="1" customWidth="1"/>
    <col min="56" max="58" width="12" bestFit="1" customWidth="1"/>
    <col min="59" max="59" width="11" bestFit="1" customWidth="1"/>
    <col min="60" max="60" width="12" bestFit="1" customWidth="1"/>
    <col min="61" max="61" width="11" bestFit="1" customWidth="1"/>
    <col min="62" max="84" width="12" bestFit="1" customWidth="1"/>
    <col min="85" max="85" width="11" bestFit="1" customWidth="1"/>
    <col min="86" max="87" width="12" bestFit="1" customWidth="1"/>
    <col min="88" max="89" width="11" bestFit="1" customWidth="1"/>
    <col min="90" max="100" width="12" bestFit="1" customWidth="1"/>
    <col min="101" max="101" width="11" bestFit="1" customWidth="1"/>
    <col min="102" max="105" width="12" bestFit="1" customWidth="1"/>
    <col min="106" max="107" width="11" bestFit="1" customWidth="1"/>
    <col min="108" max="108" width="12" bestFit="1" customWidth="1"/>
    <col min="109" max="109" width="11" bestFit="1" customWidth="1"/>
    <col min="110" max="114" width="12" bestFit="1" customWidth="1"/>
    <col min="115" max="115" width="11" bestFit="1" customWidth="1"/>
    <col min="116" max="117" width="12" bestFit="1" customWidth="1"/>
    <col min="118" max="118" width="11" bestFit="1" customWidth="1"/>
    <col min="119" max="134" width="12" bestFit="1" customWidth="1"/>
    <col min="135" max="135" width="11" bestFit="1" customWidth="1"/>
    <col min="136" max="141" width="12" bestFit="1" customWidth="1"/>
    <col min="142" max="142" width="11" bestFit="1" customWidth="1"/>
    <col min="143" max="143" width="12" bestFit="1" customWidth="1"/>
    <col min="144" max="144" width="11" bestFit="1" customWidth="1"/>
    <col min="145" max="147" width="12" bestFit="1" customWidth="1"/>
    <col min="148" max="148" width="11" bestFit="1" customWidth="1"/>
    <col min="149" max="149" width="12" bestFit="1" customWidth="1"/>
    <col min="150" max="150" width="11" bestFit="1" customWidth="1"/>
    <col min="151" max="173" width="12" bestFit="1" customWidth="1"/>
    <col min="174" max="174" width="11" bestFit="1" customWidth="1"/>
    <col min="175" max="176" width="12" bestFit="1" customWidth="1"/>
    <col min="177" max="178" width="11" bestFit="1" customWidth="1"/>
    <col min="179" max="189" width="12" bestFit="1" customWidth="1"/>
    <col min="190" max="190" width="11" bestFit="1" customWidth="1"/>
    <col min="191" max="194" width="12" bestFit="1" customWidth="1"/>
    <col min="195" max="196" width="11" bestFit="1" customWidth="1"/>
    <col min="197" max="197" width="12" bestFit="1" customWidth="1"/>
    <col min="198" max="198" width="11" bestFit="1" customWidth="1"/>
    <col min="199" max="203" width="12" bestFit="1" customWidth="1"/>
    <col min="204" max="204" width="11" bestFit="1" customWidth="1"/>
    <col min="205" max="206" width="12" bestFit="1" customWidth="1"/>
    <col min="207" max="207" width="11" bestFit="1" customWidth="1"/>
    <col min="208" max="223" width="12" bestFit="1" customWidth="1"/>
    <col min="224" max="224" width="11" bestFit="1" customWidth="1"/>
    <col min="225" max="230" width="12" bestFit="1" customWidth="1"/>
    <col min="231" max="231" width="11" bestFit="1" customWidth="1"/>
    <col min="232" max="232" width="12" bestFit="1" customWidth="1"/>
    <col min="233" max="233" width="11" bestFit="1" customWidth="1"/>
    <col min="234" max="236" width="12" bestFit="1" customWidth="1"/>
    <col min="237" max="237" width="11" bestFit="1" customWidth="1"/>
    <col min="238" max="238" width="12" bestFit="1" customWidth="1"/>
    <col min="239" max="239" width="11" bestFit="1" customWidth="1"/>
    <col min="240" max="262" width="12" bestFit="1" customWidth="1"/>
    <col min="263" max="263" width="11" bestFit="1" customWidth="1"/>
    <col min="264" max="265" width="12" bestFit="1" customWidth="1"/>
    <col min="266" max="267" width="11" bestFit="1" customWidth="1"/>
    <col min="268" max="278" width="12" bestFit="1" customWidth="1"/>
    <col min="279" max="279" width="11" bestFit="1" customWidth="1"/>
    <col min="280" max="283" width="12" bestFit="1" customWidth="1"/>
    <col min="284" max="285" width="11" bestFit="1" customWidth="1"/>
    <col min="286" max="286" width="12" bestFit="1" customWidth="1"/>
    <col min="287" max="287" width="11" bestFit="1" customWidth="1"/>
    <col min="288" max="292" width="12" bestFit="1" customWidth="1"/>
    <col min="293" max="293" width="11" bestFit="1" customWidth="1"/>
    <col min="294" max="295" width="12" bestFit="1" customWidth="1"/>
    <col min="296" max="296" width="11" bestFit="1" customWidth="1"/>
    <col min="297" max="312" width="12" bestFit="1" customWidth="1"/>
    <col min="313" max="313" width="11" bestFit="1" customWidth="1"/>
    <col min="314" max="319" width="12" bestFit="1" customWidth="1"/>
    <col min="320" max="320" width="11" bestFit="1" customWidth="1"/>
    <col min="321" max="321" width="12" bestFit="1" customWidth="1"/>
    <col min="322" max="322" width="11" bestFit="1" customWidth="1"/>
    <col min="323" max="325" width="12" bestFit="1" customWidth="1"/>
    <col min="326" max="326" width="11" bestFit="1" customWidth="1"/>
    <col min="327" max="327" width="12" bestFit="1" customWidth="1"/>
    <col min="328" max="328" width="11" bestFit="1" customWidth="1"/>
    <col min="329" max="351" width="12" bestFit="1" customWidth="1"/>
    <col min="352" max="352" width="11" bestFit="1" customWidth="1"/>
    <col min="353" max="354" width="12" bestFit="1" customWidth="1"/>
    <col min="355" max="356" width="11" bestFit="1" customWidth="1"/>
    <col min="357" max="360" width="12" bestFit="1" customWidth="1"/>
    <col min="361" max="361" width="17.77734375" bestFit="1" customWidth="1"/>
    <col min="362" max="362" width="16.109375" bestFit="1" customWidth="1"/>
    <col min="363" max="363" width="14.88671875" bestFit="1" customWidth="1"/>
    <col min="364" max="364" width="12.77734375" bestFit="1" customWidth="1"/>
  </cols>
  <sheetData>
    <row r="30" spans="4:8" x14ac:dyDescent="0.3">
      <c r="D30" s="11" t="s">
        <v>341</v>
      </c>
      <c r="E30" t="s">
        <v>395</v>
      </c>
      <c r="F30" t="s">
        <v>396</v>
      </c>
      <c r="G30" t="s">
        <v>368</v>
      </c>
      <c r="H30" t="s">
        <v>397</v>
      </c>
    </row>
    <row r="31" spans="4:8" x14ac:dyDescent="0.3">
      <c r="D31" s="13">
        <v>44170</v>
      </c>
      <c r="E31" s="2">
        <v>23</v>
      </c>
      <c r="F31" s="2">
        <v>27</v>
      </c>
      <c r="G31" s="2">
        <v>8</v>
      </c>
      <c r="H31" s="2">
        <v>391</v>
      </c>
    </row>
    <row r="32" spans="4:8" x14ac:dyDescent="0.3">
      <c r="D32" s="13">
        <v>44171</v>
      </c>
      <c r="E32" s="2">
        <v>36</v>
      </c>
      <c r="F32" s="2">
        <v>30</v>
      </c>
      <c r="G32" s="2">
        <v>6</v>
      </c>
      <c r="H32" s="2">
        <v>315</v>
      </c>
    </row>
    <row r="33" spans="4:8" x14ac:dyDescent="0.3">
      <c r="D33" s="13">
        <v>44172</v>
      </c>
      <c r="E33" s="2">
        <v>16</v>
      </c>
      <c r="F33" s="2">
        <v>29</v>
      </c>
      <c r="G33" s="2">
        <v>4</v>
      </c>
      <c r="H33" s="2">
        <v>404</v>
      </c>
    </row>
    <row r="34" spans="4:8" x14ac:dyDescent="0.3">
      <c r="D34" s="13">
        <v>44173</v>
      </c>
      <c r="E34" s="2">
        <v>51</v>
      </c>
      <c r="F34" s="2">
        <v>28</v>
      </c>
      <c r="G34" s="2">
        <v>4</v>
      </c>
      <c r="H34" s="2">
        <v>660</v>
      </c>
    </row>
    <row r="35" spans="4:8" x14ac:dyDescent="0.3">
      <c r="D35" s="13">
        <v>44174</v>
      </c>
      <c r="E35" s="2">
        <v>24</v>
      </c>
      <c r="F35" s="2">
        <v>27</v>
      </c>
      <c r="G35" s="2">
        <v>3</v>
      </c>
      <c r="H35" s="2">
        <v>354</v>
      </c>
    </row>
    <row r="36" spans="4:8" x14ac:dyDescent="0.3">
      <c r="D36" s="13">
        <v>44175</v>
      </c>
      <c r="E36" s="2">
        <v>23</v>
      </c>
      <c r="F36" s="2">
        <v>28</v>
      </c>
      <c r="G36" s="2">
        <v>3</v>
      </c>
      <c r="H36" s="2">
        <v>634</v>
      </c>
    </row>
    <row r="37" spans="4:8" x14ac:dyDescent="0.3">
      <c r="D37" s="13">
        <v>44176</v>
      </c>
      <c r="E37" s="2">
        <v>31</v>
      </c>
      <c r="F37" s="2">
        <v>29</v>
      </c>
      <c r="G37" s="2">
        <v>4</v>
      </c>
      <c r="H37" s="2">
        <v>653</v>
      </c>
    </row>
    <row r="38" spans="4:8" x14ac:dyDescent="0.3">
      <c r="D38" s="13">
        <v>44177</v>
      </c>
      <c r="E38" s="2">
        <v>26</v>
      </c>
      <c r="F38" s="2">
        <v>28</v>
      </c>
      <c r="G38" s="2">
        <v>4</v>
      </c>
      <c r="H38" s="2">
        <v>545</v>
      </c>
    </row>
    <row r="39" spans="4:8" x14ac:dyDescent="0.3">
      <c r="D39" s="13">
        <v>44178</v>
      </c>
      <c r="E39" s="2">
        <v>49</v>
      </c>
      <c r="F39" s="2">
        <v>30</v>
      </c>
      <c r="G39" s="2">
        <v>4</v>
      </c>
      <c r="H39" s="2">
        <v>1024</v>
      </c>
    </row>
    <row r="40" spans="4:8" x14ac:dyDescent="0.3">
      <c r="D40" s="13">
        <v>44179</v>
      </c>
      <c r="E40" s="2">
        <v>18</v>
      </c>
      <c r="F40" s="2">
        <v>30</v>
      </c>
      <c r="G40" s="2">
        <v>5</v>
      </c>
      <c r="H40" s="2">
        <v>901</v>
      </c>
    </row>
    <row r="41" spans="4:8" x14ac:dyDescent="0.3">
      <c r="D41" s="13">
        <v>44180</v>
      </c>
      <c r="E41" s="2">
        <v>34</v>
      </c>
      <c r="F41" s="2">
        <v>30</v>
      </c>
      <c r="G41" s="2">
        <v>4</v>
      </c>
      <c r="H41" s="2">
        <v>633</v>
      </c>
    </row>
    <row r="42" spans="4:8" x14ac:dyDescent="0.3">
      <c r="D42" s="13">
        <v>44181</v>
      </c>
      <c r="E42" s="2">
        <v>16</v>
      </c>
      <c r="F42" s="2">
        <v>28</v>
      </c>
      <c r="G42" s="2">
        <v>4</v>
      </c>
      <c r="H42" s="2">
        <v>525</v>
      </c>
    </row>
    <row r="43" spans="4:8" x14ac:dyDescent="0.3">
      <c r="D43" s="13">
        <v>44182</v>
      </c>
      <c r="E43" s="2">
        <v>29</v>
      </c>
      <c r="F43" s="2">
        <v>30</v>
      </c>
      <c r="G43" s="2">
        <v>5</v>
      </c>
      <c r="H43" s="2">
        <v>491</v>
      </c>
    </row>
    <row r="44" spans="4:8" x14ac:dyDescent="0.3">
      <c r="D44" s="13">
        <v>44183</v>
      </c>
      <c r="E44" s="2">
        <v>10</v>
      </c>
      <c r="F44" s="2">
        <v>31</v>
      </c>
      <c r="G44" s="2">
        <v>6</v>
      </c>
      <c r="H44" s="2">
        <v>343</v>
      </c>
    </row>
    <row r="45" spans="4:8" x14ac:dyDescent="0.3">
      <c r="D45" s="13">
        <v>44184</v>
      </c>
      <c r="E45" s="2">
        <v>11</v>
      </c>
      <c r="F45" s="2">
        <v>29</v>
      </c>
      <c r="G45" s="2">
        <v>5</v>
      </c>
      <c r="H45" s="2">
        <v>369</v>
      </c>
    </row>
    <row r="46" spans="4:8" x14ac:dyDescent="0.3">
      <c r="D46" s="13">
        <v>44185</v>
      </c>
      <c r="E46" s="2">
        <v>13</v>
      </c>
      <c r="F46" s="2">
        <v>30</v>
      </c>
      <c r="G46" s="2">
        <v>4</v>
      </c>
      <c r="H46" s="2">
        <v>341</v>
      </c>
    </row>
    <row r="47" spans="4:8" x14ac:dyDescent="0.3">
      <c r="D47" s="13">
        <v>44186</v>
      </c>
      <c r="E47" s="2">
        <v>12</v>
      </c>
      <c r="F47" s="2">
        <v>33</v>
      </c>
      <c r="G47" s="2">
        <v>4</v>
      </c>
      <c r="H47" s="2">
        <v>346</v>
      </c>
    </row>
    <row r="48" spans="4:8" x14ac:dyDescent="0.3">
      <c r="D48" s="13">
        <v>44187</v>
      </c>
      <c r="E48" s="2">
        <v>17</v>
      </c>
      <c r="F48" s="2">
        <v>30</v>
      </c>
      <c r="G48" s="2">
        <v>3</v>
      </c>
      <c r="H48" s="2">
        <v>898</v>
      </c>
    </row>
    <row r="49" spans="4:8" x14ac:dyDescent="0.3">
      <c r="D49" s="13">
        <v>44188</v>
      </c>
      <c r="E49" s="2">
        <v>20</v>
      </c>
      <c r="F49" s="2">
        <v>30</v>
      </c>
      <c r="G49" s="2">
        <v>2</v>
      </c>
      <c r="H49" s="2">
        <v>749</v>
      </c>
    </row>
    <row r="50" spans="4:8" x14ac:dyDescent="0.3">
      <c r="D50" s="13">
        <v>44189</v>
      </c>
      <c r="E50" s="2">
        <v>22</v>
      </c>
      <c r="F50" s="2">
        <v>29</v>
      </c>
      <c r="G50" s="2">
        <v>1</v>
      </c>
      <c r="H50" s="2">
        <v>671</v>
      </c>
    </row>
    <row r="51" spans="4:8" x14ac:dyDescent="0.3">
      <c r="D51" s="13">
        <v>44190</v>
      </c>
      <c r="E51" s="2">
        <v>12</v>
      </c>
      <c r="F51" s="2">
        <v>26</v>
      </c>
      <c r="G51" s="2">
        <v>2</v>
      </c>
      <c r="H51" s="2">
        <v>508</v>
      </c>
    </row>
    <row r="52" spans="4:8" x14ac:dyDescent="0.3">
      <c r="D52" s="13">
        <v>44191</v>
      </c>
      <c r="E52" s="2">
        <v>9</v>
      </c>
      <c r="F52" s="2">
        <v>25</v>
      </c>
      <c r="G52" s="2">
        <v>3</v>
      </c>
      <c r="H52" s="2">
        <v>283</v>
      </c>
    </row>
    <row r="53" spans="4:8" x14ac:dyDescent="0.3">
      <c r="D53" s="13">
        <v>44192</v>
      </c>
      <c r="E53" s="2">
        <v>16</v>
      </c>
      <c r="F53" s="2">
        <v>24</v>
      </c>
      <c r="G53" s="2">
        <v>4</v>
      </c>
      <c r="H53" s="2">
        <v>420</v>
      </c>
    </row>
    <row r="54" spans="4:8" x14ac:dyDescent="0.3">
      <c r="D54" s="13">
        <v>44193</v>
      </c>
      <c r="E54" s="2">
        <v>29</v>
      </c>
      <c r="F54" s="2">
        <v>27</v>
      </c>
      <c r="G54" s="2">
        <v>4</v>
      </c>
      <c r="H54" s="2">
        <v>289</v>
      </c>
    </row>
    <row r="55" spans="4:8" x14ac:dyDescent="0.3">
      <c r="D55" s="13">
        <v>44194</v>
      </c>
      <c r="E55" s="2">
        <v>15</v>
      </c>
      <c r="F55" s="2">
        <v>31</v>
      </c>
      <c r="G55" s="2">
        <v>3</v>
      </c>
      <c r="H55" s="2">
        <v>355</v>
      </c>
    </row>
    <row r="56" spans="4:8" x14ac:dyDescent="0.3">
      <c r="D56" s="13">
        <v>44195</v>
      </c>
      <c r="E56" s="2">
        <v>24</v>
      </c>
      <c r="F56" s="2">
        <v>33</v>
      </c>
      <c r="G56" s="2">
        <v>3</v>
      </c>
      <c r="H56" s="2">
        <v>403</v>
      </c>
    </row>
    <row r="57" spans="4:8" x14ac:dyDescent="0.3">
      <c r="D57" s="13">
        <v>44196</v>
      </c>
      <c r="E57" s="2">
        <v>24</v>
      </c>
      <c r="F57" s="2">
        <v>35</v>
      </c>
      <c r="G57" s="2">
        <v>2</v>
      </c>
      <c r="H57" s="2">
        <v>332</v>
      </c>
    </row>
    <row r="58" spans="4:8" x14ac:dyDescent="0.3">
      <c r="D58" s="13">
        <v>44197</v>
      </c>
      <c r="E58" s="2">
        <v>21</v>
      </c>
      <c r="F58" s="2">
        <v>37</v>
      </c>
      <c r="G58" s="2">
        <v>2</v>
      </c>
      <c r="H58" s="2">
        <v>277</v>
      </c>
    </row>
    <row r="59" spans="4:8" x14ac:dyDescent="0.3">
      <c r="D59" s="13">
        <v>44198</v>
      </c>
      <c r="E59" s="2">
        <v>11</v>
      </c>
      <c r="F59" s="2">
        <v>41</v>
      </c>
      <c r="G59" s="2">
        <v>2</v>
      </c>
      <c r="H59" s="2">
        <v>201</v>
      </c>
    </row>
    <row r="60" spans="4:8" x14ac:dyDescent="0.3">
      <c r="D60" s="13">
        <v>44199</v>
      </c>
      <c r="E60" s="2">
        <v>54</v>
      </c>
      <c r="F60" s="2">
        <v>45</v>
      </c>
      <c r="G60" s="2">
        <v>1</v>
      </c>
      <c r="H60" s="2">
        <v>372</v>
      </c>
    </row>
    <row r="61" spans="4:8" x14ac:dyDescent="0.3">
      <c r="D61" s="13">
        <v>44200</v>
      </c>
      <c r="E61" s="2">
        <v>22</v>
      </c>
      <c r="F61" s="2">
        <v>50</v>
      </c>
      <c r="G61" s="2">
        <v>1</v>
      </c>
      <c r="H61" s="2">
        <v>379</v>
      </c>
    </row>
    <row r="62" spans="4:8" x14ac:dyDescent="0.3">
      <c r="D62" s="13">
        <v>44201</v>
      </c>
      <c r="E62" s="2">
        <v>55</v>
      </c>
      <c r="F62" s="2">
        <v>46</v>
      </c>
      <c r="G62" s="2">
        <v>1</v>
      </c>
      <c r="H62" s="2">
        <v>642</v>
      </c>
    </row>
    <row r="63" spans="4:8" x14ac:dyDescent="0.3">
      <c r="D63" s="13">
        <v>44202</v>
      </c>
      <c r="E63" s="2">
        <v>31</v>
      </c>
      <c r="F63" s="2">
        <v>44</v>
      </c>
      <c r="G63" s="2">
        <v>3</v>
      </c>
      <c r="H63" s="2">
        <v>487</v>
      </c>
    </row>
    <row r="64" spans="4:8" x14ac:dyDescent="0.3">
      <c r="D64" s="13">
        <v>44203</v>
      </c>
      <c r="E64" s="2">
        <v>50</v>
      </c>
      <c r="F64" s="2">
        <v>43</v>
      </c>
      <c r="G64" s="2">
        <v>3</v>
      </c>
      <c r="H64" s="2">
        <v>360</v>
      </c>
    </row>
    <row r="65" spans="4:8" x14ac:dyDescent="0.3">
      <c r="D65" s="13">
        <v>44204</v>
      </c>
      <c r="E65" s="2">
        <v>33</v>
      </c>
      <c r="F65" s="2">
        <v>35</v>
      </c>
      <c r="G65" s="2">
        <v>4</v>
      </c>
      <c r="H65" s="2">
        <v>414</v>
      </c>
    </row>
    <row r="66" spans="4:8" x14ac:dyDescent="0.3">
      <c r="D66" s="13">
        <v>44205</v>
      </c>
      <c r="E66" s="2">
        <v>64</v>
      </c>
      <c r="F66" s="2">
        <v>43</v>
      </c>
      <c r="G66" s="2">
        <v>3</v>
      </c>
      <c r="H66" s="2">
        <v>771</v>
      </c>
    </row>
    <row r="67" spans="4:8" x14ac:dyDescent="0.3">
      <c r="D67" s="13">
        <v>44206</v>
      </c>
      <c r="E67" s="2">
        <v>87</v>
      </c>
      <c r="F67" s="2">
        <v>54</v>
      </c>
      <c r="G67" s="2">
        <v>6</v>
      </c>
      <c r="H67" s="2">
        <v>652</v>
      </c>
    </row>
    <row r="68" spans="4:8" x14ac:dyDescent="0.3">
      <c r="D68" s="13">
        <v>44207</v>
      </c>
      <c r="E68" s="2">
        <v>51</v>
      </c>
      <c r="F68" s="2">
        <v>62</v>
      </c>
      <c r="G68" s="2">
        <v>5</v>
      </c>
      <c r="H68" s="2">
        <v>605</v>
      </c>
    </row>
    <row r="69" spans="4:8" x14ac:dyDescent="0.3">
      <c r="D69" s="13">
        <v>44208</v>
      </c>
      <c r="E69" s="2">
        <v>74</v>
      </c>
      <c r="F69" s="2">
        <v>74</v>
      </c>
      <c r="G69" s="2">
        <v>5</v>
      </c>
      <c r="H69" s="2">
        <v>738</v>
      </c>
    </row>
    <row r="70" spans="4:8" x14ac:dyDescent="0.3">
      <c r="D70" s="13">
        <v>44209</v>
      </c>
      <c r="E70" s="2">
        <v>68</v>
      </c>
      <c r="F70" s="2">
        <v>73</v>
      </c>
      <c r="G70" s="2">
        <v>6</v>
      </c>
      <c r="H70" s="2">
        <v>714</v>
      </c>
    </row>
    <row r="71" spans="4:8" x14ac:dyDescent="0.3">
      <c r="D71" s="13">
        <v>44210</v>
      </c>
      <c r="E71" s="2">
        <v>113</v>
      </c>
      <c r="F71" s="2">
        <v>77</v>
      </c>
      <c r="G71" s="2">
        <v>9</v>
      </c>
      <c r="H71" s="2">
        <v>654</v>
      </c>
    </row>
    <row r="72" spans="4:8" x14ac:dyDescent="0.3">
      <c r="D72" s="13">
        <v>44211</v>
      </c>
      <c r="E72" s="2">
        <v>146</v>
      </c>
      <c r="F72" s="2">
        <v>80</v>
      </c>
      <c r="G72" s="2">
        <v>9</v>
      </c>
      <c r="H72" s="2">
        <v>765</v>
      </c>
    </row>
    <row r="73" spans="4:8" x14ac:dyDescent="0.3">
      <c r="D73" s="13">
        <v>44212</v>
      </c>
      <c r="E73" s="2">
        <v>84</v>
      </c>
      <c r="F73" s="2">
        <v>83</v>
      </c>
      <c r="G73" s="2">
        <v>13</v>
      </c>
      <c r="H73" s="2">
        <v>423</v>
      </c>
    </row>
    <row r="74" spans="4:8" x14ac:dyDescent="0.3">
      <c r="D74" s="13">
        <v>44213</v>
      </c>
      <c r="E74" s="2">
        <v>99</v>
      </c>
      <c r="F74" s="2">
        <v>89</v>
      </c>
      <c r="G74" s="2">
        <v>11</v>
      </c>
      <c r="H74" s="2">
        <v>711</v>
      </c>
    </row>
    <row r="75" spans="4:8" x14ac:dyDescent="0.3">
      <c r="D75" s="13">
        <v>44214</v>
      </c>
      <c r="E75" s="2">
        <v>104</v>
      </c>
      <c r="F75" s="2">
        <v>96</v>
      </c>
      <c r="G75" s="2">
        <v>11</v>
      </c>
      <c r="H75" s="2">
        <v>759</v>
      </c>
    </row>
    <row r="76" spans="4:8" x14ac:dyDescent="0.3">
      <c r="D76" s="13">
        <v>44215</v>
      </c>
      <c r="E76" s="2">
        <v>98</v>
      </c>
      <c r="F76" s="2">
        <v>97</v>
      </c>
      <c r="G76" s="2">
        <v>13</v>
      </c>
      <c r="H76" s="2">
        <v>1001</v>
      </c>
    </row>
    <row r="77" spans="4:8" x14ac:dyDescent="0.3">
      <c r="D77" s="13">
        <v>44216</v>
      </c>
      <c r="E77" s="2">
        <v>141</v>
      </c>
      <c r="F77" s="2">
        <v>104</v>
      </c>
      <c r="G77" s="2">
        <v>14</v>
      </c>
      <c r="H77" s="2">
        <v>1097</v>
      </c>
    </row>
    <row r="78" spans="4:8" x14ac:dyDescent="0.3">
      <c r="D78" s="13">
        <v>44217</v>
      </c>
      <c r="E78" s="2">
        <v>129</v>
      </c>
      <c r="F78" s="2">
        <v>117</v>
      </c>
      <c r="G78" s="2">
        <v>16</v>
      </c>
      <c r="H78" s="2">
        <v>910</v>
      </c>
    </row>
    <row r="79" spans="4:8" x14ac:dyDescent="0.3">
      <c r="D79" s="13">
        <v>44218</v>
      </c>
      <c r="E79" s="2">
        <v>149</v>
      </c>
      <c r="F79" s="2">
        <v>113</v>
      </c>
      <c r="G79" s="2">
        <v>19</v>
      </c>
      <c r="H79" s="2">
        <v>1102</v>
      </c>
    </row>
    <row r="80" spans="4:8" x14ac:dyDescent="0.3">
      <c r="D80" s="13">
        <v>44219</v>
      </c>
      <c r="E80" s="2">
        <v>107</v>
      </c>
      <c r="F80" s="2">
        <v>124</v>
      </c>
      <c r="G80" s="2">
        <v>21</v>
      </c>
      <c r="H80" s="2">
        <v>955</v>
      </c>
    </row>
    <row r="81" spans="4:8" x14ac:dyDescent="0.3">
      <c r="D81" s="13">
        <v>44220</v>
      </c>
      <c r="E81" s="2">
        <v>106</v>
      </c>
      <c r="F81" s="2">
        <v>131</v>
      </c>
      <c r="G81" s="2">
        <v>23</v>
      </c>
      <c r="H81" s="2">
        <v>694</v>
      </c>
    </row>
    <row r="82" spans="4:8" x14ac:dyDescent="0.3">
      <c r="D82" s="13">
        <v>44221</v>
      </c>
      <c r="E82" s="2">
        <v>105</v>
      </c>
      <c r="F82" s="2">
        <v>132</v>
      </c>
      <c r="G82" s="2">
        <v>24</v>
      </c>
      <c r="H82" s="2">
        <v>985</v>
      </c>
    </row>
    <row r="83" spans="4:8" x14ac:dyDescent="0.3">
      <c r="D83" s="13">
        <v>44222</v>
      </c>
      <c r="E83" s="2">
        <v>96</v>
      </c>
      <c r="F83" s="2">
        <v>136</v>
      </c>
      <c r="G83" s="2">
        <v>26</v>
      </c>
      <c r="H83" s="2">
        <v>1090</v>
      </c>
    </row>
    <row r="84" spans="4:8" x14ac:dyDescent="0.3">
      <c r="D84" s="13">
        <v>44223</v>
      </c>
      <c r="E84" s="2">
        <v>115</v>
      </c>
      <c r="F84" s="2">
        <v>135</v>
      </c>
      <c r="G84" s="2">
        <v>30</v>
      </c>
      <c r="H84" s="2">
        <v>1018</v>
      </c>
    </row>
    <row r="85" spans="4:8" x14ac:dyDescent="0.3">
      <c r="D85" s="13">
        <v>44224</v>
      </c>
      <c r="E85" s="2">
        <v>145</v>
      </c>
      <c r="F85" s="2">
        <v>150</v>
      </c>
      <c r="G85" s="2">
        <v>25</v>
      </c>
      <c r="H85" s="2">
        <v>1341</v>
      </c>
    </row>
    <row r="86" spans="4:8" x14ac:dyDescent="0.3">
      <c r="D86" s="13">
        <v>44225</v>
      </c>
      <c r="E86" s="2">
        <v>132</v>
      </c>
      <c r="F86" s="2">
        <v>150</v>
      </c>
      <c r="G86" s="2">
        <v>24</v>
      </c>
      <c r="H86" s="2">
        <v>1077</v>
      </c>
    </row>
    <row r="87" spans="4:8" x14ac:dyDescent="0.3">
      <c r="D87" s="13">
        <v>44226</v>
      </c>
      <c r="E87" s="2">
        <v>91</v>
      </c>
      <c r="F87" s="2">
        <v>160</v>
      </c>
      <c r="G87" s="2">
        <v>25</v>
      </c>
      <c r="H87" s="2">
        <v>813</v>
      </c>
    </row>
    <row r="88" spans="4:8" x14ac:dyDescent="0.3">
      <c r="D88" s="13">
        <v>44227</v>
      </c>
      <c r="E88" s="2">
        <v>100</v>
      </c>
      <c r="F88" s="2">
        <v>164</v>
      </c>
      <c r="G88" s="2">
        <v>24</v>
      </c>
      <c r="H88" s="2">
        <v>739</v>
      </c>
    </row>
    <row r="89" spans="4:8" x14ac:dyDescent="0.3">
      <c r="D89" s="13">
        <v>44228</v>
      </c>
      <c r="E89" s="2">
        <v>114</v>
      </c>
      <c r="F89" s="2">
        <v>166</v>
      </c>
      <c r="G89" s="2">
        <v>23</v>
      </c>
      <c r="H89" s="2">
        <v>941</v>
      </c>
    </row>
    <row r="90" spans="4:8" x14ac:dyDescent="0.3">
      <c r="D90" s="13">
        <v>44229</v>
      </c>
      <c r="E90" s="2">
        <v>109</v>
      </c>
      <c r="F90" s="2">
        <v>166</v>
      </c>
      <c r="G90" s="2">
        <v>27</v>
      </c>
      <c r="H90" s="2">
        <v>1287</v>
      </c>
    </row>
    <row r="91" spans="4:8" x14ac:dyDescent="0.3">
      <c r="D91" s="13">
        <v>44230</v>
      </c>
      <c r="E91" s="2">
        <v>97</v>
      </c>
      <c r="F91" s="2">
        <v>173</v>
      </c>
      <c r="G91" s="2">
        <v>25</v>
      </c>
      <c r="H91" s="2">
        <v>1363</v>
      </c>
    </row>
    <row r="92" spans="4:8" x14ac:dyDescent="0.3">
      <c r="D92" s="13">
        <v>44231</v>
      </c>
      <c r="E92" s="2">
        <v>102</v>
      </c>
      <c r="F92" s="2">
        <v>165</v>
      </c>
      <c r="G92" s="2">
        <v>25</v>
      </c>
      <c r="H92" s="2">
        <v>1721</v>
      </c>
    </row>
    <row r="93" spans="4:8" x14ac:dyDescent="0.3">
      <c r="D93" s="13">
        <v>44232</v>
      </c>
      <c r="E93" s="2">
        <v>90</v>
      </c>
      <c r="F93" s="2">
        <v>160</v>
      </c>
      <c r="G93" s="2">
        <v>25</v>
      </c>
      <c r="H93" s="2">
        <v>1602</v>
      </c>
    </row>
    <row r="94" spans="4:8" x14ac:dyDescent="0.3">
      <c r="D94" s="13">
        <v>44233</v>
      </c>
      <c r="E94" s="2">
        <v>52</v>
      </c>
      <c r="F94" s="2">
        <v>150</v>
      </c>
      <c r="G94" s="2">
        <v>24</v>
      </c>
      <c r="H94" s="2">
        <v>1239</v>
      </c>
    </row>
    <row r="95" spans="4:8" x14ac:dyDescent="0.3">
      <c r="D95" s="13">
        <v>44234</v>
      </c>
      <c r="E95" s="2">
        <v>50</v>
      </c>
      <c r="F95" s="2">
        <v>158</v>
      </c>
      <c r="G95" s="2">
        <v>23</v>
      </c>
      <c r="H95" s="2">
        <v>729</v>
      </c>
    </row>
    <row r="96" spans="4:8" x14ac:dyDescent="0.3">
      <c r="D96" s="12" t="s">
        <v>342</v>
      </c>
      <c r="E96" s="2">
        <v>3905</v>
      </c>
      <c r="F96" s="2">
        <v>4710</v>
      </c>
      <c r="G96" s="2">
        <v>655</v>
      </c>
      <c r="H96" s="2">
        <v>45465</v>
      </c>
    </row>
  </sheetData>
  <pageMargins left="0.7" right="0.7" top="0.75" bottom="0.75" header="0.3" footer="0.3"/>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EB7335-FB3A-4904-97CD-5BC003BBAC7E}">
  <sheetPr codeName="Sheet4"/>
  <dimension ref="D30:H96"/>
  <sheetViews>
    <sheetView showGridLines="0" workbookViewId="0">
      <selection activeCell="O28" sqref="O28"/>
    </sheetView>
  </sheetViews>
  <sheetFormatPr defaultRowHeight="14.4" x14ac:dyDescent="0.3"/>
  <cols>
    <col min="4" max="4" width="12.77734375" bestFit="1" customWidth="1"/>
    <col min="5" max="5" width="12.88671875" bestFit="1" customWidth="1"/>
    <col min="6" max="6" width="11.21875" bestFit="1" customWidth="1"/>
    <col min="7" max="7" width="10" bestFit="1" customWidth="1"/>
    <col min="8" max="8" width="7.88671875" bestFit="1" customWidth="1"/>
  </cols>
  <sheetData>
    <row r="30" spans="4:8" x14ac:dyDescent="0.3">
      <c r="D30" s="11" t="s">
        <v>341</v>
      </c>
      <c r="E30" t="s">
        <v>395</v>
      </c>
      <c r="F30" t="s">
        <v>396</v>
      </c>
      <c r="G30" t="s">
        <v>368</v>
      </c>
      <c r="H30" t="s">
        <v>397</v>
      </c>
    </row>
    <row r="31" spans="4:8" x14ac:dyDescent="0.3">
      <c r="D31" s="13">
        <v>44170</v>
      </c>
      <c r="E31" s="2">
        <v>31</v>
      </c>
      <c r="F31" s="2">
        <v>31</v>
      </c>
      <c r="G31" s="2">
        <v>1</v>
      </c>
      <c r="H31" s="2">
        <v>514</v>
      </c>
    </row>
    <row r="32" spans="4:8" x14ac:dyDescent="0.3">
      <c r="D32" s="13">
        <v>44171</v>
      </c>
      <c r="E32" s="2">
        <v>29</v>
      </c>
      <c r="F32" s="2">
        <v>30</v>
      </c>
      <c r="G32" s="2">
        <v>1</v>
      </c>
      <c r="H32" s="2">
        <v>466</v>
      </c>
    </row>
    <row r="33" spans="4:8" x14ac:dyDescent="0.3">
      <c r="D33" s="13">
        <v>44172</v>
      </c>
      <c r="E33" s="2">
        <v>18</v>
      </c>
      <c r="F33" s="2">
        <v>23</v>
      </c>
      <c r="G33" s="2">
        <v>2</v>
      </c>
      <c r="H33" s="2">
        <v>541</v>
      </c>
    </row>
    <row r="34" spans="4:8" x14ac:dyDescent="0.3">
      <c r="D34" s="13">
        <v>44173</v>
      </c>
      <c r="E34" s="2">
        <v>30</v>
      </c>
      <c r="F34" s="2">
        <v>27</v>
      </c>
      <c r="G34" s="2">
        <v>3</v>
      </c>
      <c r="H34" s="2">
        <v>760</v>
      </c>
    </row>
    <row r="35" spans="4:8" x14ac:dyDescent="0.3">
      <c r="D35" s="13">
        <v>44174</v>
      </c>
      <c r="E35" s="2">
        <v>20</v>
      </c>
      <c r="F35" s="2">
        <v>27</v>
      </c>
      <c r="G35" s="2">
        <v>4</v>
      </c>
      <c r="H35" s="2">
        <v>965</v>
      </c>
    </row>
    <row r="36" spans="4:8" x14ac:dyDescent="0.3">
      <c r="D36" s="13">
        <v>44175</v>
      </c>
      <c r="E36" s="2">
        <v>25</v>
      </c>
      <c r="F36" s="2">
        <v>23</v>
      </c>
      <c r="G36" s="2">
        <v>4</v>
      </c>
      <c r="H36" s="2">
        <v>1072</v>
      </c>
    </row>
    <row r="37" spans="4:8" x14ac:dyDescent="0.3">
      <c r="D37" s="13">
        <v>44176</v>
      </c>
      <c r="E37" s="2">
        <v>19</v>
      </c>
      <c r="F37" s="2">
        <v>25</v>
      </c>
      <c r="G37" s="2">
        <v>4</v>
      </c>
      <c r="H37" s="2">
        <v>1134</v>
      </c>
    </row>
    <row r="38" spans="4:8" x14ac:dyDescent="0.3">
      <c r="D38" s="13">
        <v>44177</v>
      </c>
      <c r="E38" s="2">
        <v>23</v>
      </c>
      <c r="F38" s="2">
        <v>22</v>
      </c>
      <c r="G38" s="2">
        <v>4</v>
      </c>
      <c r="H38" s="2">
        <v>970</v>
      </c>
    </row>
    <row r="39" spans="4:8" x14ac:dyDescent="0.3">
      <c r="D39" s="13">
        <v>44178</v>
      </c>
      <c r="E39" s="2">
        <v>20</v>
      </c>
      <c r="F39" s="2">
        <v>21</v>
      </c>
      <c r="G39" s="2">
        <v>6</v>
      </c>
      <c r="H39" s="2">
        <v>1023</v>
      </c>
    </row>
    <row r="40" spans="4:8" x14ac:dyDescent="0.3">
      <c r="D40" s="13">
        <v>44179</v>
      </c>
      <c r="E40" s="2">
        <v>13</v>
      </c>
      <c r="F40" s="2">
        <v>20</v>
      </c>
      <c r="G40" s="2">
        <v>6</v>
      </c>
      <c r="H40" s="2">
        <v>907</v>
      </c>
    </row>
    <row r="41" spans="4:8" x14ac:dyDescent="0.3">
      <c r="D41" s="13">
        <v>44180</v>
      </c>
      <c r="E41" s="2">
        <v>33</v>
      </c>
      <c r="F41" s="2">
        <v>18</v>
      </c>
      <c r="G41" s="2">
        <v>6</v>
      </c>
      <c r="H41" s="2">
        <v>920</v>
      </c>
    </row>
    <row r="42" spans="4:8" x14ac:dyDescent="0.3">
      <c r="D42" s="13">
        <v>44181</v>
      </c>
      <c r="E42" s="2">
        <v>23</v>
      </c>
      <c r="F42" s="2">
        <v>18</v>
      </c>
      <c r="G42" s="2">
        <v>5</v>
      </c>
      <c r="H42" s="2">
        <v>1110</v>
      </c>
    </row>
    <row r="43" spans="4:8" x14ac:dyDescent="0.3">
      <c r="D43" s="13">
        <v>44182</v>
      </c>
      <c r="E43" s="2">
        <v>13</v>
      </c>
      <c r="F43" s="2">
        <v>17</v>
      </c>
      <c r="G43" s="2">
        <v>6</v>
      </c>
      <c r="H43" s="2">
        <v>741</v>
      </c>
    </row>
    <row r="44" spans="4:8" x14ac:dyDescent="0.3">
      <c r="D44" s="13">
        <v>44183</v>
      </c>
      <c r="E44" s="2">
        <v>31</v>
      </c>
      <c r="F44" s="2">
        <v>12</v>
      </c>
      <c r="G44" s="2">
        <v>7</v>
      </c>
      <c r="H44" s="2">
        <v>910</v>
      </c>
    </row>
    <row r="45" spans="4:8" x14ac:dyDescent="0.3">
      <c r="D45" s="13">
        <v>44184</v>
      </c>
      <c r="E45" s="2">
        <v>29</v>
      </c>
      <c r="F45" s="2">
        <v>13</v>
      </c>
      <c r="G45" s="2">
        <v>6</v>
      </c>
      <c r="H45" s="2">
        <v>1003</v>
      </c>
    </row>
    <row r="46" spans="4:8" x14ac:dyDescent="0.3">
      <c r="D46" s="13">
        <v>44185</v>
      </c>
      <c r="E46" s="2">
        <v>17</v>
      </c>
      <c r="F46" s="2">
        <v>14</v>
      </c>
      <c r="G46" s="2">
        <v>6</v>
      </c>
      <c r="H46" s="2">
        <v>568</v>
      </c>
    </row>
    <row r="47" spans="4:8" x14ac:dyDescent="0.3">
      <c r="D47" s="13">
        <v>44186</v>
      </c>
      <c r="E47" s="2">
        <v>17</v>
      </c>
      <c r="F47" s="2">
        <v>14</v>
      </c>
      <c r="G47" s="2">
        <v>4</v>
      </c>
      <c r="H47" s="2">
        <v>428</v>
      </c>
    </row>
    <row r="48" spans="4:8" x14ac:dyDescent="0.3">
      <c r="D48" s="13">
        <v>44187</v>
      </c>
      <c r="E48" s="2">
        <v>26</v>
      </c>
      <c r="F48" s="2">
        <v>9</v>
      </c>
      <c r="G48" s="2">
        <v>4</v>
      </c>
      <c r="H48" s="2">
        <v>950</v>
      </c>
    </row>
    <row r="49" spans="4:8" x14ac:dyDescent="0.3">
      <c r="D49" s="13">
        <v>44188</v>
      </c>
      <c r="E49" s="2">
        <v>35</v>
      </c>
      <c r="F49" s="2">
        <v>10</v>
      </c>
      <c r="G49" s="2">
        <v>3</v>
      </c>
      <c r="H49" s="2">
        <v>1301</v>
      </c>
    </row>
    <row r="50" spans="4:8" x14ac:dyDescent="0.3">
      <c r="D50" s="13">
        <v>44189</v>
      </c>
      <c r="E50" s="2">
        <v>28</v>
      </c>
      <c r="F50" s="2">
        <v>10</v>
      </c>
      <c r="G50" s="2">
        <v>3</v>
      </c>
      <c r="H50" s="2">
        <v>1076</v>
      </c>
    </row>
    <row r="51" spans="4:8" x14ac:dyDescent="0.3">
      <c r="D51" s="13">
        <v>44190</v>
      </c>
      <c r="E51" s="2">
        <v>35</v>
      </c>
      <c r="F51" s="2">
        <v>10</v>
      </c>
      <c r="G51" s="2">
        <v>4</v>
      </c>
      <c r="H51" s="2">
        <v>443</v>
      </c>
    </row>
    <row r="52" spans="4:8" x14ac:dyDescent="0.3">
      <c r="D52" s="13">
        <v>44191</v>
      </c>
      <c r="E52" s="2">
        <v>11</v>
      </c>
      <c r="F52" s="2">
        <v>9</v>
      </c>
      <c r="G52" s="2">
        <v>4</v>
      </c>
      <c r="H52" s="2">
        <v>376</v>
      </c>
    </row>
    <row r="53" spans="4:8" x14ac:dyDescent="0.3">
      <c r="D53" s="13">
        <v>44192</v>
      </c>
      <c r="E53" s="2">
        <v>43</v>
      </c>
      <c r="F53" s="2">
        <v>11</v>
      </c>
      <c r="G53" s="2">
        <v>3</v>
      </c>
      <c r="H53" s="2">
        <v>675</v>
      </c>
    </row>
    <row r="54" spans="4:8" x14ac:dyDescent="0.3">
      <c r="D54" s="13">
        <v>44193</v>
      </c>
      <c r="E54" s="2">
        <v>16</v>
      </c>
      <c r="F54" s="2">
        <v>10</v>
      </c>
      <c r="G54" s="2">
        <v>3</v>
      </c>
      <c r="H54" s="2">
        <v>496</v>
      </c>
    </row>
    <row r="55" spans="4:8" x14ac:dyDescent="0.3">
      <c r="D55" s="13">
        <v>44194</v>
      </c>
      <c r="E55" s="2">
        <v>50</v>
      </c>
      <c r="F55" s="2">
        <v>12</v>
      </c>
      <c r="G55" s="2">
        <v>2</v>
      </c>
      <c r="H55" s="2">
        <v>895</v>
      </c>
    </row>
    <row r="56" spans="4:8" x14ac:dyDescent="0.3">
      <c r="D56" s="13">
        <v>44195</v>
      </c>
      <c r="E56" s="2">
        <v>49</v>
      </c>
      <c r="F56" s="2">
        <v>16</v>
      </c>
      <c r="G56" s="2">
        <v>2</v>
      </c>
      <c r="H56" s="2">
        <v>890</v>
      </c>
    </row>
    <row r="57" spans="4:8" x14ac:dyDescent="0.3">
      <c r="D57" s="13">
        <v>44196</v>
      </c>
      <c r="E57" s="2">
        <v>47</v>
      </c>
      <c r="F57" s="2">
        <v>13</v>
      </c>
      <c r="G57" s="2">
        <v>2</v>
      </c>
      <c r="H57" s="2">
        <v>746</v>
      </c>
    </row>
    <row r="58" spans="4:8" x14ac:dyDescent="0.3">
      <c r="D58" s="13">
        <v>44197</v>
      </c>
      <c r="E58" s="2">
        <v>35</v>
      </c>
      <c r="F58" s="2">
        <v>14</v>
      </c>
      <c r="G58" s="2">
        <v>2</v>
      </c>
      <c r="H58" s="2">
        <v>583</v>
      </c>
    </row>
    <row r="59" spans="4:8" x14ac:dyDescent="0.3">
      <c r="D59" s="13">
        <v>44198</v>
      </c>
      <c r="E59" s="2">
        <v>33</v>
      </c>
      <c r="F59" s="2">
        <v>16</v>
      </c>
      <c r="G59" s="2">
        <v>2</v>
      </c>
      <c r="H59" s="2">
        <v>315</v>
      </c>
    </row>
    <row r="60" spans="4:8" x14ac:dyDescent="0.3">
      <c r="D60" s="13">
        <v>44199</v>
      </c>
      <c r="E60" s="2">
        <v>60</v>
      </c>
      <c r="F60" s="2">
        <v>17</v>
      </c>
      <c r="G60" s="2">
        <v>0</v>
      </c>
      <c r="H60" s="2">
        <v>968</v>
      </c>
    </row>
    <row r="61" spans="4:8" x14ac:dyDescent="0.3">
      <c r="D61" s="13">
        <v>44200</v>
      </c>
      <c r="E61" s="2">
        <v>45</v>
      </c>
      <c r="F61" s="2">
        <v>17</v>
      </c>
      <c r="G61" s="2">
        <v>0</v>
      </c>
      <c r="H61" s="2">
        <v>1151</v>
      </c>
    </row>
    <row r="62" spans="4:8" x14ac:dyDescent="0.3">
      <c r="D62" s="13">
        <v>44201</v>
      </c>
      <c r="E62" s="2">
        <v>63</v>
      </c>
      <c r="F62" s="2">
        <v>18</v>
      </c>
      <c r="G62" s="2">
        <v>0</v>
      </c>
      <c r="H62" s="2">
        <v>1138</v>
      </c>
    </row>
    <row r="63" spans="4:8" x14ac:dyDescent="0.3">
      <c r="D63" s="13">
        <v>44202</v>
      </c>
      <c r="E63" s="2">
        <v>69</v>
      </c>
      <c r="F63" s="2">
        <v>19</v>
      </c>
      <c r="G63" s="2">
        <v>0</v>
      </c>
      <c r="H63" s="2">
        <v>1251</v>
      </c>
    </row>
    <row r="64" spans="4:8" x14ac:dyDescent="0.3">
      <c r="D64" s="13">
        <v>44203</v>
      </c>
      <c r="E64" s="2">
        <v>42</v>
      </c>
      <c r="F64" s="2">
        <v>17</v>
      </c>
      <c r="G64" s="2">
        <v>0</v>
      </c>
      <c r="H64" s="2">
        <v>711</v>
      </c>
    </row>
    <row r="65" spans="4:8" x14ac:dyDescent="0.3">
      <c r="D65" s="13">
        <v>44204</v>
      </c>
      <c r="E65" s="2">
        <v>96</v>
      </c>
      <c r="F65" s="2">
        <v>18</v>
      </c>
      <c r="G65" s="2">
        <v>0</v>
      </c>
      <c r="H65" s="2">
        <v>1072</v>
      </c>
    </row>
    <row r="66" spans="4:8" x14ac:dyDescent="0.3">
      <c r="D66" s="13">
        <v>44205</v>
      </c>
      <c r="E66" s="2">
        <v>75</v>
      </c>
      <c r="F66" s="2">
        <v>20</v>
      </c>
      <c r="G66" s="2">
        <v>2</v>
      </c>
      <c r="H66" s="2">
        <v>975</v>
      </c>
    </row>
    <row r="67" spans="4:8" x14ac:dyDescent="0.3">
      <c r="D67" s="13">
        <v>44206</v>
      </c>
      <c r="E67" s="2">
        <v>57</v>
      </c>
      <c r="F67" s="2">
        <v>21</v>
      </c>
      <c r="G67" s="2">
        <v>3</v>
      </c>
      <c r="H67" s="2">
        <v>981</v>
      </c>
    </row>
    <row r="68" spans="4:8" x14ac:dyDescent="0.3">
      <c r="D68" s="13">
        <v>44207</v>
      </c>
      <c r="E68" s="2">
        <v>47</v>
      </c>
      <c r="F68" s="2">
        <v>25</v>
      </c>
      <c r="G68" s="2">
        <v>2</v>
      </c>
      <c r="H68" s="2">
        <v>1292</v>
      </c>
    </row>
    <row r="69" spans="4:8" x14ac:dyDescent="0.3">
      <c r="D69" s="13">
        <v>44208</v>
      </c>
      <c r="E69" s="2">
        <v>104</v>
      </c>
      <c r="F69" s="2">
        <v>28</v>
      </c>
      <c r="G69" s="2">
        <v>4</v>
      </c>
      <c r="H69" s="2">
        <v>1653</v>
      </c>
    </row>
    <row r="70" spans="4:8" x14ac:dyDescent="0.3">
      <c r="D70" s="13">
        <v>44209</v>
      </c>
      <c r="E70" s="2">
        <v>99</v>
      </c>
      <c r="F70" s="2">
        <v>31</v>
      </c>
      <c r="G70" s="2">
        <v>3</v>
      </c>
      <c r="H70" s="2">
        <v>1330</v>
      </c>
    </row>
    <row r="71" spans="4:8" x14ac:dyDescent="0.3">
      <c r="D71" s="13">
        <v>44210</v>
      </c>
      <c r="E71" s="2">
        <v>85</v>
      </c>
      <c r="F71" s="2">
        <v>32</v>
      </c>
      <c r="G71" s="2">
        <v>3</v>
      </c>
      <c r="H71" s="2">
        <v>1141</v>
      </c>
    </row>
    <row r="72" spans="4:8" x14ac:dyDescent="0.3">
      <c r="D72" s="13">
        <v>44211</v>
      </c>
      <c r="E72" s="2">
        <v>91</v>
      </c>
      <c r="F72" s="2">
        <v>35</v>
      </c>
      <c r="G72" s="2">
        <v>4</v>
      </c>
      <c r="H72" s="2">
        <v>1362</v>
      </c>
    </row>
    <row r="73" spans="4:8" x14ac:dyDescent="0.3">
      <c r="D73" s="13">
        <v>44212</v>
      </c>
      <c r="E73" s="2">
        <v>108</v>
      </c>
      <c r="F73" s="2">
        <v>37</v>
      </c>
      <c r="G73" s="2">
        <v>6</v>
      </c>
      <c r="H73" s="2">
        <v>1218</v>
      </c>
    </row>
    <row r="74" spans="4:8" x14ac:dyDescent="0.3">
      <c r="D74" s="13">
        <v>44213</v>
      </c>
      <c r="E74" s="2">
        <v>93</v>
      </c>
      <c r="F74" s="2">
        <v>43</v>
      </c>
      <c r="G74" s="2">
        <v>7</v>
      </c>
      <c r="H74" s="2">
        <v>1301</v>
      </c>
    </row>
    <row r="75" spans="4:8" x14ac:dyDescent="0.3">
      <c r="D75" s="13">
        <v>44214</v>
      </c>
      <c r="E75" s="2">
        <v>102</v>
      </c>
      <c r="F75" s="2">
        <v>39</v>
      </c>
      <c r="G75" s="2">
        <v>7</v>
      </c>
      <c r="H75" s="2">
        <v>1010</v>
      </c>
    </row>
    <row r="76" spans="4:8" x14ac:dyDescent="0.3">
      <c r="D76" s="13">
        <v>44215</v>
      </c>
      <c r="E76" s="2">
        <v>117</v>
      </c>
      <c r="F76" s="2">
        <v>37</v>
      </c>
      <c r="G76" s="2">
        <v>8</v>
      </c>
      <c r="H76" s="2">
        <v>1708</v>
      </c>
    </row>
    <row r="77" spans="4:8" x14ac:dyDescent="0.3">
      <c r="D77" s="13">
        <v>44216</v>
      </c>
      <c r="E77" s="2">
        <v>132</v>
      </c>
      <c r="F77" s="2">
        <v>39</v>
      </c>
      <c r="G77" s="2">
        <v>9</v>
      </c>
      <c r="H77" s="2">
        <v>1406</v>
      </c>
    </row>
    <row r="78" spans="4:8" x14ac:dyDescent="0.3">
      <c r="D78" s="13">
        <v>44217</v>
      </c>
      <c r="E78" s="2">
        <v>163</v>
      </c>
      <c r="F78" s="2">
        <v>36</v>
      </c>
      <c r="G78" s="2">
        <v>10</v>
      </c>
      <c r="H78" s="2">
        <v>1909</v>
      </c>
    </row>
    <row r="79" spans="4:8" x14ac:dyDescent="0.3">
      <c r="D79" s="13">
        <v>44218</v>
      </c>
      <c r="E79" s="2">
        <v>188</v>
      </c>
      <c r="F79" s="2">
        <v>41</v>
      </c>
      <c r="G79" s="2">
        <v>11</v>
      </c>
      <c r="H79" s="2">
        <v>1866</v>
      </c>
    </row>
    <row r="80" spans="4:8" x14ac:dyDescent="0.3">
      <c r="D80" s="13">
        <v>44219</v>
      </c>
      <c r="E80" s="2">
        <v>173</v>
      </c>
      <c r="F80" s="2">
        <v>48</v>
      </c>
      <c r="G80" s="2">
        <v>11</v>
      </c>
      <c r="H80" s="2">
        <v>1629</v>
      </c>
    </row>
    <row r="81" spans="4:8" x14ac:dyDescent="0.3">
      <c r="D81" s="13">
        <v>44220</v>
      </c>
      <c r="E81" s="2">
        <v>121</v>
      </c>
      <c r="F81" s="2">
        <v>51</v>
      </c>
      <c r="G81" s="2">
        <v>15</v>
      </c>
      <c r="H81" s="2">
        <v>1274</v>
      </c>
    </row>
    <row r="82" spans="4:8" x14ac:dyDescent="0.3">
      <c r="D82" s="13">
        <v>44221</v>
      </c>
      <c r="E82" s="2">
        <v>116</v>
      </c>
      <c r="F82" s="2">
        <v>57</v>
      </c>
      <c r="G82" s="2">
        <v>15</v>
      </c>
      <c r="H82" s="2">
        <v>1649</v>
      </c>
    </row>
    <row r="83" spans="4:8" x14ac:dyDescent="0.3">
      <c r="D83" s="13">
        <v>44222</v>
      </c>
      <c r="E83" s="2">
        <v>211</v>
      </c>
      <c r="F83" s="2">
        <v>58</v>
      </c>
      <c r="G83" s="2">
        <v>15</v>
      </c>
      <c r="H83" s="2">
        <v>2041</v>
      </c>
    </row>
    <row r="84" spans="4:8" x14ac:dyDescent="0.3">
      <c r="D84" s="13">
        <v>44223</v>
      </c>
      <c r="E84" s="2">
        <v>134</v>
      </c>
      <c r="F84" s="2">
        <v>57</v>
      </c>
      <c r="G84" s="2">
        <v>15</v>
      </c>
      <c r="H84" s="2">
        <v>1899</v>
      </c>
    </row>
    <row r="85" spans="4:8" x14ac:dyDescent="0.3">
      <c r="D85" s="13">
        <v>44224</v>
      </c>
      <c r="E85" s="2">
        <v>123</v>
      </c>
      <c r="F85" s="2">
        <v>56</v>
      </c>
      <c r="G85" s="2">
        <v>16</v>
      </c>
      <c r="H85" s="2">
        <v>1799</v>
      </c>
    </row>
    <row r="86" spans="4:8" x14ac:dyDescent="0.3">
      <c r="D86" s="13">
        <v>44225</v>
      </c>
      <c r="E86" s="2">
        <v>179</v>
      </c>
      <c r="F86" s="2">
        <v>57</v>
      </c>
      <c r="G86" s="2">
        <v>21</v>
      </c>
      <c r="H86" s="2">
        <v>2016</v>
      </c>
    </row>
    <row r="87" spans="4:8" x14ac:dyDescent="0.3">
      <c r="D87" s="13">
        <v>44226</v>
      </c>
      <c r="E87" s="2">
        <v>124</v>
      </c>
      <c r="F87" s="2">
        <v>54</v>
      </c>
      <c r="G87" s="2">
        <v>19</v>
      </c>
      <c r="H87" s="2">
        <v>1931</v>
      </c>
    </row>
    <row r="88" spans="4:8" x14ac:dyDescent="0.3">
      <c r="D88" s="13">
        <v>44227</v>
      </c>
      <c r="E88" s="2">
        <v>97</v>
      </c>
      <c r="F88" s="2">
        <v>67</v>
      </c>
      <c r="G88" s="2">
        <v>20</v>
      </c>
      <c r="H88" s="2">
        <v>1291</v>
      </c>
    </row>
    <row r="89" spans="4:8" x14ac:dyDescent="0.3">
      <c r="D89" s="13">
        <v>44228</v>
      </c>
      <c r="E89" s="2">
        <v>78</v>
      </c>
      <c r="F89" s="2">
        <v>70</v>
      </c>
      <c r="G89" s="2">
        <v>22</v>
      </c>
      <c r="H89" s="2">
        <v>1634</v>
      </c>
    </row>
    <row r="90" spans="4:8" x14ac:dyDescent="0.3">
      <c r="D90" s="13">
        <v>44229</v>
      </c>
      <c r="E90" s="2">
        <v>77</v>
      </c>
      <c r="F90" s="2">
        <v>70</v>
      </c>
      <c r="G90" s="2">
        <v>25</v>
      </c>
      <c r="H90" s="2">
        <v>1927</v>
      </c>
    </row>
    <row r="91" spans="4:8" x14ac:dyDescent="0.3">
      <c r="D91" s="13">
        <v>44230</v>
      </c>
      <c r="E91" s="2">
        <v>107</v>
      </c>
      <c r="F91" s="2">
        <v>65</v>
      </c>
      <c r="G91" s="2">
        <v>26</v>
      </c>
      <c r="H91" s="2">
        <v>1952</v>
      </c>
    </row>
    <row r="92" spans="4:8" x14ac:dyDescent="0.3">
      <c r="D92" s="13">
        <v>44231</v>
      </c>
      <c r="E92" s="2">
        <v>82</v>
      </c>
      <c r="F92" s="2">
        <v>64</v>
      </c>
      <c r="G92" s="2">
        <v>27</v>
      </c>
      <c r="H92" s="2">
        <v>2033</v>
      </c>
    </row>
    <row r="93" spans="4:8" x14ac:dyDescent="0.3">
      <c r="D93" s="13">
        <v>44232</v>
      </c>
      <c r="E93" s="2">
        <v>91</v>
      </c>
      <c r="F93" s="2">
        <v>67</v>
      </c>
      <c r="G93" s="2">
        <v>30</v>
      </c>
      <c r="H93" s="2">
        <v>1983</v>
      </c>
    </row>
    <row r="94" spans="4:8" x14ac:dyDescent="0.3">
      <c r="D94" s="13">
        <v>44233</v>
      </c>
      <c r="E94" s="2">
        <v>92</v>
      </c>
      <c r="F94" s="2">
        <v>67</v>
      </c>
      <c r="G94" s="2">
        <v>28</v>
      </c>
      <c r="H94" s="2">
        <v>1687</v>
      </c>
    </row>
    <row r="95" spans="4:8" x14ac:dyDescent="0.3">
      <c r="D95" s="13">
        <v>44234</v>
      </c>
      <c r="E95" s="2">
        <v>51</v>
      </c>
      <c r="F95" s="2">
        <v>68</v>
      </c>
      <c r="G95" s="2">
        <v>29</v>
      </c>
      <c r="H95" s="2">
        <v>1407</v>
      </c>
    </row>
    <row r="96" spans="4:8" x14ac:dyDescent="0.3">
      <c r="D96" s="12" t="s">
        <v>342</v>
      </c>
      <c r="E96" s="2">
        <v>4491</v>
      </c>
      <c r="F96" s="2">
        <v>2041</v>
      </c>
      <c r="G96" s="2">
        <v>522</v>
      </c>
      <c r="H96" s="2">
        <v>76373</v>
      </c>
    </row>
  </sheetData>
  <pageMargins left="0.7" right="0.7" top="0.75" bottom="0.75" header="0.3" footer="0.3"/>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BD13DA-FB17-4EF3-A670-17FDE5381E2A}">
  <sheetPr codeName="Sheet5"/>
  <dimension ref="D30:H96"/>
  <sheetViews>
    <sheetView showGridLines="0" workbookViewId="0">
      <selection activeCell="L29" sqref="L29"/>
    </sheetView>
  </sheetViews>
  <sheetFormatPr defaultRowHeight="14.4" x14ac:dyDescent="0.3"/>
  <cols>
    <col min="4" max="4" width="12.77734375" bestFit="1" customWidth="1"/>
    <col min="5" max="5" width="12.88671875" bestFit="1" customWidth="1"/>
    <col min="6" max="6" width="11.21875" bestFit="1" customWidth="1"/>
    <col min="7" max="7" width="10" bestFit="1" customWidth="1"/>
    <col min="8" max="8" width="7.88671875" bestFit="1" customWidth="1"/>
  </cols>
  <sheetData>
    <row r="30" spans="4:8" x14ac:dyDescent="0.3">
      <c r="D30" s="11" t="s">
        <v>341</v>
      </c>
      <c r="E30" t="s">
        <v>395</v>
      </c>
      <c r="F30" t="s">
        <v>396</v>
      </c>
      <c r="G30" t="s">
        <v>368</v>
      </c>
      <c r="H30" t="s">
        <v>397</v>
      </c>
    </row>
    <row r="31" spans="4:8" x14ac:dyDescent="0.3">
      <c r="D31" s="13">
        <v>44170</v>
      </c>
      <c r="E31" s="2">
        <v>22</v>
      </c>
      <c r="F31" s="2">
        <v>37</v>
      </c>
      <c r="G31" s="2">
        <v>5</v>
      </c>
      <c r="H31" s="2">
        <v>814</v>
      </c>
    </row>
    <row r="32" spans="4:8" x14ac:dyDescent="0.3">
      <c r="D32" s="13">
        <v>44171</v>
      </c>
      <c r="E32" s="2">
        <v>23</v>
      </c>
      <c r="F32" s="2">
        <v>39</v>
      </c>
      <c r="G32" s="2">
        <v>5</v>
      </c>
      <c r="H32" s="2">
        <v>765</v>
      </c>
    </row>
    <row r="33" spans="4:8" x14ac:dyDescent="0.3">
      <c r="D33" s="13">
        <v>44172</v>
      </c>
      <c r="E33" s="2">
        <v>22</v>
      </c>
      <c r="F33" s="2">
        <v>33</v>
      </c>
      <c r="G33" s="2">
        <v>3</v>
      </c>
      <c r="H33" s="2">
        <v>779</v>
      </c>
    </row>
    <row r="34" spans="4:8" x14ac:dyDescent="0.3">
      <c r="D34" s="13">
        <v>44173</v>
      </c>
      <c r="E34" s="2">
        <v>34</v>
      </c>
      <c r="F34" s="2">
        <v>33</v>
      </c>
      <c r="G34" s="2">
        <v>3</v>
      </c>
      <c r="H34" s="2">
        <v>705</v>
      </c>
    </row>
    <row r="35" spans="4:8" x14ac:dyDescent="0.3">
      <c r="D35" s="13">
        <v>44174</v>
      </c>
      <c r="E35" s="2">
        <v>31</v>
      </c>
      <c r="F35" s="2">
        <v>34</v>
      </c>
      <c r="G35" s="2">
        <v>3</v>
      </c>
      <c r="H35" s="2">
        <v>1003</v>
      </c>
    </row>
    <row r="36" spans="4:8" x14ac:dyDescent="0.3">
      <c r="D36" s="13">
        <v>44175</v>
      </c>
      <c r="E36" s="2">
        <v>37</v>
      </c>
      <c r="F36" s="2">
        <v>26</v>
      </c>
      <c r="G36" s="2">
        <v>2</v>
      </c>
      <c r="H36" s="2">
        <v>1031</v>
      </c>
    </row>
    <row r="37" spans="4:8" x14ac:dyDescent="0.3">
      <c r="D37" s="13">
        <v>44176</v>
      </c>
      <c r="E37" s="2">
        <v>31</v>
      </c>
      <c r="F37" s="2">
        <v>30</v>
      </c>
      <c r="G37" s="2">
        <v>2</v>
      </c>
      <c r="H37" s="2">
        <v>689</v>
      </c>
    </row>
    <row r="38" spans="4:8" x14ac:dyDescent="0.3">
      <c r="D38" s="13">
        <v>44177</v>
      </c>
      <c r="E38" s="2">
        <v>48</v>
      </c>
      <c r="F38" s="2">
        <v>32</v>
      </c>
      <c r="G38" s="2">
        <v>2</v>
      </c>
      <c r="H38" s="2">
        <v>553</v>
      </c>
    </row>
    <row r="39" spans="4:8" x14ac:dyDescent="0.3">
      <c r="D39" s="13">
        <v>44178</v>
      </c>
      <c r="E39" s="2">
        <v>41</v>
      </c>
      <c r="F39" s="2">
        <v>36</v>
      </c>
      <c r="G39" s="2">
        <v>1</v>
      </c>
      <c r="H39" s="2">
        <v>642</v>
      </c>
    </row>
    <row r="40" spans="4:8" x14ac:dyDescent="0.3">
      <c r="D40" s="13">
        <v>44179</v>
      </c>
      <c r="E40" s="2">
        <v>12</v>
      </c>
      <c r="F40" s="2">
        <v>38</v>
      </c>
      <c r="G40" s="2">
        <v>1</v>
      </c>
      <c r="H40" s="2">
        <v>1219</v>
      </c>
    </row>
    <row r="41" spans="4:8" x14ac:dyDescent="0.3">
      <c r="D41" s="13">
        <v>44180</v>
      </c>
      <c r="E41" s="2">
        <v>28</v>
      </c>
      <c r="F41" s="2">
        <v>35</v>
      </c>
      <c r="G41" s="2">
        <v>2</v>
      </c>
      <c r="H41" s="2">
        <v>1081</v>
      </c>
    </row>
    <row r="42" spans="4:8" x14ac:dyDescent="0.3">
      <c r="D42" s="13">
        <v>44181</v>
      </c>
      <c r="E42" s="2">
        <v>41</v>
      </c>
      <c r="F42" s="2">
        <v>36</v>
      </c>
      <c r="G42" s="2">
        <v>1</v>
      </c>
      <c r="H42" s="2">
        <v>773</v>
      </c>
    </row>
    <row r="43" spans="4:8" x14ac:dyDescent="0.3">
      <c r="D43" s="13">
        <v>44182</v>
      </c>
      <c r="E43" s="2">
        <v>51</v>
      </c>
      <c r="F43" s="2">
        <v>36</v>
      </c>
      <c r="G43" s="2">
        <v>2</v>
      </c>
      <c r="H43" s="2">
        <v>777</v>
      </c>
    </row>
    <row r="44" spans="4:8" x14ac:dyDescent="0.3">
      <c r="D44" s="13">
        <v>44183</v>
      </c>
      <c r="E44" s="2">
        <v>23</v>
      </c>
      <c r="F44" s="2">
        <v>32</v>
      </c>
      <c r="G44" s="2">
        <v>3</v>
      </c>
      <c r="H44" s="2">
        <v>847</v>
      </c>
    </row>
    <row r="45" spans="4:8" x14ac:dyDescent="0.3">
      <c r="D45" s="13">
        <v>44184</v>
      </c>
      <c r="E45" s="2">
        <v>15</v>
      </c>
      <c r="F45" s="2">
        <v>32</v>
      </c>
      <c r="G45" s="2">
        <v>3</v>
      </c>
      <c r="H45" s="2">
        <v>955</v>
      </c>
    </row>
    <row r="46" spans="4:8" x14ac:dyDescent="0.3">
      <c r="D46" s="13">
        <v>44185</v>
      </c>
      <c r="E46" s="2">
        <v>44</v>
      </c>
      <c r="F46" s="2">
        <v>30</v>
      </c>
      <c r="G46" s="2">
        <v>4</v>
      </c>
      <c r="H46" s="2">
        <v>1147</v>
      </c>
    </row>
    <row r="47" spans="4:8" x14ac:dyDescent="0.3">
      <c r="D47" s="13">
        <v>44186</v>
      </c>
      <c r="E47" s="2">
        <v>51</v>
      </c>
      <c r="F47" s="2">
        <v>30</v>
      </c>
      <c r="G47" s="2">
        <v>4</v>
      </c>
      <c r="H47" s="2">
        <v>1015</v>
      </c>
    </row>
    <row r="48" spans="4:8" x14ac:dyDescent="0.3">
      <c r="D48" s="13">
        <v>44187</v>
      </c>
      <c r="E48" s="2">
        <v>27</v>
      </c>
      <c r="F48" s="2">
        <v>24</v>
      </c>
      <c r="G48" s="2">
        <v>4</v>
      </c>
      <c r="H48" s="2">
        <v>767</v>
      </c>
    </row>
    <row r="49" spans="4:8" x14ac:dyDescent="0.3">
      <c r="D49" s="13">
        <v>44188</v>
      </c>
      <c r="E49" s="2">
        <v>45</v>
      </c>
      <c r="F49" s="2">
        <v>27</v>
      </c>
      <c r="G49" s="2">
        <v>4</v>
      </c>
      <c r="H49" s="2">
        <v>815</v>
      </c>
    </row>
    <row r="50" spans="4:8" x14ac:dyDescent="0.3">
      <c r="D50" s="13">
        <v>44189</v>
      </c>
      <c r="E50" s="2">
        <v>52</v>
      </c>
      <c r="F50" s="2">
        <v>18</v>
      </c>
      <c r="G50" s="2">
        <v>4</v>
      </c>
      <c r="H50" s="2">
        <v>937</v>
      </c>
    </row>
    <row r="51" spans="4:8" x14ac:dyDescent="0.3">
      <c r="D51" s="13">
        <v>44190</v>
      </c>
      <c r="E51" s="2">
        <v>42</v>
      </c>
      <c r="F51" s="2">
        <v>20</v>
      </c>
      <c r="G51" s="2">
        <v>3</v>
      </c>
      <c r="H51" s="2">
        <v>577</v>
      </c>
    </row>
    <row r="52" spans="4:8" x14ac:dyDescent="0.3">
      <c r="D52" s="13">
        <v>44191</v>
      </c>
      <c r="E52" s="2">
        <v>16</v>
      </c>
      <c r="F52" s="2">
        <v>19</v>
      </c>
      <c r="G52" s="2">
        <v>4</v>
      </c>
      <c r="H52" s="2">
        <v>317</v>
      </c>
    </row>
    <row r="53" spans="4:8" x14ac:dyDescent="0.3">
      <c r="D53" s="13">
        <v>44192</v>
      </c>
      <c r="E53" s="2">
        <v>21</v>
      </c>
      <c r="F53" s="2">
        <v>22</v>
      </c>
      <c r="G53" s="2">
        <v>4</v>
      </c>
      <c r="H53" s="2">
        <v>472</v>
      </c>
    </row>
    <row r="54" spans="4:8" x14ac:dyDescent="0.3">
      <c r="D54" s="13">
        <v>44193</v>
      </c>
      <c r="E54" s="2">
        <v>27</v>
      </c>
      <c r="F54" s="2">
        <v>21</v>
      </c>
      <c r="G54" s="2">
        <v>4</v>
      </c>
      <c r="H54" s="2">
        <v>753</v>
      </c>
    </row>
    <row r="55" spans="4:8" x14ac:dyDescent="0.3">
      <c r="D55" s="13">
        <v>44194</v>
      </c>
      <c r="E55" s="2">
        <v>49</v>
      </c>
      <c r="F55" s="2">
        <v>22</v>
      </c>
      <c r="G55" s="2">
        <v>3</v>
      </c>
      <c r="H55" s="2">
        <v>785</v>
      </c>
    </row>
    <row r="56" spans="4:8" x14ac:dyDescent="0.3">
      <c r="D56" s="13">
        <v>44195</v>
      </c>
      <c r="E56" s="2">
        <v>69</v>
      </c>
      <c r="F56" s="2">
        <v>24</v>
      </c>
      <c r="G56" s="2">
        <v>3</v>
      </c>
      <c r="H56" s="2">
        <v>636</v>
      </c>
    </row>
    <row r="57" spans="4:8" x14ac:dyDescent="0.3">
      <c r="D57" s="13">
        <v>44196</v>
      </c>
      <c r="E57" s="2">
        <v>69</v>
      </c>
      <c r="F57" s="2">
        <v>21</v>
      </c>
      <c r="G57" s="2">
        <v>2</v>
      </c>
      <c r="H57" s="2">
        <v>921</v>
      </c>
    </row>
    <row r="58" spans="4:8" x14ac:dyDescent="0.3">
      <c r="D58" s="13">
        <v>44197</v>
      </c>
      <c r="E58" s="2">
        <v>31</v>
      </c>
      <c r="F58" s="2">
        <v>22</v>
      </c>
      <c r="G58" s="2">
        <v>2</v>
      </c>
      <c r="H58" s="2">
        <v>479</v>
      </c>
    </row>
    <row r="59" spans="4:8" x14ac:dyDescent="0.3">
      <c r="D59" s="13">
        <v>44198</v>
      </c>
      <c r="E59" s="2">
        <v>30</v>
      </c>
      <c r="F59" s="2">
        <v>23</v>
      </c>
      <c r="G59" s="2">
        <v>3</v>
      </c>
      <c r="H59" s="2">
        <v>454</v>
      </c>
    </row>
    <row r="60" spans="4:8" x14ac:dyDescent="0.3">
      <c r="D60" s="13">
        <v>44199</v>
      </c>
      <c r="E60" s="2">
        <v>87</v>
      </c>
      <c r="F60" s="2">
        <v>25</v>
      </c>
      <c r="G60" s="2">
        <v>3</v>
      </c>
      <c r="H60" s="2">
        <v>797</v>
      </c>
    </row>
    <row r="61" spans="4:8" x14ac:dyDescent="0.3">
      <c r="D61" s="13">
        <v>44200</v>
      </c>
      <c r="E61" s="2">
        <v>62</v>
      </c>
      <c r="F61" s="2">
        <v>28</v>
      </c>
      <c r="G61" s="2">
        <v>2</v>
      </c>
      <c r="H61" s="2">
        <v>629</v>
      </c>
    </row>
    <row r="62" spans="4:8" x14ac:dyDescent="0.3">
      <c r="D62" s="13">
        <v>44201</v>
      </c>
      <c r="E62" s="2">
        <v>95</v>
      </c>
      <c r="F62" s="2">
        <v>31</v>
      </c>
      <c r="G62" s="2">
        <v>1</v>
      </c>
      <c r="H62" s="2">
        <v>1127</v>
      </c>
    </row>
    <row r="63" spans="4:8" x14ac:dyDescent="0.3">
      <c r="D63" s="13">
        <v>44202</v>
      </c>
      <c r="E63" s="2">
        <v>80</v>
      </c>
      <c r="F63" s="2">
        <v>32</v>
      </c>
      <c r="G63" s="2">
        <v>2</v>
      </c>
      <c r="H63" s="2">
        <v>938</v>
      </c>
    </row>
    <row r="64" spans="4:8" x14ac:dyDescent="0.3">
      <c r="D64" s="13">
        <v>44203</v>
      </c>
      <c r="E64" s="2">
        <v>102</v>
      </c>
      <c r="F64" s="2">
        <v>32</v>
      </c>
      <c r="G64" s="2">
        <v>2</v>
      </c>
      <c r="H64" s="2">
        <v>1016</v>
      </c>
    </row>
    <row r="65" spans="4:8" x14ac:dyDescent="0.3">
      <c r="D65" s="13">
        <v>44204</v>
      </c>
      <c r="E65" s="2">
        <v>100</v>
      </c>
      <c r="F65" s="2">
        <v>30</v>
      </c>
      <c r="G65" s="2">
        <v>3</v>
      </c>
      <c r="H65" s="2">
        <v>1492</v>
      </c>
    </row>
    <row r="66" spans="4:8" x14ac:dyDescent="0.3">
      <c r="D66" s="13">
        <v>44205</v>
      </c>
      <c r="E66" s="2">
        <v>110</v>
      </c>
      <c r="F66" s="2">
        <v>37</v>
      </c>
      <c r="G66" s="2">
        <v>3</v>
      </c>
      <c r="H66" s="2">
        <v>1378</v>
      </c>
    </row>
    <row r="67" spans="4:8" x14ac:dyDescent="0.3">
      <c r="D67" s="13">
        <v>44206</v>
      </c>
      <c r="E67" s="2">
        <v>114</v>
      </c>
      <c r="F67" s="2">
        <v>42</v>
      </c>
      <c r="G67" s="2">
        <v>3</v>
      </c>
      <c r="H67" s="2">
        <v>1473</v>
      </c>
    </row>
    <row r="68" spans="4:8" x14ac:dyDescent="0.3">
      <c r="D68" s="13">
        <v>44207</v>
      </c>
      <c r="E68" s="2">
        <v>124</v>
      </c>
      <c r="F68" s="2">
        <v>44</v>
      </c>
      <c r="G68" s="2">
        <v>4</v>
      </c>
      <c r="H68" s="2">
        <v>1281</v>
      </c>
    </row>
    <row r="69" spans="4:8" x14ac:dyDescent="0.3">
      <c r="D69" s="13">
        <v>44208</v>
      </c>
      <c r="E69" s="2">
        <v>135</v>
      </c>
      <c r="F69" s="2">
        <v>44</v>
      </c>
      <c r="G69" s="2">
        <v>4</v>
      </c>
      <c r="H69" s="2">
        <v>1668</v>
      </c>
    </row>
    <row r="70" spans="4:8" x14ac:dyDescent="0.3">
      <c r="D70" s="13">
        <v>44209</v>
      </c>
      <c r="E70" s="2">
        <v>164</v>
      </c>
      <c r="F70" s="2">
        <v>46</v>
      </c>
      <c r="G70" s="2">
        <v>7</v>
      </c>
      <c r="H70" s="2">
        <v>1797</v>
      </c>
    </row>
    <row r="71" spans="4:8" x14ac:dyDescent="0.3">
      <c r="D71" s="13">
        <v>44210</v>
      </c>
      <c r="E71" s="2">
        <v>194</v>
      </c>
      <c r="F71" s="2">
        <v>54</v>
      </c>
      <c r="G71" s="2">
        <v>9</v>
      </c>
      <c r="H71" s="2">
        <v>2077</v>
      </c>
    </row>
    <row r="72" spans="4:8" x14ac:dyDescent="0.3">
      <c r="D72" s="13">
        <v>44211</v>
      </c>
      <c r="E72" s="2">
        <v>187</v>
      </c>
      <c r="F72" s="2">
        <v>60</v>
      </c>
      <c r="G72" s="2">
        <v>9</v>
      </c>
      <c r="H72" s="2">
        <v>2289</v>
      </c>
    </row>
    <row r="73" spans="4:8" x14ac:dyDescent="0.3">
      <c r="D73" s="13">
        <v>44212</v>
      </c>
      <c r="E73" s="2">
        <v>167</v>
      </c>
      <c r="F73" s="2">
        <v>75</v>
      </c>
      <c r="G73" s="2">
        <v>7</v>
      </c>
      <c r="H73" s="2">
        <v>1598</v>
      </c>
    </row>
    <row r="74" spans="4:8" x14ac:dyDescent="0.3">
      <c r="D74" s="13">
        <v>44213</v>
      </c>
      <c r="E74" s="2">
        <v>131</v>
      </c>
      <c r="F74" s="2">
        <v>92</v>
      </c>
      <c r="G74" s="2">
        <v>6</v>
      </c>
      <c r="H74" s="2">
        <v>2165</v>
      </c>
    </row>
    <row r="75" spans="4:8" x14ac:dyDescent="0.3">
      <c r="D75" s="13">
        <v>44214</v>
      </c>
      <c r="E75" s="2">
        <v>207</v>
      </c>
      <c r="F75" s="2">
        <v>105</v>
      </c>
      <c r="G75" s="2">
        <v>8</v>
      </c>
      <c r="H75" s="2">
        <v>2472</v>
      </c>
    </row>
    <row r="76" spans="4:8" x14ac:dyDescent="0.3">
      <c r="D76" s="13">
        <v>44215</v>
      </c>
      <c r="E76" s="2">
        <v>205</v>
      </c>
      <c r="F76" s="2">
        <v>103</v>
      </c>
      <c r="G76" s="2">
        <v>10</v>
      </c>
      <c r="H76" s="2">
        <v>2228</v>
      </c>
    </row>
    <row r="77" spans="4:8" x14ac:dyDescent="0.3">
      <c r="D77" s="13">
        <v>44216</v>
      </c>
      <c r="E77" s="2">
        <v>242</v>
      </c>
      <c r="F77" s="2">
        <v>114</v>
      </c>
      <c r="G77" s="2">
        <v>10</v>
      </c>
      <c r="H77" s="2">
        <v>2060</v>
      </c>
    </row>
    <row r="78" spans="4:8" x14ac:dyDescent="0.3">
      <c r="D78" s="13">
        <v>44217</v>
      </c>
      <c r="E78" s="2">
        <v>253</v>
      </c>
      <c r="F78" s="2">
        <v>119</v>
      </c>
      <c r="G78" s="2">
        <v>10</v>
      </c>
      <c r="H78" s="2">
        <v>1577</v>
      </c>
    </row>
    <row r="79" spans="4:8" x14ac:dyDescent="0.3">
      <c r="D79" s="13">
        <v>44218</v>
      </c>
      <c r="E79" s="2">
        <v>264</v>
      </c>
      <c r="F79" s="2">
        <v>129</v>
      </c>
      <c r="G79" s="2">
        <v>12</v>
      </c>
      <c r="H79" s="2">
        <v>2398</v>
      </c>
    </row>
    <row r="80" spans="4:8" x14ac:dyDescent="0.3">
      <c r="D80" s="13">
        <v>44219</v>
      </c>
      <c r="E80" s="2">
        <v>231</v>
      </c>
      <c r="F80" s="2">
        <v>143</v>
      </c>
      <c r="G80" s="2">
        <v>12</v>
      </c>
      <c r="H80" s="2">
        <v>2181</v>
      </c>
    </row>
    <row r="81" spans="4:8" x14ac:dyDescent="0.3">
      <c r="D81" s="13">
        <v>44220</v>
      </c>
      <c r="E81" s="2">
        <v>150</v>
      </c>
      <c r="F81" s="2">
        <v>156</v>
      </c>
      <c r="G81" s="2">
        <v>12</v>
      </c>
      <c r="H81" s="2">
        <v>2483</v>
      </c>
    </row>
    <row r="82" spans="4:8" x14ac:dyDescent="0.3">
      <c r="D82" s="13">
        <v>44221</v>
      </c>
      <c r="E82" s="2">
        <v>211</v>
      </c>
      <c r="F82" s="2">
        <v>164</v>
      </c>
      <c r="G82" s="2">
        <v>12</v>
      </c>
      <c r="H82" s="2">
        <v>3638</v>
      </c>
    </row>
    <row r="83" spans="4:8" x14ac:dyDescent="0.3">
      <c r="D83" s="13">
        <v>44222</v>
      </c>
      <c r="E83" s="2">
        <v>218</v>
      </c>
      <c r="F83" s="2">
        <v>172</v>
      </c>
      <c r="G83" s="2">
        <v>14</v>
      </c>
      <c r="H83" s="2">
        <v>4427</v>
      </c>
    </row>
    <row r="84" spans="4:8" x14ac:dyDescent="0.3">
      <c r="D84" s="13">
        <v>44223</v>
      </c>
      <c r="E84" s="2">
        <v>171</v>
      </c>
      <c r="F84" s="2">
        <v>177</v>
      </c>
      <c r="G84" s="2">
        <v>14</v>
      </c>
      <c r="H84" s="2">
        <v>1897</v>
      </c>
    </row>
    <row r="85" spans="4:8" x14ac:dyDescent="0.3">
      <c r="D85" s="13">
        <v>44224</v>
      </c>
      <c r="E85" s="2">
        <v>190</v>
      </c>
      <c r="F85" s="2">
        <v>178</v>
      </c>
      <c r="G85" s="2">
        <v>12</v>
      </c>
      <c r="H85" s="2">
        <v>2860</v>
      </c>
    </row>
    <row r="86" spans="4:8" x14ac:dyDescent="0.3">
      <c r="D86" s="13">
        <v>44225</v>
      </c>
      <c r="E86" s="2">
        <v>136</v>
      </c>
      <c r="F86" s="2">
        <v>168</v>
      </c>
      <c r="G86" s="2">
        <v>14</v>
      </c>
      <c r="H86" s="2">
        <v>2846</v>
      </c>
    </row>
    <row r="87" spans="4:8" x14ac:dyDescent="0.3">
      <c r="D87" s="13">
        <v>44226</v>
      </c>
      <c r="E87" s="2">
        <v>156</v>
      </c>
      <c r="F87" s="2">
        <v>171</v>
      </c>
      <c r="G87" s="2">
        <v>13</v>
      </c>
      <c r="H87" s="2">
        <v>1890</v>
      </c>
    </row>
    <row r="88" spans="4:8" x14ac:dyDescent="0.3">
      <c r="D88" s="13">
        <v>44227</v>
      </c>
      <c r="E88" s="2">
        <v>132</v>
      </c>
      <c r="F88" s="2">
        <v>185</v>
      </c>
      <c r="G88" s="2">
        <v>13</v>
      </c>
      <c r="H88" s="2">
        <v>1725</v>
      </c>
    </row>
    <row r="89" spans="4:8" x14ac:dyDescent="0.3">
      <c r="D89" s="13">
        <v>44228</v>
      </c>
      <c r="E89" s="2">
        <v>119</v>
      </c>
      <c r="F89" s="2">
        <v>184</v>
      </c>
      <c r="G89" s="2">
        <v>13</v>
      </c>
      <c r="H89" s="2">
        <v>2263</v>
      </c>
    </row>
    <row r="90" spans="4:8" x14ac:dyDescent="0.3">
      <c r="D90" s="13">
        <v>44229</v>
      </c>
      <c r="E90" s="2">
        <v>114</v>
      </c>
      <c r="F90" s="2">
        <v>176</v>
      </c>
      <c r="G90" s="2">
        <v>14</v>
      </c>
      <c r="H90" s="2">
        <v>2074</v>
      </c>
    </row>
    <row r="91" spans="4:8" x14ac:dyDescent="0.3">
      <c r="D91" s="13">
        <v>44230</v>
      </c>
      <c r="E91" s="2">
        <v>121</v>
      </c>
      <c r="F91" s="2">
        <v>156</v>
      </c>
      <c r="G91" s="2">
        <v>15</v>
      </c>
      <c r="H91" s="2">
        <v>1849</v>
      </c>
    </row>
    <row r="92" spans="4:8" x14ac:dyDescent="0.3">
      <c r="D92" s="13">
        <v>44231</v>
      </c>
      <c r="E92" s="2">
        <v>112</v>
      </c>
      <c r="F92" s="2">
        <v>154</v>
      </c>
      <c r="G92" s="2">
        <v>18</v>
      </c>
      <c r="H92" s="2">
        <v>1997</v>
      </c>
    </row>
    <row r="93" spans="4:8" x14ac:dyDescent="0.3">
      <c r="D93" s="13">
        <v>44232</v>
      </c>
      <c r="E93" s="2">
        <v>77</v>
      </c>
      <c r="F93" s="2">
        <v>145</v>
      </c>
      <c r="G93" s="2">
        <v>17</v>
      </c>
      <c r="H93" s="2">
        <v>3302</v>
      </c>
    </row>
    <row r="94" spans="4:8" x14ac:dyDescent="0.3">
      <c r="D94" s="13">
        <v>44233</v>
      </c>
      <c r="E94" s="2">
        <v>81</v>
      </c>
      <c r="F94" s="2">
        <v>153</v>
      </c>
      <c r="G94" s="2">
        <v>18</v>
      </c>
      <c r="H94" s="2">
        <v>2917</v>
      </c>
    </row>
    <row r="95" spans="4:8" x14ac:dyDescent="0.3">
      <c r="D95" s="13">
        <v>44234</v>
      </c>
      <c r="E95" s="2">
        <v>44</v>
      </c>
      <c r="F95" s="2">
        <v>161</v>
      </c>
      <c r="G95" s="2">
        <v>20</v>
      </c>
      <c r="H95" s="2">
        <v>2468</v>
      </c>
    </row>
    <row r="96" spans="4:8" x14ac:dyDescent="0.3">
      <c r="D96" s="12" t="s">
        <v>342</v>
      </c>
      <c r="E96" s="2">
        <v>6318</v>
      </c>
      <c r="F96" s="2">
        <v>4717</v>
      </c>
      <c r="G96" s="2">
        <v>432</v>
      </c>
      <c r="H96" s="2">
        <v>95985</v>
      </c>
    </row>
  </sheetData>
  <pageMargins left="0.7" right="0.7" top="0.75" bottom="0.75" header="0.3" footer="0.3"/>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0E2BC8-99D3-475E-A573-EA5E45EBE12F}">
  <sheetPr codeName="Sheet6"/>
  <dimension ref="D30:H96"/>
  <sheetViews>
    <sheetView showGridLines="0" workbookViewId="0">
      <selection activeCell="I33" sqref="I33"/>
    </sheetView>
  </sheetViews>
  <sheetFormatPr defaultRowHeight="14.4" x14ac:dyDescent="0.3"/>
  <cols>
    <col min="4" max="4" width="12.77734375" bestFit="1" customWidth="1"/>
    <col min="5" max="5" width="12.88671875" bestFit="1" customWidth="1"/>
    <col min="6" max="6" width="11.21875" bestFit="1" customWidth="1"/>
    <col min="7" max="7" width="10" bestFit="1" customWidth="1"/>
    <col min="8" max="8" width="7.88671875" bestFit="1" customWidth="1"/>
  </cols>
  <sheetData>
    <row r="30" spans="4:8" x14ac:dyDescent="0.3">
      <c r="D30" s="11" t="s">
        <v>341</v>
      </c>
      <c r="E30" t="s">
        <v>395</v>
      </c>
      <c r="F30" t="s">
        <v>396</v>
      </c>
      <c r="G30" t="s">
        <v>368</v>
      </c>
      <c r="H30" t="s">
        <v>397</v>
      </c>
    </row>
    <row r="31" spans="4:8" x14ac:dyDescent="0.3">
      <c r="D31" s="13">
        <v>44170</v>
      </c>
      <c r="E31" s="2">
        <v>37</v>
      </c>
      <c r="F31" s="2">
        <v>42</v>
      </c>
      <c r="G31" s="2">
        <v>9</v>
      </c>
      <c r="H31" s="2">
        <v>903</v>
      </c>
    </row>
    <row r="32" spans="4:8" x14ac:dyDescent="0.3">
      <c r="D32" s="13">
        <v>44171</v>
      </c>
      <c r="E32" s="2">
        <v>33</v>
      </c>
      <c r="F32" s="2">
        <v>44</v>
      </c>
      <c r="G32" s="2">
        <v>9</v>
      </c>
      <c r="H32" s="2">
        <v>692</v>
      </c>
    </row>
    <row r="33" spans="4:8" x14ac:dyDescent="0.3">
      <c r="D33" s="13">
        <v>44172</v>
      </c>
      <c r="E33" s="2">
        <v>44</v>
      </c>
      <c r="F33" s="2">
        <v>40</v>
      </c>
      <c r="G33" s="2">
        <v>9</v>
      </c>
      <c r="H33" s="2">
        <v>668</v>
      </c>
    </row>
    <row r="34" spans="4:8" x14ac:dyDescent="0.3">
      <c r="D34" s="13">
        <v>44173</v>
      </c>
      <c r="E34" s="2">
        <v>48</v>
      </c>
      <c r="F34" s="2">
        <v>41</v>
      </c>
      <c r="G34" s="2">
        <v>9</v>
      </c>
      <c r="H34" s="2">
        <v>870</v>
      </c>
    </row>
    <row r="35" spans="4:8" x14ac:dyDescent="0.3">
      <c r="D35" s="13">
        <v>44174</v>
      </c>
      <c r="E35" s="2">
        <v>39</v>
      </c>
      <c r="F35" s="2">
        <v>42</v>
      </c>
      <c r="G35" s="2">
        <v>9</v>
      </c>
      <c r="H35" s="2">
        <v>658</v>
      </c>
    </row>
    <row r="36" spans="4:8" x14ac:dyDescent="0.3">
      <c r="D36" s="13">
        <v>44175</v>
      </c>
      <c r="E36" s="2">
        <v>37</v>
      </c>
      <c r="F36" s="2">
        <v>42</v>
      </c>
      <c r="G36" s="2">
        <v>10</v>
      </c>
      <c r="H36" s="2">
        <v>940</v>
      </c>
    </row>
    <row r="37" spans="4:8" x14ac:dyDescent="0.3">
      <c r="D37" s="13">
        <v>44176</v>
      </c>
      <c r="E37" s="2">
        <v>64</v>
      </c>
      <c r="F37" s="2">
        <v>39</v>
      </c>
      <c r="G37" s="2">
        <v>9</v>
      </c>
      <c r="H37" s="2">
        <v>1190</v>
      </c>
    </row>
    <row r="38" spans="4:8" x14ac:dyDescent="0.3">
      <c r="D38" s="13">
        <v>44177</v>
      </c>
      <c r="E38" s="2">
        <v>68</v>
      </c>
      <c r="F38" s="2">
        <v>38</v>
      </c>
      <c r="G38" s="2">
        <v>8</v>
      </c>
      <c r="H38" s="2">
        <v>1047</v>
      </c>
    </row>
    <row r="39" spans="4:8" x14ac:dyDescent="0.3">
      <c r="D39" s="13">
        <v>44178</v>
      </c>
      <c r="E39" s="2">
        <v>52</v>
      </c>
      <c r="F39" s="2">
        <v>42</v>
      </c>
      <c r="G39" s="2">
        <v>8</v>
      </c>
      <c r="H39" s="2">
        <v>616</v>
      </c>
    </row>
    <row r="40" spans="4:8" x14ac:dyDescent="0.3">
      <c r="D40" s="13">
        <v>44179</v>
      </c>
      <c r="E40" s="2">
        <v>82</v>
      </c>
      <c r="F40" s="2">
        <v>44</v>
      </c>
      <c r="G40" s="2">
        <v>8</v>
      </c>
      <c r="H40" s="2">
        <v>932</v>
      </c>
    </row>
    <row r="41" spans="4:8" x14ac:dyDescent="0.3">
      <c r="D41" s="13">
        <v>44180</v>
      </c>
      <c r="E41" s="2">
        <v>45</v>
      </c>
      <c r="F41" s="2">
        <v>44</v>
      </c>
      <c r="G41" s="2">
        <v>8</v>
      </c>
      <c r="H41" s="2">
        <v>904</v>
      </c>
    </row>
    <row r="42" spans="4:8" x14ac:dyDescent="0.3">
      <c r="D42" s="13">
        <v>44181</v>
      </c>
      <c r="E42" s="2">
        <v>61</v>
      </c>
      <c r="F42" s="2">
        <v>44</v>
      </c>
      <c r="G42" s="2">
        <v>9</v>
      </c>
      <c r="H42" s="2">
        <v>1014</v>
      </c>
    </row>
    <row r="43" spans="4:8" x14ac:dyDescent="0.3">
      <c r="D43" s="13">
        <v>44182</v>
      </c>
      <c r="E43" s="2">
        <v>72</v>
      </c>
      <c r="F43" s="2">
        <v>46</v>
      </c>
      <c r="G43" s="2">
        <v>9</v>
      </c>
      <c r="H43" s="2">
        <v>985</v>
      </c>
    </row>
    <row r="44" spans="4:8" x14ac:dyDescent="0.3">
      <c r="D44" s="13">
        <v>44183</v>
      </c>
      <c r="E44" s="2">
        <v>64</v>
      </c>
      <c r="F44" s="2">
        <v>37</v>
      </c>
      <c r="G44" s="2">
        <v>8</v>
      </c>
      <c r="H44" s="2">
        <v>1065</v>
      </c>
    </row>
    <row r="45" spans="4:8" x14ac:dyDescent="0.3">
      <c r="D45" s="13">
        <v>44184</v>
      </c>
      <c r="E45" s="2">
        <v>58</v>
      </c>
      <c r="F45" s="2">
        <v>40</v>
      </c>
      <c r="G45" s="2">
        <v>8</v>
      </c>
      <c r="H45" s="2">
        <v>796</v>
      </c>
    </row>
    <row r="46" spans="4:8" x14ac:dyDescent="0.3">
      <c r="D46" s="13">
        <v>44185</v>
      </c>
      <c r="E46" s="2">
        <v>26</v>
      </c>
      <c r="F46" s="2">
        <v>42</v>
      </c>
      <c r="G46" s="2">
        <v>7</v>
      </c>
      <c r="H46" s="2">
        <v>530</v>
      </c>
    </row>
    <row r="47" spans="4:8" x14ac:dyDescent="0.3">
      <c r="D47" s="13">
        <v>44186</v>
      </c>
      <c r="E47" s="2">
        <v>45</v>
      </c>
      <c r="F47" s="2">
        <v>42</v>
      </c>
      <c r="G47" s="2">
        <v>8</v>
      </c>
      <c r="H47" s="2">
        <v>748</v>
      </c>
    </row>
    <row r="48" spans="4:8" x14ac:dyDescent="0.3">
      <c r="D48" s="13">
        <v>44187</v>
      </c>
      <c r="E48" s="2">
        <v>36</v>
      </c>
      <c r="F48" s="2">
        <v>42</v>
      </c>
      <c r="G48" s="2">
        <v>6</v>
      </c>
      <c r="H48" s="2">
        <v>1001</v>
      </c>
    </row>
    <row r="49" spans="4:8" x14ac:dyDescent="0.3">
      <c r="D49" s="13">
        <v>44188</v>
      </c>
      <c r="E49" s="2">
        <v>60</v>
      </c>
      <c r="F49" s="2">
        <v>40</v>
      </c>
      <c r="G49" s="2">
        <v>8</v>
      </c>
      <c r="H49" s="2">
        <v>1102</v>
      </c>
    </row>
    <row r="50" spans="4:8" x14ac:dyDescent="0.3">
      <c r="D50" s="13">
        <v>44189</v>
      </c>
      <c r="E50" s="2">
        <v>58</v>
      </c>
      <c r="F50" s="2">
        <v>39</v>
      </c>
      <c r="G50" s="2">
        <v>9</v>
      </c>
      <c r="H50" s="2">
        <v>1132</v>
      </c>
    </row>
    <row r="51" spans="4:8" x14ac:dyDescent="0.3">
      <c r="D51" s="13">
        <v>44190</v>
      </c>
      <c r="E51" s="2">
        <v>39</v>
      </c>
      <c r="F51" s="2">
        <v>45</v>
      </c>
      <c r="G51" s="2">
        <v>9</v>
      </c>
      <c r="H51" s="2">
        <v>552</v>
      </c>
    </row>
    <row r="52" spans="4:8" x14ac:dyDescent="0.3">
      <c r="D52" s="13">
        <v>44191</v>
      </c>
      <c r="E52" s="2">
        <v>46</v>
      </c>
      <c r="F52" s="2">
        <v>45</v>
      </c>
      <c r="G52" s="2">
        <v>11</v>
      </c>
      <c r="H52" s="2">
        <v>559</v>
      </c>
    </row>
    <row r="53" spans="4:8" x14ac:dyDescent="0.3">
      <c r="D53" s="13">
        <v>44192</v>
      </c>
      <c r="E53" s="2">
        <v>37</v>
      </c>
      <c r="F53" s="2">
        <v>50</v>
      </c>
      <c r="G53" s="2">
        <v>11</v>
      </c>
      <c r="H53" s="2">
        <v>808</v>
      </c>
    </row>
    <row r="54" spans="4:8" x14ac:dyDescent="0.3">
      <c r="D54" s="13">
        <v>44193</v>
      </c>
      <c r="E54" s="2">
        <v>39</v>
      </c>
      <c r="F54" s="2">
        <v>44</v>
      </c>
      <c r="G54" s="2">
        <v>10</v>
      </c>
      <c r="H54" s="2">
        <v>606</v>
      </c>
    </row>
    <row r="55" spans="4:8" x14ac:dyDescent="0.3">
      <c r="D55" s="13">
        <v>44194</v>
      </c>
      <c r="E55" s="2">
        <v>53</v>
      </c>
      <c r="F55" s="2">
        <v>41</v>
      </c>
      <c r="G55" s="2">
        <v>11</v>
      </c>
      <c r="H55" s="2">
        <v>1052</v>
      </c>
    </row>
    <row r="56" spans="4:8" x14ac:dyDescent="0.3">
      <c r="D56" s="13">
        <v>44195</v>
      </c>
      <c r="E56" s="2">
        <v>30</v>
      </c>
      <c r="F56" s="2">
        <v>42</v>
      </c>
      <c r="G56" s="2">
        <v>10</v>
      </c>
      <c r="H56" s="2">
        <v>1164</v>
      </c>
    </row>
    <row r="57" spans="4:8" x14ac:dyDescent="0.3">
      <c r="D57" s="13">
        <v>44196</v>
      </c>
      <c r="E57" s="2">
        <v>51</v>
      </c>
      <c r="F57" s="2">
        <v>39</v>
      </c>
      <c r="G57" s="2">
        <v>12</v>
      </c>
      <c r="H57" s="2">
        <v>1104</v>
      </c>
    </row>
    <row r="58" spans="4:8" x14ac:dyDescent="0.3">
      <c r="D58" s="13">
        <v>44197</v>
      </c>
      <c r="E58" s="2">
        <v>46</v>
      </c>
      <c r="F58" s="2">
        <v>32</v>
      </c>
      <c r="G58" s="2">
        <v>12</v>
      </c>
      <c r="H58" s="2">
        <v>403</v>
      </c>
    </row>
    <row r="59" spans="4:8" x14ac:dyDescent="0.3">
      <c r="D59" s="13">
        <v>44198</v>
      </c>
      <c r="E59" s="2">
        <v>26</v>
      </c>
      <c r="F59" s="2">
        <v>35</v>
      </c>
      <c r="G59" s="2">
        <v>9</v>
      </c>
      <c r="H59" s="2">
        <v>376</v>
      </c>
    </row>
    <row r="60" spans="4:8" x14ac:dyDescent="0.3">
      <c r="D60" s="13">
        <v>44199</v>
      </c>
      <c r="E60" s="2">
        <v>59</v>
      </c>
      <c r="F60" s="2">
        <v>39</v>
      </c>
      <c r="G60" s="2">
        <v>8</v>
      </c>
      <c r="H60" s="2">
        <v>412</v>
      </c>
    </row>
    <row r="61" spans="4:8" x14ac:dyDescent="0.3">
      <c r="D61" s="13">
        <v>44200</v>
      </c>
      <c r="E61" s="2">
        <v>44</v>
      </c>
      <c r="F61" s="2">
        <v>37</v>
      </c>
      <c r="G61" s="2">
        <v>11</v>
      </c>
      <c r="H61" s="2">
        <v>710</v>
      </c>
    </row>
    <row r="62" spans="4:8" x14ac:dyDescent="0.3">
      <c r="D62" s="13">
        <v>44201</v>
      </c>
      <c r="E62" s="2">
        <v>33</v>
      </c>
      <c r="F62" s="2">
        <v>44</v>
      </c>
      <c r="G62" s="2">
        <v>11</v>
      </c>
      <c r="H62" s="2">
        <v>885</v>
      </c>
    </row>
    <row r="63" spans="4:8" x14ac:dyDescent="0.3">
      <c r="D63" s="13">
        <v>44202</v>
      </c>
      <c r="E63" s="2">
        <v>50</v>
      </c>
      <c r="F63" s="2">
        <v>46</v>
      </c>
      <c r="G63" s="2">
        <v>10</v>
      </c>
      <c r="H63" s="2">
        <v>819</v>
      </c>
    </row>
    <row r="64" spans="4:8" x14ac:dyDescent="0.3">
      <c r="D64" s="13">
        <v>44203</v>
      </c>
      <c r="E64" s="2">
        <v>55</v>
      </c>
      <c r="F64" s="2">
        <v>39</v>
      </c>
      <c r="G64" s="2">
        <v>12</v>
      </c>
      <c r="H64" s="2">
        <v>576</v>
      </c>
    </row>
    <row r="65" spans="4:8" x14ac:dyDescent="0.3">
      <c r="D65" s="13">
        <v>44204</v>
      </c>
      <c r="E65" s="2">
        <v>63</v>
      </c>
      <c r="F65" s="2">
        <v>40</v>
      </c>
      <c r="G65" s="2">
        <v>12</v>
      </c>
      <c r="H65" s="2">
        <v>623</v>
      </c>
    </row>
    <row r="66" spans="4:8" x14ac:dyDescent="0.3">
      <c r="D66" s="13">
        <v>44205</v>
      </c>
      <c r="E66" s="2">
        <v>50</v>
      </c>
      <c r="F66" s="2">
        <v>38</v>
      </c>
      <c r="G66" s="2">
        <v>12</v>
      </c>
      <c r="H66" s="2">
        <v>771</v>
      </c>
    </row>
    <row r="67" spans="4:8" x14ac:dyDescent="0.3">
      <c r="D67" s="13">
        <v>44206</v>
      </c>
      <c r="E67" s="2">
        <v>67</v>
      </c>
      <c r="F67" s="2">
        <v>44</v>
      </c>
      <c r="G67" s="2">
        <v>11</v>
      </c>
      <c r="H67" s="2">
        <v>425</v>
      </c>
    </row>
    <row r="68" spans="4:8" x14ac:dyDescent="0.3">
      <c r="D68" s="13">
        <v>44207</v>
      </c>
      <c r="E68" s="2">
        <v>95</v>
      </c>
      <c r="F68" s="2">
        <v>45</v>
      </c>
      <c r="G68" s="2">
        <v>10</v>
      </c>
      <c r="H68" s="2">
        <v>581</v>
      </c>
    </row>
    <row r="69" spans="4:8" x14ac:dyDescent="0.3">
      <c r="D69" s="13">
        <v>44208</v>
      </c>
      <c r="E69" s="2">
        <v>62</v>
      </c>
      <c r="F69" s="2">
        <v>47</v>
      </c>
      <c r="G69" s="2">
        <v>10</v>
      </c>
      <c r="H69" s="2">
        <v>767</v>
      </c>
    </row>
    <row r="70" spans="4:8" x14ac:dyDescent="0.3">
      <c r="D70" s="13">
        <v>44209</v>
      </c>
      <c r="E70" s="2">
        <v>85</v>
      </c>
      <c r="F70" s="2">
        <v>51</v>
      </c>
      <c r="G70" s="2">
        <v>9</v>
      </c>
      <c r="H70" s="2">
        <v>911</v>
      </c>
    </row>
    <row r="71" spans="4:8" x14ac:dyDescent="0.3">
      <c r="D71" s="13">
        <v>44210</v>
      </c>
      <c r="E71" s="2">
        <v>81</v>
      </c>
      <c r="F71" s="2">
        <v>54</v>
      </c>
      <c r="G71" s="2">
        <v>11</v>
      </c>
      <c r="H71" s="2">
        <v>919</v>
      </c>
    </row>
    <row r="72" spans="4:8" x14ac:dyDescent="0.3">
      <c r="D72" s="13">
        <v>44211</v>
      </c>
      <c r="E72" s="2">
        <v>100</v>
      </c>
      <c r="F72" s="2">
        <v>54</v>
      </c>
      <c r="G72" s="2">
        <v>12</v>
      </c>
      <c r="H72" s="2">
        <v>804</v>
      </c>
    </row>
    <row r="73" spans="4:8" x14ac:dyDescent="0.3">
      <c r="D73" s="13">
        <v>44212</v>
      </c>
      <c r="E73" s="2">
        <v>92</v>
      </c>
      <c r="F73" s="2">
        <v>56</v>
      </c>
      <c r="G73" s="2">
        <v>12</v>
      </c>
      <c r="H73" s="2">
        <v>753</v>
      </c>
    </row>
    <row r="74" spans="4:8" x14ac:dyDescent="0.3">
      <c r="D74" s="13">
        <v>44213</v>
      </c>
      <c r="E74" s="2">
        <v>126</v>
      </c>
      <c r="F74" s="2">
        <v>64</v>
      </c>
      <c r="G74" s="2">
        <v>13</v>
      </c>
      <c r="H74" s="2">
        <v>970</v>
      </c>
    </row>
    <row r="75" spans="4:8" x14ac:dyDescent="0.3">
      <c r="D75" s="13">
        <v>44214</v>
      </c>
      <c r="E75" s="2">
        <v>100</v>
      </c>
      <c r="F75" s="2">
        <v>67</v>
      </c>
      <c r="G75" s="2">
        <v>11</v>
      </c>
      <c r="H75" s="2">
        <v>1018</v>
      </c>
    </row>
    <row r="76" spans="4:8" x14ac:dyDescent="0.3">
      <c r="D76" s="13">
        <v>44215</v>
      </c>
      <c r="E76" s="2">
        <v>88</v>
      </c>
      <c r="F76" s="2">
        <v>62</v>
      </c>
      <c r="G76" s="2">
        <v>14</v>
      </c>
      <c r="H76" s="2">
        <v>1391</v>
      </c>
    </row>
    <row r="77" spans="4:8" x14ac:dyDescent="0.3">
      <c r="D77" s="13">
        <v>44216</v>
      </c>
      <c r="E77" s="2">
        <v>214</v>
      </c>
      <c r="F77" s="2">
        <v>74</v>
      </c>
      <c r="G77" s="2">
        <v>14</v>
      </c>
      <c r="H77" s="2">
        <v>1526</v>
      </c>
    </row>
    <row r="78" spans="4:8" x14ac:dyDescent="0.3">
      <c r="D78" s="13">
        <v>44217</v>
      </c>
      <c r="E78" s="2">
        <v>162</v>
      </c>
      <c r="F78" s="2">
        <v>83</v>
      </c>
      <c r="G78" s="2">
        <v>14</v>
      </c>
      <c r="H78" s="2">
        <v>1753</v>
      </c>
    </row>
    <row r="79" spans="4:8" x14ac:dyDescent="0.3">
      <c r="D79" s="13">
        <v>44218</v>
      </c>
      <c r="E79" s="2">
        <v>154</v>
      </c>
      <c r="F79" s="2">
        <v>84</v>
      </c>
      <c r="G79" s="2">
        <v>13</v>
      </c>
      <c r="H79" s="2">
        <v>1854</v>
      </c>
    </row>
    <row r="80" spans="4:8" x14ac:dyDescent="0.3">
      <c r="D80" s="13">
        <v>44219</v>
      </c>
      <c r="E80" s="2">
        <v>134</v>
      </c>
      <c r="F80" s="2">
        <v>102</v>
      </c>
      <c r="G80" s="2">
        <v>15</v>
      </c>
      <c r="H80" s="2">
        <v>1393</v>
      </c>
    </row>
    <row r="81" spans="4:8" x14ac:dyDescent="0.3">
      <c r="D81" s="13">
        <v>44220</v>
      </c>
      <c r="E81" s="2">
        <v>201</v>
      </c>
      <c r="F81" s="2">
        <v>107</v>
      </c>
      <c r="G81" s="2">
        <v>15</v>
      </c>
      <c r="H81" s="2">
        <v>1553</v>
      </c>
    </row>
    <row r="82" spans="4:8" x14ac:dyDescent="0.3">
      <c r="D82" s="13">
        <v>44221</v>
      </c>
      <c r="E82" s="2">
        <v>216</v>
      </c>
      <c r="F82" s="2">
        <v>113</v>
      </c>
      <c r="G82" s="2">
        <v>15</v>
      </c>
      <c r="H82" s="2">
        <v>1764</v>
      </c>
    </row>
    <row r="83" spans="4:8" x14ac:dyDescent="0.3">
      <c r="D83" s="13">
        <v>44222</v>
      </c>
      <c r="E83" s="2">
        <v>165</v>
      </c>
      <c r="F83" s="2">
        <v>118</v>
      </c>
      <c r="G83" s="2">
        <v>16</v>
      </c>
      <c r="H83" s="2">
        <v>1599</v>
      </c>
    </row>
    <row r="84" spans="4:8" x14ac:dyDescent="0.3">
      <c r="D84" s="13">
        <v>44223</v>
      </c>
      <c r="E84" s="2">
        <v>187</v>
      </c>
      <c r="F84" s="2">
        <v>116</v>
      </c>
      <c r="G84" s="2">
        <v>17</v>
      </c>
      <c r="H84" s="2">
        <v>1882</v>
      </c>
    </row>
    <row r="85" spans="4:8" x14ac:dyDescent="0.3">
      <c r="D85" s="13">
        <v>44224</v>
      </c>
      <c r="E85" s="2">
        <v>170</v>
      </c>
      <c r="F85" s="2">
        <v>119</v>
      </c>
      <c r="G85" s="2">
        <v>25</v>
      </c>
      <c r="H85" s="2">
        <v>1782</v>
      </c>
    </row>
    <row r="86" spans="4:8" x14ac:dyDescent="0.3">
      <c r="D86" s="13">
        <v>44225</v>
      </c>
      <c r="E86" s="2">
        <v>208</v>
      </c>
      <c r="F86" s="2">
        <v>112</v>
      </c>
      <c r="G86" s="2">
        <v>29</v>
      </c>
      <c r="H86" s="2">
        <v>2453</v>
      </c>
    </row>
    <row r="87" spans="4:8" x14ac:dyDescent="0.3">
      <c r="D87" s="13">
        <v>44226</v>
      </c>
      <c r="E87" s="2">
        <v>168</v>
      </c>
      <c r="F87" s="2">
        <v>124</v>
      </c>
      <c r="G87" s="2">
        <v>30</v>
      </c>
      <c r="H87" s="2">
        <v>2248</v>
      </c>
    </row>
    <row r="88" spans="4:8" x14ac:dyDescent="0.3">
      <c r="D88" s="13">
        <v>44227</v>
      </c>
      <c r="E88" s="2">
        <v>119</v>
      </c>
      <c r="F88" s="2">
        <v>131</v>
      </c>
      <c r="G88" s="2">
        <v>31</v>
      </c>
      <c r="H88" s="2">
        <v>1129</v>
      </c>
    </row>
    <row r="89" spans="4:8" x14ac:dyDescent="0.3">
      <c r="D89" s="13">
        <v>44228</v>
      </c>
      <c r="E89" s="2">
        <v>154</v>
      </c>
      <c r="F89" s="2">
        <v>130</v>
      </c>
      <c r="G89" s="2">
        <v>30</v>
      </c>
      <c r="H89" s="2">
        <v>1308</v>
      </c>
    </row>
    <row r="90" spans="4:8" x14ac:dyDescent="0.3">
      <c r="D90" s="13">
        <v>44229</v>
      </c>
      <c r="E90" s="2">
        <v>179</v>
      </c>
      <c r="F90" s="2">
        <v>117</v>
      </c>
      <c r="G90" s="2">
        <v>29</v>
      </c>
      <c r="H90" s="2">
        <v>1681</v>
      </c>
    </row>
    <row r="91" spans="4:8" x14ac:dyDescent="0.3">
      <c r="D91" s="13">
        <v>44230</v>
      </c>
      <c r="E91" s="2">
        <v>115</v>
      </c>
      <c r="F91" s="2">
        <v>113</v>
      </c>
      <c r="G91" s="2">
        <v>27</v>
      </c>
      <c r="H91" s="2">
        <v>2692</v>
      </c>
    </row>
    <row r="92" spans="4:8" x14ac:dyDescent="0.3">
      <c r="D92" s="13">
        <v>44231</v>
      </c>
      <c r="E92" s="2">
        <v>163</v>
      </c>
      <c r="F92" s="2">
        <v>112</v>
      </c>
      <c r="G92" s="2">
        <v>27</v>
      </c>
      <c r="H92" s="2">
        <v>3430</v>
      </c>
    </row>
    <row r="93" spans="4:8" x14ac:dyDescent="0.3">
      <c r="D93" s="13">
        <v>44232</v>
      </c>
      <c r="E93" s="2">
        <v>114</v>
      </c>
      <c r="F93" s="2">
        <v>106</v>
      </c>
      <c r="G93" s="2">
        <v>24</v>
      </c>
      <c r="H93" s="2">
        <v>3397</v>
      </c>
    </row>
    <row r="94" spans="4:8" x14ac:dyDescent="0.3">
      <c r="D94" s="13">
        <v>44233</v>
      </c>
      <c r="E94" s="2">
        <v>112</v>
      </c>
      <c r="F94" s="2">
        <v>105</v>
      </c>
      <c r="G94" s="2">
        <v>23</v>
      </c>
      <c r="H94" s="2">
        <v>2503</v>
      </c>
    </row>
    <row r="95" spans="4:8" x14ac:dyDescent="0.3">
      <c r="D95" s="13">
        <v>44234</v>
      </c>
      <c r="E95" s="2">
        <v>59</v>
      </c>
      <c r="F95" s="2">
        <v>111</v>
      </c>
      <c r="G95" s="2">
        <v>21</v>
      </c>
      <c r="H95" s="2">
        <v>1121</v>
      </c>
    </row>
    <row r="96" spans="4:8" x14ac:dyDescent="0.3">
      <c r="D96" s="12" t="s">
        <v>342</v>
      </c>
      <c r="E96" s="2">
        <v>5640</v>
      </c>
      <c r="F96" s="2">
        <v>4107</v>
      </c>
      <c r="G96" s="2">
        <v>867</v>
      </c>
      <c r="H96" s="2">
        <v>74820</v>
      </c>
    </row>
  </sheetData>
  <pageMargins left="0.7" right="0.7" top="0.75" bottom="0.75" header="0.3" footer="0.3"/>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559D58-B454-4E9C-80C9-75AF19380BAA}">
  <sheetPr codeName="Sheet7"/>
  <dimension ref="D30:H96"/>
  <sheetViews>
    <sheetView showGridLines="0" workbookViewId="0">
      <selection activeCell="R38" sqref="R38"/>
    </sheetView>
  </sheetViews>
  <sheetFormatPr defaultRowHeight="14.4" x14ac:dyDescent="0.3"/>
  <cols>
    <col min="4" max="4" width="12.77734375" bestFit="1" customWidth="1"/>
    <col min="5" max="5" width="12.88671875" bestFit="1" customWidth="1"/>
    <col min="6" max="6" width="11.21875" bestFit="1" customWidth="1"/>
    <col min="7" max="7" width="10" bestFit="1" customWidth="1"/>
    <col min="8" max="8" width="7.88671875" bestFit="1" customWidth="1"/>
  </cols>
  <sheetData>
    <row r="30" spans="4:8" x14ac:dyDescent="0.3">
      <c r="D30" s="11" t="s">
        <v>341</v>
      </c>
      <c r="E30" t="s">
        <v>395</v>
      </c>
      <c r="F30" t="s">
        <v>396</v>
      </c>
      <c r="G30" t="s">
        <v>368</v>
      </c>
      <c r="H30" t="s">
        <v>397</v>
      </c>
    </row>
    <row r="31" spans="4:8" x14ac:dyDescent="0.3">
      <c r="D31" s="13">
        <v>44170</v>
      </c>
      <c r="E31" s="2">
        <v>52</v>
      </c>
      <c r="F31" s="2">
        <v>43</v>
      </c>
      <c r="G31" s="2">
        <v>6</v>
      </c>
      <c r="H31" s="2">
        <v>1511</v>
      </c>
    </row>
    <row r="32" spans="4:8" x14ac:dyDescent="0.3">
      <c r="D32" s="13">
        <v>44171</v>
      </c>
      <c r="E32" s="2">
        <v>47</v>
      </c>
      <c r="F32" s="2">
        <v>45</v>
      </c>
      <c r="G32" s="2">
        <v>6</v>
      </c>
      <c r="H32" s="2">
        <v>1235</v>
      </c>
    </row>
    <row r="33" spans="4:8" x14ac:dyDescent="0.3">
      <c r="D33" s="13">
        <v>44172</v>
      </c>
      <c r="E33" s="2">
        <v>65</v>
      </c>
      <c r="F33" s="2">
        <v>51</v>
      </c>
      <c r="G33" s="2">
        <v>6</v>
      </c>
      <c r="H33" s="2">
        <v>1965</v>
      </c>
    </row>
    <row r="34" spans="4:8" x14ac:dyDescent="0.3">
      <c r="D34" s="13">
        <v>44173</v>
      </c>
      <c r="E34" s="2">
        <v>53</v>
      </c>
      <c r="F34" s="2">
        <v>52</v>
      </c>
      <c r="G34" s="2">
        <v>6</v>
      </c>
      <c r="H34" s="2">
        <v>977</v>
      </c>
    </row>
    <row r="35" spans="4:8" x14ac:dyDescent="0.3">
      <c r="D35" s="13">
        <v>44174</v>
      </c>
      <c r="E35" s="2">
        <v>77</v>
      </c>
      <c r="F35" s="2">
        <v>53</v>
      </c>
      <c r="G35" s="2">
        <v>6</v>
      </c>
      <c r="H35" s="2">
        <v>2131</v>
      </c>
    </row>
    <row r="36" spans="4:8" x14ac:dyDescent="0.3">
      <c r="D36" s="13">
        <v>44175</v>
      </c>
      <c r="E36" s="2">
        <v>66</v>
      </c>
      <c r="F36" s="2">
        <v>52</v>
      </c>
      <c r="G36" s="2">
        <v>7</v>
      </c>
      <c r="H36" s="2">
        <v>1032</v>
      </c>
    </row>
    <row r="37" spans="4:8" x14ac:dyDescent="0.3">
      <c r="D37" s="13">
        <v>44176</v>
      </c>
      <c r="E37" s="2">
        <v>91</v>
      </c>
      <c r="F37" s="2">
        <v>50</v>
      </c>
      <c r="G37" s="2">
        <v>11</v>
      </c>
      <c r="H37" s="2">
        <v>1403</v>
      </c>
    </row>
    <row r="38" spans="4:8" x14ac:dyDescent="0.3">
      <c r="D38" s="13">
        <v>44177</v>
      </c>
      <c r="E38" s="2">
        <v>96</v>
      </c>
      <c r="F38" s="2">
        <v>56</v>
      </c>
      <c r="G38" s="2">
        <v>10</v>
      </c>
      <c r="H38" s="2">
        <v>1524</v>
      </c>
    </row>
    <row r="39" spans="4:8" x14ac:dyDescent="0.3">
      <c r="D39" s="13">
        <v>44178</v>
      </c>
      <c r="E39" s="2">
        <v>88</v>
      </c>
      <c r="F39" s="2">
        <v>62</v>
      </c>
      <c r="G39" s="2">
        <v>11</v>
      </c>
      <c r="H39" s="2">
        <v>2247</v>
      </c>
    </row>
    <row r="40" spans="4:8" x14ac:dyDescent="0.3">
      <c r="D40" s="13">
        <v>44179</v>
      </c>
      <c r="E40" s="2">
        <v>78</v>
      </c>
      <c r="F40" s="2">
        <v>67</v>
      </c>
      <c r="G40" s="2">
        <v>8</v>
      </c>
      <c r="H40" s="2">
        <v>2079</v>
      </c>
    </row>
    <row r="41" spans="4:8" x14ac:dyDescent="0.3">
      <c r="D41" s="13">
        <v>44180</v>
      </c>
      <c r="E41" s="2">
        <v>118</v>
      </c>
      <c r="F41" s="2">
        <v>64</v>
      </c>
      <c r="G41" s="2">
        <v>7</v>
      </c>
      <c r="H41" s="2">
        <v>2786</v>
      </c>
    </row>
    <row r="42" spans="4:8" x14ac:dyDescent="0.3">
      <c r="D42" s="13">
        <v>44181</v>
      </c>
      <c r="E42" s="2">
        <v>110</v>
      </c>
      <c r="F42" s="2">
        <v>62</v>
      </c>
      <c r="G42" s="2">
        <v>6</v>
      </c>
      <c r="H42" s="2">
        <v>2237</v>
      </c>
    </row>
    <row r="43" spans="4:8" x14ac:dyDescent="0.3">
      <c r="D43" s="13">
        <v>44182</v>
      </c>
      <c r="E43" s="2">
        <v>104</v>
      </c>
      <c r="F43" s="2">
        <v>63</v>
      </c>
      <c r="G43" s="2">
        <v>6</v>
      </c>
      <c r="H43" s="2">
        <v>1679</v>
      </c>
    </row>
    <row r="44" spans="4:8" x14ac:dyDescent="0.3">
      <c r="D44" s="13">
        <v>44183</v>
      </c>
      <c r="E44" s="2">
        <v>101</v>
      </c>
      <c r="F44" s="2">
        <v>66</v>
      </c>
      <c r="G44" s="2">
        <v>6</v>
      </c>
      <c r="H44" s="2">
        <v>2252</v>
      </c>
    </row>
    <row r="45" spans="4:8" x14ac:dyDescent="0.3">
      <c r="D45" s="13">
        <v>44184</v>
      </c>
      <c r="E45" s="2">
        <v>81</v>
      </c>
      <c r="F45" s="2">
        <v>73</v>
      </c>
      <c r="G45" s="2">
        <v>5</v>
      </c>
      <c r="H45" s="2">
        <v>1742</v>
      </c>
    </row>
    <row r="46" spans="4:8" x14ac:dyDescent="0.3">
      <c r="D46" s="13">
        <v>44185</v>
      </c>
      <c r="E46" s="2">
        <v>64</v>
      </c>
      <c r="F46" s="2">
        <v>76</v>
      </c>
      <c r="G46" s="2">
        <v>6</v>
      </c>
      <c r="H46" s="2">
        <v>1797</v>
      </c>
    </row>
    <row r="47" spans="4:8" x14ac:dyDescent="0.3">
      <c r="D47" s="13">
        <v>44186</v>
      </c>
      <c r="E47" s="2">
        <v>55</v>
      </c>
      <c r="F47" s="2">
        <v>73</v>
      </c>
      <c r="G47" s="2">
        <v>7</v>
      </c>
      <c r="H47" s="2">
        <v>1931</v>
      </c>
    </row>
    <row r="48" spans="4:8" x14ac:dyDescent="0.3">
      <c r="D48" s="13">
        <v>44187</v>
      </c>
      <c r="E48" s="2">
        <v>80</v>
      </c>
      <c r="F48" s="2">
        <v>76</v>
      </c>
      <c r="G48" s="2">
        <v>5</v>
      </c>
      <c r="H48" s="2">
        <v>1751</v>
      </c>
    </row>
    <row r="49" spans="4:8" x14ac:dyDescent="0.3">
      <c r="D49" s="13">
        <v>44188</v>
      </c>
      <c r="E49" s="2">
        <v>114</v>
      </c>
      <c r="F49" s="2">
        <v>70</v>
      </c>
      <c r="G49" s="2">
        <v>6</v>
      </c>
      <c r="H49" s="2">
        <v>1830</v>
      </c>
    </row>
    <row r="50" spans="4:8" x14ac:dyDescent="0.3">
      <c r="D50" s="13">
        <v>44189</v>
      </c>
      <c r="E50" s="2">
        <v>78</v>
      </c>
      <c r="F50" s="2">
        <v>63</v>
      </c>
      <c r="G50" s="2">
        <v>7</v>
      </c>
      <c r="H50" s="2">
        <v>2605</v>
      </c>
    </row>
    <row r="51" spans="4:8" x14ac:dyDescent="0.3">
      <c r="D51" s="13">
        <v>44190</v>
      </c>
      <c r="E51" s="2">
        <v>99</v>
      </c>
      <c r="F51" s="2">
        <v>65</v>
      </c>
      <c r="G51" s="2">
        <v>7</v>
      </c>
      <c r="H51" s="2">
        <v>2032</v>
      </c>
    </row>
    <row r="52" spans="4:8" x14ac:dyDescent="0.3">
      <c r="D52" s="13">
        <v>44191</v>
      </c>
      <c r="E52" s="2">
        <v>79</v>
      </c>
      <c r="F52" s="2">
        <v>69</v>
      </c>
      <c r="G52" s="2">
        <v>7</v>
      </c>
      <c r="H52" s="2">
        <v>740</v>
      </c>
    </row>
    <row r="53" spans="4:8" x14ac:dyDescent="0.3">
      <c r="D53" s="13">
        <v>44192</v>
      </c>
      <c r="E53" s="2">
        <v>76</v>
      </c>
      <c r="F53" s="2">
        <v>71</v>
      </c>
      <c r="G53" s="2">
        <v>7</v>
      </c>
      <c r="H53" s="2">
        <v>986</v>
      </c>
    </row>
    <row r="54" spans="4:8" x14ac:dyDescent="0.3">
      <c r="D54" s="13">
        <v>44193</v>
      </c>
      <c r="E54" s="2">
        <v>72</v>
      </c>
      <c r="F54" s="2">
        <v>74</v>
      </c>
      <c r="G54" s="2">
        <v>5</v>
      </c>
      <c r="H54" s="2">
        <v>929</v>
      </c>
    </row>
    <row r="55" spans="4:8" x14ac:dyDescent="0.3">
      <c r="D55" s="13">
        <v>44194</v>
      </c>
      <c r="E55" s="2">
        <v>121</v>
      </c>
      <c r="F55" s="2">
        <v>65</v>
      </c>
      <c r="G55" s="2">
        <v>7</v>
      </c>
      <c r="H55" s="2">
        <v>1432</v>
      </c>
    </row>
    <row r="56" spans="4:8" x14ac:dyDescent="0.3">
      <c r="D56" s="13">
        <v>44195</v>
      </c>
      <c r="E56" s="2">
        <v>115</v>
      </c>
      <c r="F56" s="2">
        <v>69</v>
      </c>
      <c r="G56" s="2">
        <v>7</v>
      </c>
      <c r="H56" s="2">
        <v>1273</v>
      </c>
    </row>
    <row r="57" spans="4:8" x14ac:dyDescent="0.3">
      <c r="D57" s="13">
        <v>44196</v>
      </c>
      <c r="E57" s="2">
        <v>103</v>
      </c>
      <c r="F57" s="2">
        <v>75</v>
      </c>
      <c r="G57" s="2">
        <v>8</v>
      </c>
      <c r="H57" s="2">
        <v>1586</v>
      </c>
    </row>
    <row r="58" spans="4:8" x14ac:dyDescent="0.3">
      <c r="D58" s="13">
        <v>44197</v>
      </c>
      <c r="E58" s="2">
        <v>122</v>
      </c>
      <c r="F58" s="2">
        <v>79</v>
      </c>
      <c r="G58" s="2">
        <v>8</v>
      </c>
      <c r="H58" s="2">
        <v>1044</v>
      </c>
    </row>
    <row r="59" spans="4:8" x14ac:dyDescent="0.3">
      <c r="D59" s="13">
        <v>44198</v>
      </c>
      <c r="E59" s="2">
        <v>66</v>
      </c>
      <c r="F59" s="2">
        <v>76</v>
      </c>
      <c r="G59" s="2">
        <v>11</v>
      </c>
      <c r="H59" s="2">
        <v>735</v>
      </c>
    </row>
    <row r="60" spans="4:8" x14ac:dyDescent="0.3">
      <c r="D60" s="13">
        <v>44199</v>
      </c>
      <c r="E60" s="2">
        <v>53</v>
      </c>
      <c r="F60" s="2">
        <v>74</v>
      </c>
      <c r="G60" s="2">
        <v>12</v>
      </c>
      <c r="H60" s="2">
        <v>979</v>
      </c>
    </row>
    <row r="61" spans="4:8" x14ac:dyDescent="0.3">
      <c r="D61" s="13">
        <v>44200</v>
      </c>
      <c r="E61" s="2">
        <v>60</v>
      </c>
      <c r="F61" s="2">
        <v>80</v>
      </c>
      <c r="G61" s="2">
        <v>13</v>
      </c>
      <c r="H61" s="2">
        <v>814</v>
      </c>
    </row>
    <row r="62" spans="4:8" x14ac:dyDescent="0.3">
      <c r="D62" s="13">
        <v>44201</v>
      </c>
      <c r="E62" s="2">
        <v>156</v>
      </c>
      <c r="F62" s="2">
        <v>83</v>
      </c>
      <c r="G62" s="2">
        <v>13</v>
      </c>
      <c r="H62" s="2">
        <v>2273</v>
      </c>
    </row>
    <row r="63" spans="4:8" x14ac:dyDescent="0.3">
      <c r="D63" s="13">
        <v>44202</v>
      </c>
      <c r="E63" s="2">
        <v>106</v>
      </c>
      <c r="F63" s="2">
        <v>91</v>
      </c>
      <c r="G63" s="2">
        <v>9</v>
      </c>
      <c r="H63" s="2">
        <v>2202</v>
      </c>
    </row>
    <row r="64" spans="4:8" x14ac:dyDescent="0.3">
      <c r="D64" s="13">
        <v>44203</v>
      </c>
      <c r="E64" s="2">
        <v>179</v>
      </c>
      <c r="F64" s="2">
        <v>92</v>
      </c>
      <c r="G64" s="2">
        <v>9</v>
      </c>
      <c r="H64" s="2">
        <v>2867</v>
      </c>
    </row>
    <row r="65" spans="4:8" x14ac:dyDescent="0.3">
      <c r="D65" s="13">
        <v>44204</v>
      </c>
      <c r="E65" s="2">
        <v>203</v>
      </c>
      <c r="F65" s="2">
        <v>94</v>
      </c>
      <c r="G65" s="2">
        <v>8</v>
      </c>
      <c r="H65" s="2">
        <v>2658</v>
      </c>
    </row>
    <row r="66" spans="4:8" x14ac:dyDescent="0.3">
      <c r="D66" s="13">
        <v>44205</v>
      </c>
      <c r="E66" s="2">
        <v>98</v>
      </c>
      <c r="F66" s="2">
        <v>98</v>
      </c>
      <c r="G66" s="2">
        <v>7</v>
      </c>
      <c r="H66" s="2">
        <v>2487</v>
      </c>
    </row>
    <row r="67" spans="4:8" x14ac:dyDescent="0.3">
      <c r="D67" s="13">
        <v>44206</v>
      </c>
      <c r="E67" s="2">
        <v>99</v>
      </c>
      <c r="F67" s="2">
        <v>101</v>
      </c>
      <c r="G67" s="2">
        <v>8</v>
      </c>
      <c r="H67" s="2">
        <v>2090</v>
      </c>
    </row>
    <row r="68" spans="4:8" x14ac:dyDescent="0.3">
      <c r="D68" s="13">
        <v>44207</v>
      </c>
      <c r="E68" s="2">
        <v>200</v>
      </c>
      <c r="F68" s="2">
        <v>105</v>
      </c>
      <c r="G68" s="2">
        <v>7</v>
      </c>
      <c r="H68" s="2">
        <v>1307</v>
      </c>
    </row>
    <row r="69" spans="4:8" x14ac:dyDescent="0.3">
      <c r="D69" s="13">
        <v>44208</v>
      </c>
      <c r="E69" s="2">
        <v>195</v>
      </c>
      <c r="F69" s="2">
        <v>93</v>
      </c>
      <c r="G69" s="2">
        <v>6</v>
      </c>
      <c r="H69" s="2">
        <v>2689</v>
      </c>
    </row>
    <row r="70" spans="4:8" x14ac:dyDescent="0.3">
      <c r="D70" s="13">
        <v>44209</v>
      </c>
      <c r="E70" s="2">
        <v>231</v>
      </c>
      <c r="F70" s="2">
        <v>92</v>
      </c>
      <c r="G70" s="2">
        <v>8</v>
      </c>
      <c r="H70" s="2">
        <v>2474</v>
      </c>
    </row>
    <row r="71" spans="4:8" x14ac:dyDescent="0.3">
      <c r="D71" s="13">
        <v>44210</v>
      </c>
      <c r="E71" s="2">
        <v>210</v>
      </c>
      <c r="F71" s="2">
        <v>94</v>
      </c>
      <c r="G71" s="2">
        <v>10</v>
      </c>
      <c r="H71" s="2">
        <v>2174</v>
      </c>
    </row>
    <row r="72" spans="4:8" x14ac:dyDescent="0.3">
      <c r="D72" s="13">
        <v>44211</v>
      </c>
      <c r="E72" s="2">
        <v>211</v>
      </c>
      <c r="F72" s="2">
        <v>97</v>
      </c>
      <c r="G72" s="2">
        <v>12</v>
      </c>
      <c r="H72" s="2">
        <v>2242</v>
      </c>
    </row>
    <row r="73" spans="4:8" x14ac:dyDescent="0.3">
      <c r="D73" s="13">
        <v>44212</v>
      </c>
      <c r="E73" s="2">
        <v>177</v>
      </c>
      <c r="F73" s="2">
        <v>95</v>
      </c>
      <c r="G73" s="2">
        <v>14</v>
      </c>
      <c r="H73" s="2">
        <v>1812</v>
      </c>
    </row>
    <row r="74" spans="4:8" x14ac:dyDescent="0.3">
      <c r="D74" s="13">
        <v>44213</v>
      </c>
      <c r="E74" s="2">
        <v>140</v>
      </c>
      <c r="F74" s="2">
        <v>99</v>
      </c>
      <c r="G74" s="2">
        <v>16</v>
      </c>
      <c r="H74" s="2">
        <v>1698</v>
      </c>
    </row>
    <row r="75" spans="4:8" x14ac:dyDescent="0.3">
      <c r="D75" s="13">
        <v>44214</v>
      </c>
      <c r="E75" s="2">
        <v>206</v>
      </c>
      <c r="F75" s="2">
        <v>100</v>
      </c>
      <c r="G75" s="2">
        <v>20</v>
      </c>
      <c r="H75" s="2">
        <v>2275</v>
      </c>
    </row>
    <row r="76" spans="4:8" x14ac:dyDescent="0.3">
      <c r="D76" s="13">
        <v>44215</v>
      </c>
      <c r="E76" s="2">
        <v>190</v>
      </c>
      <c r="F76" s="2">
        <v>106</v>
      </c>
      <c r="G76" s="2">
        <v>26</v>
      </c>
      <c r="H76" s="2">
        <v>2535</v>
      </c>
    </row>
    <row r="77" spans="4:8" x14ac:dyDescent="0.3">
      <c r="D77" s="13">
        <v>44216</v>
      </c>
      <c r="E77" s="2">
        <v>233</v>
      </c>
      <c r="F77" s="2">
        <v>108</v>
      </c>
      <c r="G77" s="2">
        <v>28</v>
      </c>
      <c r="H77" s="2">
        <v>2509</v>
      </c>
    </row>
    <row r="78" spans="4:8" x14ac:dyDescent="0.3">
      <c r="D78" s="13">
        <v>44217</v>
      </c>
      <c r="E78" s="2">
        <v>295</v>
      </c>
      <c r="F78" s="2">
        <v>114</v>
      </c>
      <c r="G78" s="2">
        <v>28</v>
      </c>
      <c r="H78" s="2">
        <v>2698</v>
      </c>
    </row>
    <row r="79" spans="4:8" x14ac:dyDescent="0.3">
      <c r="D79" s="13">
        <v>44218</v>
      </c>
      <c r="E79" s="2">
        <v>253</v>
      </c>
      <c r="F79" s="2">
        <v>106</v>
      </c>
      <c r="G79" s="2">
        <v>27</v>
      </c>
      <c r="H79" s="2">
        <v>2298</v>
      </c>
    </row>
    <row r="80" spans="4:8" x14ac:dyDescent="0.3">
      <c r="D80" s="13">
        <v>44219</v>
      </c>
      <c r="E80" s="2">
        <v>159</v>
      </c>
      <c r="F80" s="2">
        <v>112</v>
      </c>
      <c r="G80" s="2">
        <v>29</v>
      </c>
      <c r="H80" s="2">
        <v>2076</v>
      </c>
    </row>
    <row r="81" spans="4:8" x14ac:dyDescent="0.3">
      <c r="D81" s="13">
        <v>44220</v>
      </c>
      <c r="E81" s="2">
        <v>294</v>
      </c>
      <c r="F81" s="2">
        <v>122</v>
      </c>
      <c r="G81" s="2">
        <v>32</v>
      </c>
      <c r="H81" s="2">
        <v>2797</v>
      </c>
    </row>
    <row r="82" spans="4:8" x14ac:dyDescent="0.3">
      <c r="D82" s="13">
        <v>44221</v>
      </c>
      <c r="E82" s="2">
        <v>239</v>
      </c>
      <c r="F82" s="2">
        <v>124</v>
      </c>
      <c r="G82" s="2">
        <v>34</v>
      </c>
      <c r="H82" s="2">
        <v>2737</v>
      </c>
    </row>
    <row r="83" spans="4:8" x14ac:dyDescent="0.3">
      <c r="D83" s="13">
        <v>44222</v>
      </c>
      <c r="E83" s="2">
        <v>225</v>
      </c>
      <c r="F83" s="2">
        <v>126</v>
      </c>
      <c r="G83" s="2">
        <v>36</v>
      </c>
      <c r="H83" s="2">
        <v>2622</v>
      </c>
    </row>
    <row r="84" spans="4:8" x14ac:dyDescent="0.3">
      <c r="D84" s="13">
        <v>44223</v>
      </c>
      <c r="E84" s="2">
        <v>197</v>
      </c>
      <c r="F84" s="2">
        <v>119</v>
      </c>
      <c r="G84" s="2">
        <v>35</v>
      </c>
      <c r="H84" s="2">
        <v>2987</v>
      </c>
    </row>
    <row r="85" spans="4:8" x14ac:dyDescent="0.3">
      <c r="D85" s="13">
        <v>44224</v>
      </c>
      <c r="E85" s="2">
        <v>301</v>
      </c>
      <c r="F85" s="2">
        <v>133</v>
      </c>
      <c r="G85" s="2">
        <v>40</v>
      </c>
      <c r="H85" s="2">
        <v>3301</v>
      </c>
    </row>
    <row r="86" spans="4:8" x14ac:dyDescent="0.3">
      <c r="D86" s="13">
        <v>44225</v>
      </c>
      <c r="E86" s="2">
        <v>266</v>
      </c>
      <c r="F86" s="2">
        <v>131</v>
      </c>
      <c r="G86" s="2">
        <v>40</v>
      </c>
      <c r="H86" s="2">
        <v>4126</v>
      </c>
    </row>
    <row r="87" spans="4:8" x14ac:dyDescent="0.3">
      <c r="D87" s="13">
        <v>44226</v>
      </c>
      <c r="E87" s="2">
        <v>176</v>
      </c>
      <c r="F87" s="2">
        <v>141</v>
      </c>
      <c r="G87" s="2">
        <v>42</v>
      </c>
      <c r="H87" s="2">
        <v>3852</v>
      </c>
    </row>
    <row r="88" spans="4:8" x14ac:dyDescent="0.3">
      <c r="D88" s="13">
        <v>44227</v>
      </c>
      <c r="E88" s="2">
        <v>148</v>
      </c>
      <c r="F88" s="2">
        <v>156</v>
      </c>
      <c r="G88" s="2">
        <v>44</v>
      </c>
      <c r="H88" s="2">
        <v>4024</v>
      </c>
    </row>
    <row r="89" spans="4:8" x14ac:dyDescent="0.3">
      <c r="D89" s="13">
        <v>44228</v>
      </c>
      <c r="E89" s="2">
        <v>169</v>
      </c>
      <c r="F89" s="2">
        <v>141</v>
      </c>
      <c r="G89" s="2">
        <v>47</v>
      </c>
      <c r="H89" s="2">
        <v>4434</v>
      </c>
    </row>
    <row r="90" spans="4:8" x14ac:dyDescent="0.3">
      <c r="D90" s="13">
        <v>44229</v>
      </c>
      <c r="E90" s="2">
        <v>129</v>
      </c>
      <c r="F90" s="2">
        <v>125</v>
      </c>
      <c r="G90" s="2">
        <v>43</v>
      </c>
      <c r="H90" s="2">
        <v>5173</v>
      </c>
    </row>
    <row r="91" spans="4:8" x14ac:dyDescent="0.3">
      <c r="D91" s="13">
        <v>44230</v>
      </c>
      <c r="E91" s="2">
        <v>242</v>
      </c>
      <c r="F91" s="2">
        <v>128</v>
      </c>
      <c r="G91" s="2">
        <v>42</v>
      </c>
      <c r="H91" s="2">
        <v>4266</v>
      </c>
    </row>
    <row r="92" spans="4:8" x14ac:dyDescent="0.3">
      <c r="D92" s="13">
        <v>44231</v>
      </c>
      <c r="E92" s="2">
        <v>172</v>
      </c>
      <c r="F92" s="2">
        <v>131</v>
      </c>
      <c r="G92" s="2">
        <v>43</v>
      </c>
      <c r="H92" s="2">
        <v>4548</v>
      </c>
    </row>
    <row r="93" spans="4:8" x14ac:dyDescent="0.3">
      <c r="D93" s="13">
        <v>44232</v>
      </c>
      <c r="E93" s="2">
        <v>130</v>
      </c>
      <c r="F93" s="2">
        <v>136</v>
      </c>
      <c r="G93" s="2">
        <v>44</v>
      </c>
      <c r="H93" s="2">
        <v>3966</v>
      </c>
    </row>
    <row r="94" spans="4:8" x14ac:dyDescent="0.3">
      <c r="D94" s="13">
        <v>44233</v>
      </c>
      <c r="E94" s="2">
        <v>108</v>
      </c>
      <c r="F94" s="2">
        <v>129</v>
      </c>
      <c r="G94" s="2">
        <v>44</v>
      </c>
      <c r="H94" s="2">
        <v>6597</v>
      </c>
    </row>
    <row r="95" spans="4:8" x14ac:dyDescent="0.3">
      <c r="D95" s="13">
        <v>44234</v>
      </c>
      <c r="E95" s="2">
        <v>73</v>
      </c>
      <c r="F95" s="2">
        <v>133</v>
      </c>
      <c r="G95" s="2">
        <v>47</v>
      </c>
      <c r="H95" s="2">
        <v>6779</v>
      </c>
    </row>
    <row r="96" spans="4:8" x14ac:dyDescent="0.3">
      <c r="D96" s="12" t="s">
        <v>342</v>
      </c>
      <c r="E96" s="2">
        <v>8994</v>
      </c>
      <c r="F96" s="2">
        <v>5869</v>
      </c>
      <c r="G96" s="2">
        <v>1128</v>
      </c>
      <c r="H96" s="2">
        <v>154837</v>
      </c>
    </row>
  </sheetData>
  <pageMargins left="0.7" right="0.7" top="0.75" bottom="0.75" header="0.3" footer="0.3"/>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B9F88A-8877-4BEB-9293-E73F8E2A5C03}">
  <sheetPr codeName="Sheet8"/>
  <dimension ref="D30:H96"/>
  <sheetViews>
    <sheetView showGridLines="0" workbookViewId="0">
      <selection activeCell="T31" sqref="T31"/>
    </sheetView>
  </sheetViews>
  <sheetFormatPr defaultRowHeight="14.4" x14ac:dyDescent="0.3"/>
  <cols>
    <col min="4" max="4" width="12.77734375" bestFit="1" customWidth="1"/>
    <col min="5" max="5" width="12.88671875" bestFit="1" customWidth="1"/>
    <col min="6" max="6" width="11.21875" bestFit="1" customWidth="1"/>
    <col min="7" max="7" width="10" bestFit="1" customWidth="1"/>
    <col min="8" max="8" width="7.88671875" bestFit="1" customWidth="1"/>
  </cols>
  <sheetData>
    <row r="30" spans="4:8" x14ac:dyDescent="0.3">
      <c r="D30" s="11" t="s">
        <v>341</v>
      </c>
      <c r="E30" t="s">
        <v>395</v>
      </c>
      <c r="F30" t="s">
        <v>396</v>
      </c>
      <c r="G30" t="s">
        <v>368</v>
      </c>
      <c r="H30" t="s">
        <v>397</v>
      </c>
    </row>
    <row r="31" spans="4:8" x14ac:dyDescent="0.3">
      <c r="D31" s="13">
        <v>44170</v>
      </c>
      <c r="E31" s="2">
        <v>91</v>
      </c>
      <c r="F31" s="2">
        <v>65</v>
      </c>
      <c r="G31" s="2">
        <v>12</v>
      </c>
      <c r="H31" s="2">
        <v>1839</v>
      </c>
    </row>
    <row r="32" spans="4:8" x14ac:dyDescent="0.3">
      <c r="D32" s="13">
        <v>44171</v>
      </c>
      <c r="E32" s="2">
        <v>53</v>
      </c>
      <c r="F32" s="2">
        <v>66</v>
      </c>
      <c r="G32" s="2">
        <v>11</v>
      </c>
      <c r="H32" s="2">
        <v>1408</v>
      </c>
    </row>
    <row r="33" spans="4:8" x14ac:dyDescent="0.3">
      <c r="D33" s="13">
        <v>44172</v>
      </c>
      <c r="E33" s="2">
        <v>60</v>
      </c>
      <c r="F33" s="2">
        <v>59</v>
      </c>
      <c r="G33" s="2">
        <v>9</v>
      </c>
      <c r="H33" s="2">
        <v>1383</v>
      </c>
    </row>
    <row r="34" spans="4:8" x14ac:dyDescent="0.3">
      <c r="D34" s="13">
        <v>44173</v>
      </c>
      <c r="E34" s="2">
        <v>79</v>
      </c>
      <c r="F34" s="2">
        <v>59</v>
      </c>
      <c r="G34" s="2">
        <v>10</v>
      </c>
      <c r="H34" s="2">
        <v>1609</v>
      </c>
    </row>
    <row r="35" spans="4:8" x14ac:dyDescent="0.3">
      <c r="D35" s="13">
        <v>44174</v>
      </c>
      <c r="E35" s="2">
        <v>52</v>
      </c>
      <c r="F35" s="2">
        <v>62</v>
      </c>
      <c r="G35" s="2">
        <v>11</v>
      </c>
      <c r="H35" s="2">
        <v>2725</v>
      </c>
    </row>
    <row r="36" spans="4:8" x14ac:dyDescent="0.3">
      <c r="D36" s="13">
        <v>44175</v>
      </c>
      <c r="E36" s="2">
        <v>127</v>
      </c>
      <c r="F36" s="2">
        <v>60</v>
      </c>
      <c r="G36" s="2">
        <v>12</v>
      </c>
      <c r="H36" s="2">
        <v>2064</v>
      </c>
    </row>
    <row r="37" spans="4:8" x14ac:dyDescent="0.3">
      <c r="D37" s="13">
        <v>44176</v>
      </c>
      <c r="E37" s="2">
        <v>53</v>
      </c>
      <c r="F37" s="2">
        <v>51</v>
      </c>
      <c r="G37" s="2">
        <v>11</v>
      </c>
      <c r="H37" s="2">
        <v>1876</v>
      </c>
    </row>
    <row r="38" spans="4:8" x14ac:dyDescent="0.3">
      <c r="D38" s="13">
        <v>44177</v>
      </c>
      <c r="E38" s="2">
        <v>93</v>
      </c>
      <c r="F38" s="2">
        <v>47</v>
      </c>
      <c r="G38" s="2">
        <v>11</v>
      </c>
      <c r="H38" s="2">
        <v>2448</v>
      </c>
    </row>
    <row r="39" spans="4:8" x14ac:dyDescent="0.3">
      <c r="D39" s="13">
        <v>44178</v>
      </c>
      <c r="E39" s="2">
        <v>56</v>
      </c>
      <c r="F39" s="2">
        <v>44</v>
      </c>
      <c r="G39" s="2">
        <v>12</v>
      </c>
      <c r="H39" s="2">
        <v>2135</v>
      </c>
    </row>
    <row r="40" spans="4:8" x14ac:dyDescent="0.3">
      <c r="D40" s="13">
        <v>44179</v>
      </c>
      <c r="E40" s="2">
        <v>50</v>
      </c>
      <c r="F40" s="2">
        <v>48</v>
      </c>
      <c r="G40" s="2">
        <v>14</v>
      </c>
      <c r="H40" s="2">
        <v>2352</v>
      </c>
    </row>
    <row r="41" spans="4:8" x14ac:dyDescent="0.3">
      <c r="D41" s="13">
        <v>44180</v>
      </c>
      <c r="E41" s="2">
        <v>121</v>
      </c>
      <c r="F41" s="2">
        <v>47</v>
      </c>
      <c r="G41" s="2">
        <v>13</v>
      </c>
      <c r="H41" s="2">
        <v>2468</v>
      </c>
    </row>
    <row r="42" spans="4:8" x14ac:dyDescent="0.3">
      <c r="D42" s="13">
        <v>44181</v>
      </c>
      <c r="E42" s="2">
        <v>95</v>
      </c>
      <c r="F42" s="2">
        <v>45</v>
      </c>
      <c r="G42" s="2">
        <v>13</v>
      </c>
      <c r="H42" s="2">
        <v>2761</v>
      </c>
    </row>
    <row r="43" spans="4:8" x14ac:dyDescent="0.3">
      <c r="D43" s="13">
        <v>44182</v>
      </c>
      <c r="E43" s="2">
        <v>95</v>
      </c>
      <c r="F43" s="2">
        <v>53</v>
      </c>
      <c r="G43" s="2">
        <v>13</v>
      </c>
      <c r="H43" s="2">
        <v>1733</v>
      </c>
    </row>
    <row r="44" spans="4:8" x14ac:dyDescent="0.3">
      <c r="D44" s="13">
        <v>44183</v>
      </c>
      <c r="E44" s="2">
        <v>83</v>
      </c>
      <c r="F44" s="2">
        <v>45</v>
      </c>
      <c r="G44" s="2">
        <v>12</v>
      </c>
      <c r="H44" s="2">
        <v>1896</v>
      </c>
    </row>
    <row r="45" spans="4:8" x14ac:dyDescent="0.3">
      <c r="D45" s="13">
        <v>44184</v>
      </c>
      <c r="E45" s="2">
        <v>76</v>
      </c>
      <c r="F45" s="2">
        <v>47</v>
      </c>
      <c r="G45" s="2">
        <v>12</v>
      </c>
      <c r="H45" s="2">
        <v>2659</v>
      </c>
    </row>
    <row r="46" spans="4:8" x14ac:dyDescent="0.3">
      <c r="D46" s="13">
        <v>44185</v>
      </c>
      <c r="E46" s="2">
        <v>69</v>
      </c>
      <c r="F46" s="2">
        <v>49</v>
      </c>
      <c r="G46" s="2">
        <v>12</v>
      </c>
      <c r="H46" s="2">
        <v>1800</v>
      </c>
    </row>
    <row r="47" spans="4:8" x14ac:dyDescent="0.3">
      <c r="D47" s="13">
        <v>44186</v>
      </c>
      <c r="E47" s="2">
        <v>46</v>
      </c>
      <c r="F47" s="2">
        <v>51</v>
      </c>
      <c r="G47" s="2">
        <v>9</v>
      </c>
      <c r="H47" s="2">
        <v>2626</v>
      </c>
    </row>
    <row r="48" spans="4:8" x14ac:dyDescent="0.3">
      <c r="D48" s="13">
        <v>44187</v>
      </c>
      <c r="E48" s="2">
        <v>92</v>
      </c>
      <c r="F48" s="2">
        <v>56</v>
      </c>
      <c r="G48" s="2">
        <v>11</v>
      </c>
      <c r="H48" s="2">
        <v>3059</v>
      </c>
    </row>
    <row r="49" spans="4:8" x14ac:dyDescent="0.3">
      <c r="D49" s="13">
        <v>44188</v>
      </c>
      <c r="E49" s="2">
        <v>117</v>
      </c>
      <c r="F49" s="2">
        <v>54</v>
      </c>
      <c r="G49" s="2">
        <v>11</v>
      </c>
      <c r="H49" s="2">
        <v>2898</v>
      </c>
    </row>
    <row r="50" spans="4:8" x14ac:dyDescent="0.3">
      <c r="D50" s="13">
        <v>44189</v>
      </c>
      <c r="E50" s="2">
        <v>65</v>
      </c>
      <c r="F50" s="2">
        <v>50</v>
      </c>
      <c r="G50" s="2">
        <v>12</v>
      </c>
      <c r="H50" s="2">
        <v>2089</v>
      </c>
    </row>
    <row r="51" spans="4:8" x14ac:dyDescent="0.3">
      <c r="D51" s="13">
        <v>44190</v>
      </c>
      <c r="E51" s="2">
        <v>88</v>
      </c>
      <c r="F51" s="2">
        <v>51</v>
      </c>
      <c r="G51" s="2">
        <v>13</v>
      </c>
      <c r="H51" s="2">
        <v>1228</v>
      </c>
    </row>
    <row r="52" spans="4:8" x14ac:dyDescent="0.3">
      <c r="D52" s="13">
        <v>44191</v>
      </c>
      <c r="E52" s="2">
        <v>39</v>
      </c>
      <c r="F52" s="2">
        <v>50</v>
      </c>
      <c r="G52" s="2">
        <v>11</v>
      </c>
      <c r="H52" s="2">
        <v>592</v>
      </c>
    </row>
    <row r="53" spans="4:8" x14ac:dyDescent="0.3">
      <c r="D53" s="13">
        <v>44192</v>
      </c>
      <c r="E53" s="2">
        <v>52</v>
      </c>
      <c r="F53" s="2">
        <v>51</v>
      </c>
      <c r="G53" s="2">
        <v>12</v>
      </c>
      <c r="H53" s="2">
        <v>919</v>
      </c>
    </row>
    <row r="54" spans="4:8" x14ac:dyDescent="0.3">
      <c r="D54" s="13">
        <v>44193</v>
      </c>
      <c r="E54" s="2">
        <v>77</v>
      </c>
      <c r="F54" s="2">
        <v>44</v>
      </c>
      <c r="G54" s="2">
        <v>12</v>
      </c>
      <c r="H54" s="2">
        <v>819</v>
      </c>
    </row>
    <row r="55" spans="4:8" x14ac:dyDescent="0.3">
      <c r="D55" s="13">
        <v>44194</v>
      </c>
      <c r="E55" s="2">
        <v>75</v>
      </c>
      <c r="F55" s="2">
        <v>40</v>
      </c>
      <c r="G55" s="2">
        <v>11</v>
      </c>
      <c r="H55" s="2">
        <v>1468</v>
      </c>
    </row>
    <row r="56" spans="4:8" x14ac:dyDescent="0.3">
      <c r="D56" s="13">
        <v>44195</v>
      </c>
      <c r="E56" s="2">
        <v>91</v>
      </c>
      <c r="F56" s="2">
        <v>42</v>
      </c>
      <c r="G56" s="2">
        <v>11</v>
      </c>
      <c r="H56" s="2">
        <v>1609</v>
      </c>
    </row>
    <row r="57" spans="4:8" x14ac:dyDescent="0.3">
      <c r="D57" s="13">
        <v>44196</v>
      </c>
      <c r="E57" s="2">
        <v>131</v>
      </c>
      <c r="F57" s="2">
        <v>40</v>
      </c>
      <c r="G57" s="2">
        <v>9</v>
      </c>
      <c r="H57" s="2">
        <v>1809</v>
      </c>
    </row>
    <row r="58" spans="4:8" x14ac:dyDescent="0.3">
      <c r="D58" s="13">
        <v>44197</v>
      </c>
      <c r="E58" s="2">
        <v>71</v>
      </c>
      <c r="F58" s="2">
        <v>41</v>
      </c>
      <c r="G58" s="2">
        <v>11</v>
      </c>
      <c r="H58" s="2">
        <v>890</v>
      </c>
    </row>
    <row r="59" spans="4:8" x14ac:dyDescent="0.3">
      <c r="D59" s="13">
        <v>44198</v>
      </c>
      <c r="E59" s="2">
        <v>85</v>
      </c>
      <c r="F59" s="2">
        <v>43</v>
      </c>
      <c r="G59" s="2">
        <v>12</v>
      </c>
      <c r="H59" s="2">
        <v>1114</v>
      </c>
    </row>
    <row r="60" spans="4:8" x14ac:dyDescent="0.3">
      <c r="D60" s="13">
        <v>44199</v>
      </c>
      <c r="E60" s="2">
        <v>33</v>
      </c>
      <c r="F60" s="2">
        <v>51</v>
      </c>
      <c r="G60" s="2">
        <v>11</v>
      </c>
      <c r="H60" s="2">
        <v>1212</v>
      </c>
    </row>
    <row r="61" spans="4:8" x14ac:dyDescent="0.3">
      <c r="D61" s="13">
        <v>44200</v>
      </c>
      <c r="E61" s="2">
        <v>32</v>
      </c>
      <c r="F61" s="2">
        <v>49</v>
      </c>
      <c r="G61" s="2">
        <v>12</v>
      </c>
      <c r="H61" s="2">
        <v>834</v>
      </c>
    </row>
    <row r="62" spans="4:8" x14ac:dyDescent="0.3">
      <c r="D62" s="13">
        <v>44201</v>
      </c>
      <c r="E62" s="2">
        <v>95</v>
      </c>
      <c r="F62" s="2">
        <v>41</v>
      </c>
      <c r="G62" s="2">
        <v>13</v>
      </c>
      <c r="H62" s="2">
        <v>1445</v>
      </c>
    </row>
    <row r="63" spans="4:8" x14ac:dyDescent="0.3">
      <c r="D63" s="13">
        <v>44202</v>
      </c>
      <c r="E63" s="2">
        <v>184</v>
      </c>
      <c r="F63" s="2">
        <v>45</v>
      </c>
      <c r="G63" s="2">
        <v>14</v>
      </c>
      <c r="H63" s="2">
        <v>1566</v>
      </c>
    </row>
    <row r="64" spans="4:8" x14ac:dyDescent="0.3">
      <c r="D64" s="13">
        <v>44203</v>
      </c>
      <c r="E64" s="2">
        <v>78</v>
      </c>
      <c r="F64" s="2">
        <v>39</v>
      </c>
      <c r="G64" s="2">
        <v>16</v>
      </c>
      <c r="H64" s="2">
        <v>759</v>
      </c>
    </row>
    <row r="65" spans="4:8" x14ac:dyDescent="0.3">
      <c r="D65" s="13">
        <v>44204</v>
      </c>
      <c r="E65" s="2">
        <v>220</v>
      </c>
      <c r="F65" s="2">
        <v>41</v>
      </c>
      <c r="G65" s="2">
        <v>18</v>
      </c>
      <c r="H65" s="2">
        <v>2056</v>
      </c>
    </row>
    <row r="66" spans="4:8" x14ac:dyDescent="0.3">
      <c r="D66" s="13">
        <v>44205</v>
      </c>
      <c r="E66" s="2">
        <v>136</v>
      </c>
      <c r="F66" s="2">
        <v>41</v>
      </c>
      <c r="G66" s="2">
        <v>16</v>
      </c>
      <c r="H66" s="2">
        <v>1826</v>
      </c>
    </row>
    <row r="67" spans="4:8" x14ac:dyDescent="0.3">
      <c r="D67" s="13">
        <v>44206</v>
      </c>
      <c r="E67" s="2">
        <v>120</v>
      </c>
      <c r="F67" s="2">
        <v>42</v>
      </c>
      <c r="G67" s="2">
        <v>19</v>
      </c>
      <c r="H67" s="2">
        <v>1741</v>
      </c>
    </row>
    <row r="68" spans="4:8" x14ac:dyDescent="0.3">
      <c r="D68" s="13">
        <v>44207</v>
      </c>
      <c r="E68" s="2">
        <v>148</v>
      </c>
      <c r="F68" s="2">
        <v>45</v>
      </c>
      <c r="G68" s="2">
        <v>20</v>
      </c>
      <c r="H68" s="2">
        <v>1422</v>
      </c>
    </row>
    <row r="69" spans="4:8" x14ac:dyDescent="0.3">
      <c r="D69" s="13">
        <v>44208</v>
      </c>
      <c r="E69" s="2">
        <v>221</v>
      </c>
      <c r="F69" s="2">
        <v>44</v>
      </c>
      <c r="G69" s="2">
        <v>22</v>
      </c>
      <c r="H69" s="2">
        <v>2193</v>
      </c>
    </row>
    <row r="70" spans="4:8" x14ac:dyDescent="0.3">
      <c r="D70" s="13">
        <v>44209</v>
      </c>
      <c r="E70" s="2">
        <v>244</v>
      </c>
      <c r="F70" s="2">
        <v>47</v>
      </c>
      <c r="G70" s="2">
        <v>22</v>
      </c>
      <c r="H70" s="2">
        <v>2551</v>
      </c>
    </row>
    <row r="71" spans="4:8" x14ac:dyDescent="0.3">
      <c r="D71" s="13">
        <v>44210</v>
      </c>
      <c r="E71" s="2">
        <v>191</v>
      </c>
      <c r="F71" s="2">
        <v>56</v>
      </c>
      <c r="G71" s="2">
        <v>22</v>
      </c>
      <c r="H71" s="2">
        <v>2453</v>
      </c>
    </row>
    <row r="72" spans="4:8" x14ac:dyDescent="0.3">
      <c r="D72" s="13">
        <v>44211</v>
      </c>
      <c r="E72" s="2">
        <v>278</v>
      </c>
      <c r="F72" s="2">
        <v>50</v>
      </c>
      <c r="G72" s="2">
        <v>19</v>
      </c>
      <c r="H72" s="2">
        <v>2554</v>
      </c>
    </row>
    <row r="73" spans="4:8" x14ac:dyDescent="0.3">
      <c r="D73" s="13">
        <v>44212</v>
      </c>
      <c r="E73" s="2">
        <v>256</v>
      </c>
      <c r="F73" s="2">
        <v>66</v>
      </c>
      <c r="G73" s="2">
        <v>18</v>
      </c>
      <c r="H73" s="2">
        <v>2618</v>
      </c>
    </row>
    <row r="74" spans="4:8" x14ac:dyDescent="0.3">
      <c r="D74" s="13">
        <v>44213</v>
      </c>
      <c r="E74" s="2">
        <v>154</v>
      </c>
      <c r="F74" s="2">
        <v>85</v>
      </c>
      <c r="G74" s="2">
        <v>20</v>
      </c>
      <c r="H74" s="2">
        <v>1593</v>
      </c>
    </row>
    <row r="75" spans="4:8" x14ac:dyDescent="0.3">
      <c r="D75" s="13">
        <v>44214</v>
      </c>
      <c r="E75" s="2">
        <v>187</v>
      </c>
      <c r="F75" s="2">
        <v>90</v>
      </c>
      <c r="G75" s="2">
        <v>21</v>
      </c>
      <c r="H75" s="2">
        <v>2865</v>
      </c>
    </row>
    <row r="76" spans="4:8" x14ac:dyDescent="0.3">
      <c r="D76" s="13">
        <v>44215</v>
      </c>
      <c r="E76" s="2">
        <v>239</v>
      </c>
      <c r="F76" s="2">
        <v>112</v>
      </c>
      <c r="G76" s="2">
        <v>22</v>
      </c>
      <c r="H76" s="2">
        <v>2839</v>
      </c>
    </row>
    <row r="77" spans="4:8" x14ac:dyDescent="0.3">
      <c r="D77" s="13">
        <v>44216</v>
      </c>
      <c r="E77" s="2">
        <v>323</v>
      </c>
      <c r="F77" s="2">
        <v>117</v>
      </c>
      <c r="G77" s="2">
        <v>22</v>
      </c>
      <c r="H77" s="2">
        <v>3665</v>
      </c>
    </row>
    <row r="78" spans="4:8" x14ac:dyDescent="0.3">
      <c r="D78" s="13">
        <v>44217</v>
      </c>
      <c r="E78" s="2">
        <v>354</v>
      </c>
      <c r="F78" s="2">
        <v>116</v>
      </c>
      <c r="G78" s="2">
        <v>21</v>
      </c>
      <c r="H78" s="2">
        <v>3193</v>
      </c>
    </row>
    <row r="79" spans="4:8" x14ac:dyDescent="0.3">
      <c r="D79" s="13">
        <v>44218</v>
      </c>
      <c r="E79" s="2">
        <v>331</v>
      </c>
      <c r="F79" s="2">
        <v>126</v>
      </c>
      <c r="G79" s="2">
        <v>22</v>
      </c>
      <c r="H79" s="2">
        <v>2345</v>
      </c>
    </row>
    <row r="80" spans="4:8" x14ac:dyDescent="0.3">
      <c r="D80" s="13">
        <v>44219</v>
      </c>
      <c r="E80" s="2">
        <v>275</v>
      </c>
      <c r="F80" s="2">
        <v>139</v>
      </c>
      <c r="G80" s="2">
        <v>23</v>
      </c>
      <c r="H80" s="2">
        <v>3113</v>
      </c>
    </row>
    <row r="81" spans="4:8" x14ac:dyDescent="0.3">
      <c r="D81" s="13">
        <v>44220</v>
      </c>
      <c r="E81" s="2">
        <v>230</v>
      </c>
      <c r="F81" s="2">
        <v>154</v>
      </c>
      <c r="G81" s="2">
        <v>21</v>
      </c>
      <c r="H81" s="2">
        <v>2925</v>
      </c>
    </row>
    <row r="82" spans="4:8" x14ac:dyDescent="0.3">
      <c r="D82" s="13">
        <v>44221</v>
      </c>
      <c r="E82" s="2">
        <v>177</v>
      </c>
      <c r="F82" s="2">
        <v>159</v>
      </c>
      <c r="G82" s="2">
        <v>23</v>
      </c>
      <c r="H82" s="2">
        <v>2092</v>
      </c>
    </row>
    <row r="83" spans="4:8" x14ac:dyDescent="0.3">
      <c r="D83" s="13">
        <v>44222</v>
      </c>
      <c r="E83" s="2">
        <v>225</v>
      </c>
      <c r="F83" s="2">
        <v>178</v>
      </c>
      <c r="G83" s="2">
        <v>23</v>
      </c>
      <c r="H83" s="2">
        <v>3024</v>
      </c>
    </row>
    <row r="84" spans="4:8" x14ac:dyDescent="0.3">
      <c r="D84" s="13">
        <v>44223</v>
      </c>
      <c r="E84" s="2">
        <v>255</v>
      </c>
      <c r="F84" s="2">
        <v>172</v>
      </c>
      <c r="G84" s="2">
        <v>23</v>
      </c>
      <c r="H84" s="2">
        <v>2703</v>
      </c>
    </row>
    <row r="85" spans="4:8" x14ac:dyDescent="0.3">
      <c r="D85" s="13">
        <v>44224</v>
      </c>
      <c r="E85" s="2">
        <v>349</v>
      </c>
      <c r="F85" s="2">
        <v>164</v>
      </c>
      <c r="G85" s="2">
        <v>23</v>
      </c>
      <c r="H85" s="2">
        <v>3311</v>
      </c>
    </row>
    <row r="86" spans="4:8" x14ac:dyDescent="0.3">
      <c r="D86" s="13">
        <v>44225</v>
      </c>
      <c r="E86" s="2">
        <v>251</v>
      </c>
      <c r="F86" s="2">
        <v>153</v>
      </c>
      <c r="G86" s="2">
        <v>21</v>
      </c>
      <c r="H86" s="2">
        <v>2874</v>
      </c>
    </row>
    <row r="87" spans="4:8" x14ac:dyDescent="0.3">
      <c r="D87" s="13">
        <v>44226</v>
      </c>
      <c r="E87" s="2">
        <v>277</v>
      </c>
      <c r="F87" s="2">
        <v>154</v>
      </c>
      <c r="G87" s="2">
        <v>21</v>
      </c>
      <c r="H87" s="2">
        <v>3267</v>
      </c>
    </row>
    <row r="88" spans="4:8" x14ac:dyDescent="0.3">
      <c r="D88" s="13">
        <v>44227</v>
      </c>
      <c r="E88" s="2">
        <v>153</v>
      </c>
      <c r="F88" s="2">
        <v>166</v>
      </c>
      <c r="G88" s="2">
        <v>24</v>
      </c>
      <c r="H88" s="2">
        <v>6618</v>
      </c>
    </row>
    <row r="89" spans="4:8" x14ac:dyDescent="0.3">
      <c r="D89" s="13">
        <v>44228</v>
      </c>
      <c r="E89" s="2">
        <v>135</v>
      </c>
      <c r="F89" s="2">
        <v>172</v>
      </c>
      <c r="G89" s="2">
        <v>25</v>
      </c>
      <c r="H89" s="2">
        <v>6059</v>
      </c>
    </row>
    <row r="90" spans="4:8" x14ac:dyDescent="0.3">
      <c r="D90" s="13">
        <v>44229</v>
      </c>
      <c r="E90" s="2">
        <v>239</v>
      </c>
      <c r="F90" s="2">
        <v>165</v>
      </c>
      <c r="G90" s="2">
        <v>24</v>
      </c>
      <c r="H90" s="2">
        <v>7097</v>
      </c>
    </row>
    <row r="91" spans="4:8" x14ac:dyDescent="0.3">
      <c r="D91" s="13">
        <v>44230</v>
      </c>
      <c r="E91" s="2">
        <v>204</v>
      </c>
      <c r="F91" s="2">
        <v>153</v>
      </c>
      <c r="G91" s="2">
        <v>25</v>
      </c>
      <c r="H91" s="2">
        <v>7130</v>
      </c>
    </row>
    <row r="92" spans="4:8" x14ac:dyDescent="0.3">
      <c r="D92" s="13">
        <v>44231</v>
      </c>
      <c r="E92" s="2">
        <v>135</v>
      </c>
      <c r="F92" s="2">
        <v>136</v>
      </c>
      <c r="G92" s="2">
        <v>26</v>
      </c>
      <c r="H92" s="2">
        <v>6457</v>
      </c>
    </row>
    <row r="93" spans="4:8" x14ac:dyDescent="0.3">
      <c r="D93" s="13">
        <v>44232</v>
      </c>
      <c r="E93" s="2">
        <v>156</v>
      </c>
      <c r="F93" s="2">
        <v>135</v>
      </c>
      <c r="G93" s="2">
        <v>26</v>
      </c>
      <c r="H93" s="2">
        <v>2728</v>
      </c>
    </row>
    <row r="94" spans="4:8" x14ac:dyDescent="0.3">
      <c r="D94" s="13">
        <v>44233</v>
      </c>
      <c r="E94" s="2">
        <v>103</v>
      </c>
      <c r="F94" s="2">
        <v>136</v>
      </c>
      <c r="G94" s="2">
        <v>30</v>
      </c>
      <c r="H94" s="2">
        <v>3602</v>
      </c>
    </row>
    <row r="95" spans="4:8" x14ac:dyDescent="0.3">
      <c r="D95" s="13">
        <v>44234</v>
      </c>
      <c r="E95" s="2">
        <v>71</v>
      </c>
      <c r="F95" s="2">
        <v>145</v>
      </c>
      <c r="G95" s="2">
        <v>29</v>
      </c>
      <c r="H95" s="2">
        <v>2194</v>
      </c>
    </row>
    <row r="96" spans="4:8" x14ac:dyDescent="0.3">
      <c r="D96" s="12" t="s">
        <v>342</v>
      </c>
      <c r="E96" s="2">
        <v>9341</v>
      </c>
      <c r="F96" s="2">
        <v>5244</v>
      </c>
      <c r="G96" s="2">
        <v>1090</v>
      </c>
      <c r="H96" s="2">
        <v>161200</v>
      </c>
    </row>
  </sheetData>
  <pageMargins left="0.7" right="0.7" top="0.75" bottom="0.75" header="0.3" footer="0.3"/>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598E8E-FDBA-40FB-854C-B5CA59C5F524}">
  <sheetPr codeName="Sheet9"/>
  <dimension ref="A1:W66"/>
  <sheetViews>
    <sheetView showGridLines="0" workbookViewId="0">
      <selection sqref="A1:S49"/>
    </sheetView>
  </sheetViews>
  <sheetFormatPr defaultRowHeight="14.4" x14ac:dyDescent="0.3"/>
  <cols>
    <col min="1" max="1" width="10.5546875" bestFit="1" customWidth="1"/>
    <col min="2" max="2" width="19"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388</v>
      </c>
      <c r="B1" t="s">
        <v>1</v>
      </c>
      <c r="C1" t="s">
        <v>389</v>
      </c>
      <c r="D1" t="s">
        <v>423</v>
      </c>
      <c r="E1" t="s">
        <v>413</v>
      </c>
      <c r="F1" t="s">
        <v>414</v>
      </c>
      <c r="G1" t="s">
        <v>415</v>
      </c>
      <c r="H1" t="s">
        <v>416</v>
      </c>
      <c r="I1" t="s">
        <v>417</v>
      </c>
      <c r="J1" t="s">
        <v>418</v>
      </c>
      <c r="K1" t="s">
        <v>419</v>
      </c>
      <c r="L1" t="s">
        <v>424</v>
      </c>
      <c r="M1" t="s">
        <v>390</v>
      </c>
      <c r="N1" t="s">
        <v>361</v>
      </c>
      <c r="O1" t="s">
        <v>362</v>
      </c>
      <c r="P1" t="s">
        <v>391</v>
      </c>
      <c r="Q1" t="s">
        <v>392</v>
      </c>
      <c r="R1" t="s">
        <v>420</v>
      </c>
      <c r="S1" t="s">
        <v>443</v>
      </c>
      <c r="T1" t="s">
        <v>421</v>
      </c>
      <c r="U1" t="s">
        <v>393</v>
      </c>
      <c r="V1" t="s">
        <v>394</v>
      </c>
      <c r="W1" t="s">
        <v>428</v>
      </c>
    </row>
    <row r="2" spans="1:23" x14ac:dyDescent="0.3">
      <c r="A2" s="2" t="s">
        <v>369</v>
      </c>
      <c r="B2" s="2" t="s">
        <v>4</v>
      </c>
      <c r="C2">
        <v>40</v>
      </c>
      <c r="D2">
        <v>291</v>
      </c>
      <c r="E2">
        <v>68</v>
      </c>
      <c r="F2">
        <v>1430</v>
      </c>
      <c r="G2">
        <v>10497</v>
      </c>
      <c r="H2">
        <v>103</v>
      </c>
      <c r="I2">
        <v>22</v>
      </c>
      <c r="J2">
        <v>204705</v>
      </c>
      <c r="K2">
        <v>73260</v>
      </c>
      <c r="L2">
        <v>291</v>
      </c>
      <c r="M2">
        <v>-54</v>
      </c>
      <c r="N2">
        <v>97</v>
      </c>
      <c r="O2">
        <v>23</v>
      </c>
      <c r="P2">
        <v>1034</v>
      </c>
      <c r="Q2">
        <v>80</v>
      </c>
      <c r="R2">
        <v>0.96223776223776225</v>
      </c>
      <c r="S2">
        <v>94</v>
      </c>
      <c r="T2" t="s">
        <v>369</v>
      </c>
      <c r="U2">
        <v>1114</v>
      </c>
      <c r="V2">
        <v>3.59066427289048E-2</v>
      </c>
      <c r="W2">
        <v>0</v>
      </c>
    </row>
    <row r="3" spans="1:23" x14ac:dyDescent="0.3">
      <c r="A3" s="2" t="s">
        <v>370</v>
      </c>
      <c r="B3" s="2" t="s">
        <v>4</v>
      </c>
      <c r="C3">
        <v>53</v>
      </c>
      <c r="D3">
        <v>291</v>
      </c>
      <c r="E3">
        <v>40</v>
      </c>
      <c r="F3">
        <v>1376</v>
      </c>
      <c r="G3">
        <v>10591</v>
      </c>
      <c r="H3">
        <v>97</v>
      </c>
      <c r="I3">
        <v>23</v>
      </c>
      <c r="J3">
        <v>205739</v>
      </c>
      <c r="K3">
        <v>73340</v>
      </c>
      <c r="L3">
        <v>291</v>
      </c>
      <c r="M3">
        <v>-27</v>
      </c>
      <c r="N3">
        <v>98</v>
      </c>
      <c r="O3">
        <v>22</v>
      </c>
      <c r="P3">
        <v>766</v>
      </c>
      <c r="Q3">
        <v>58</v>
      </c>
      <c r="R3">
        <v>0.98037790697674421</v>
      </c>
      <c r="S3">
        <v>80</v>
      </c>
      <c r="T3" t="s">
        <v>370</v>
      </c>
      <c r="U3">
        <v>824</v>
      </c>
      <c r="V3">
        <v>6.4320388349514604E-2</v>
      </c>
      <c r="W3">
        <v>0</v>
      </c>
    </row>
    <row r="4" spans="1:23" x14ac:dyDescent="0.3">
      <c r="A4" s="2" t="s">
        <v>371</v>
      </c>
      <c r="B4" s="2" t="s">
        <v>4</v>
      </c>
      <c r="C4">
        <v>37</v>
      </c>
      <c r="D4">
        <v>293</v>
      </c>
      <c r="E4">
        <v>52</v>
      </c>
      <c r="F4">
        <v>1349</v>
      </c>
      <c r="G4">
        <v>10671</v>
      </c>
      <c r="H4">
        <v>98</v>
      </c>
      <c r="I4">
        <v>22</v>
      </c>
      <c r="J4">
        <v>206505</v>
      </c>
      <c r="K4">
        <v>73398</v>
      </c>
      <c r="L4">
        <v>291</v>
      </c>
      <c r="M4">
        <v>-105</v>
      </c>
      <c r="N4">
        <v>87</v>
      </c>
      <c r="O4">
        <v>17</v>
      </c>
      <c r="P4">
        <v>446</v>
      </c>
      <c r="Q4">
        <v>168</v>
      </c>
      <c r="R4">
        <v>0.92216456634544108</v>
      </c>
      <c r="S4">
        <v>140</v>
      </c>
      <c r="T4" t="s">
        <v>371</v>
      </c>
      <c r="U4">
        <v>614</v>
      </c>
      <c r="V4">
        <v>6.0260586319218198E-2</v>
      </c>
      <c r="W4">
        <v>2</v>
      </c>
    </row>
    <row r="5" spans="1:23" x14ac:dyDescent="0.3">
      <c r="A5" s="2" t="s">
        <v>372</v>
      </c>
      <c r="B5" s="2" t="s">
        <v>4</v>
      </c>
      <c r="C5">
        <v>47</v>
      </c>
      <c r="D5">
        <v>293</v>
      </c>
      <c r="E5">
        <v>26</v>
      </c>
      <c r="F5">
        <v>1244</v>
      </c>
      <c r="G5">
        <v>10811</v>
      </c>
      <c r="H5">
        <v>87</v>
      </c>
      <c r="I5">
        <v>17</v>
      </c>
      <c r="J5">
        <v>206951</v>
      </c>
      <c r="K5">
        <v>73566</v>
      </c>
      <c r="L5">
        <v>293</v>
      </c>
      <c r="M5">
        <v>-51</v>
      </c>
      <c r="N5">
        <v>84</v>
      </c>
      <c r="O5">
        <v>16</v>
      </c>
      <c r="P5">
        <v>1411</v>
      </c>
      <c r="Q5">
        <v>70</v>
      </c>
      <c r="R5">
        <v>0.95900321543408362</v>
      </c>
      <c r="S5">
        <v>98</v>
      </c>
      <c r="T5" t="s">
        <v>372</v>
      </c>
      <c r="U5">
        <v>1481</v>
      </c>
      <c r="V5">
        <v>3.1735313977042497E-2</v>
      </c>
      <c r="W5">
        <v>0</v>
      </c>
    </row>
    <row r="6" spans="1:23" x14ac:dyDescent="0.3">
      <c r="A6" s="2" t="s">
        <v>373</v>
      </c>
      <c r="B6" s="2" t="s">
        <v>4</v>
      </c>
      <c r="C6">
        <v>43</v>
      </c>
      <c r="D6">
        <v>293</v>
      </c>
      <c r="E6">
        <v>45</v>
      </c>
      <c r="F6">
        <v>1193</v>
      </c>
      <c r="G6">
        <v>10909</v>
      </c>
      <c r="H6">
        <v>84</v>
      </c>
      <c r="I6">
        <v>16</v>
      </c>
      <c r="J6">
        <v>208362</v>
      </c>
      <c r="K6">
        <v>73636</v>
      </c>
      <c r="L6">
        <v>293</v>
      </c>
      <c r="M6">
        <v>-47</v>
      </c>
      <c r="N6">
        <v>76</v>
      </c>
      <c r="O6">
        <v>14</v>
      </c>
      <c r="P6">
        <v>688</v>
      </c>
      <c r="Q6">
        <v>210</v>
      </c>
      <c r="R6">
        <v>0.9606035205364627</v>
      </c>
      <c r="S6">
        <v>90</v>
      </c>
      <c r="T6" t="s">
        <v>373</v>
      </c>
      <c r="U6">
        <v>898</v>
      </c>
      <c r="V6">
        <v>4.7884187082405397E-2</v>
      </c>
      <c r="W6">
        <v>0</v>
      </c>
    </row>
    <row r="7" spans="1:23" x14ac:dyDescent="0.3">
      <c r="A7" s="2" t="s">
        <v>374</v>
      </c>
      <c r="B7" s="2" t="s">
        <v>4</v>
      </c>
      <c r="C7">
        <v>43</v>
      </c>
      <c r="D7">
        <v>293</v>
      </c>
      <c r="E7">
        <v>35</v>
      </c>
      <c r="F7">
        <v>1146</v>
      </c>
      <c r="G7">
        <v>10999</v>
      </c>
      <c r="H7">
        <v>76</v>
      </c>
      <c r="I7">
        <v>14</v>
      </c>
      <c r="J7">
        <v>209050</v>
      </c>
      <c r="K7">
        <v>73846</v>
      </c>
      <c r="L7">
        <v>293</v>
      </c>
      <c r="M7">
        <v>-53</v>
      </c>
      <c r="N7">
        <v>78</v>
      </c>
      <c r="O7">
        <v>13</v>
      </c>
      <c r="P7">
        <v>1350</v>
      </c>
      <c r="Q7">
        <v>204</v>
      </c>
      <c r="R7">
        <v>0.9537521815008726</v>
      </c>
      <c r="S7">
        <v>96</v>
      </c>
      <c r="T7" t="s">
        <v>374</v>
      </c>
      <c r="U7">
        <v>1554</v>
      </c>
      <c r="V7">
        <v>2.76705276705277E-2</v>
      </c>
      <c r="W7">
        <v>0</v>
      </c>
    </row>
    <row r="8" spans="1:23" x14ac:dyDescent="0.3">
      <c r="A8" s="2" t="s">
        <v>375</v>
      </c>
      <c r="B8" s="2" t="s">
        <v>4</v>
      </c>
      <c r="C8">
        <v>51</v>
      </c>
      <c r="D8">
        <v>296</v>
      </c>
      <c r="E8">
        <v>34</v>
      </c>
      <c r="F8">
        <v>1093</v>
      </c>
      <c r="G8">
        <v>11095</v>
      </c>
      <c r="H8">
        <v>78</v>
      </c>
      <c r="I8">
        <v>13</v>
      </c>
      <c r="J8">
        <v>210400</v>
      </c>
      <c r="K8">
        <v>74050</v>
      </c>
      <c r="L8">
        <v>293</v>
      </c>
      <c r="M8">
        <v>-76</v>
      </c>
      <c r="N8">
        <v>74</v>
      </c>
      <c r="O8">
        <v>13</v>
      </c>
      <c r="P8">
        <v>1469</v>
      </c>
      <c r="Q8">
        <v>203</v>
      </c>
      <c r="R8">
        <v>0.93046660567246109</v>
      </c>
      <c r="S8">
        <v>124</v>
      </c>
      <c r="T8" t="s">
        <v>375</v>
      </c>
      <c r="U8">
        <v>1672</v>
      </c>
      <c r="V8">
        <v>3.05023923444976E-2</v>
      </c>
      <c r="W8">
        <v>3</v>
      </c>
    </row>
    <row r="9" spans="1:23" x14ac:dyDescent="0.3">
      <c r="A9" s="2" t="s">
        <v>376</v>
      </c>
      <c r="B9" s="2" t="s">
        <v>4</v>
      </c>
      <c r="C9">
        <v>42</v>
      </c>
      <c r="D9">
        <v>296</v>
      </c>
      <c r="E9">
        <v>43</v>
      </c>
      <c r="F9">
        <v>1017</v>
      </c>
      <c r="G9">
        <v>11219</v>
      </c>
      <c r="H9">
        <v>74</v>
      </c>
      <c r="I9">
        <v>13</v>
      </c>
      <c r="J9">
        <v>211869</v>
      </c>
      <c r="K9">
        <v>74253</v>
      </c>
      <c r="L9">
        <v>296</v>
      </c>
      <c r="M9">
        <v>-24</v>
      </c>
      <c r="N9">
        <v>74</v>
      </c>
      <c r="O9">
        <v>13</v>
      </c>
      <c r="P9">
        <v>1179</v>
      </c>
      <c r="Q9">
        <v>81</v>
      </c>
      <c r="R9">
        <v>0.97640117994100295</v>
      </c>
      <c r="S9">
        <v>66</v>
      </c>
      <c r="T9" t="s">
        <v>376</v>
      </c>
      <c r="U9">
        <v>1260</v>
      </c>
      <c r="V9">
        <v>3.3333333333333298E-2</v>
      </c>
      <c r="W9">
        <v>0</v>
      </c>
    </row>
    <row r="10" spans="1:23" x14ac:dyDescent="0.3">
      <c r="A10" s="2" t="s">
        <v>377</v>
      </c>
      <c r="B10" s="2" t="s">
        <v>4</v>
      </c>
      <c r="C10">
        <v>65</v>
      </c>
      <c r="D10">
        <v>298</v>
      </c>
      <c r="E10">
        <v>41</v>
      </c>
      <c r="F10">
        <v>993</v>
      </c>
      <c r="G10">
        <v>11285</v>
      </c>
      <c r="H10">
        <v>74</v>
      </c>
      <c r="I10">
        <v>13</v>
      </c>
      <c r="J10">
        <v>213048</v>
      </c>
      <c r="K10">
        <v>74334</v>
      </c>
      <c r="L10">
        <v>296</v>
      </c>
      <c r="M10">
        <v>-38</v>
      </c>
      <c r="N10">
        <v>75</v>
      </c>
      <c r="O10">
        <v>13</v>
      </c>
      <c r="P10">
        <v>724</v>
      </c>
      <c r="Q10">
        <v>85</v>
      </c>
      <c r="R10">
        <v>0.96173212487411885</v>
      </c>
      <c r="S10">
        <v>101</v>
      </c>
      <c r="T10" t="s">
        <v>377</v>
      </c>
      <c r="U10">
        <v>809</v>
      </c>
      <c r="V10">
        <v>8.0346106304079096E-2</v>
      </c>
      <c r="W10">
        <v>2</v>
      </c>
    </row>
    <row r="11" spans="1:23" x14ac:dyDescent="0.3">
      <c r="A11" s="2" t="s">
        <v>378</v>
      </c>
      <c r="B11" s="2" t="s">
        <v>4</v>
      </c>
      <c r="C11">
        <v>21</v>
      </c>
      <c r="D11">
        <v>300</v>
      </c>
      <c r="E11">
        <v>61</v>
      </c>
      <c r="F11">
        <v>955</v>
      </c>
      <c r="G11">
        <v>11386</v>
      </c>
      <c r="H11">
        <v>75</v>
      </c>
      <c r="I11">
        <v>13</v>
      </c>
      <c r="J11">
        <v>213772</v>
      </c>
      <c r="K11">
        <v>74419</v>
      </c>
      <c r="L11">
        <v>298</v>
      </c>
      <c r="M11">
        <v>-26</v>
      </c>
      <c r="N11">
        <v>72</v>
      </c>
      <c r="O11">
        <v>14</v>
      </c>
      <c r="P11">
        <v>341</v>
      </c>
      <c r="Q11">
        <v>174</v>
      </c>
      <c r="R11">
        <v>0.97277486910994759</v>
      </c>
      <c r="S11">
        <v>45</v>
      </c>
      <c r="T11" t="s">
        <v>378</v>
      </c>
      <c r="U11">
        <v>515</v>
      </c>
      <c r="V11">
        <v>4.0776699029126201E-2</v>
      </c>
      <c r="W11">
        <v>2</v>
      </c>
    </row>
    <row r="12" spans="1:23" x14ac:dyDescent="0.3">
      <c r="A12" s="2" t="s">
        <v>379</v>
      </c>
      <c r="B12" s="2" t="s">
        <v>4</v>
      </c>
      <c r="C12">
        <v>45</v>
      </c>
      <c r="D12">
        <v>301</v>
      </c>
      <c r="E12">
        <v>17</v>
      </c>
      <c r="F12">
        <v>929</v>
      </c>
      <c r="G12">
        <v>11431</v>
      </c>
      <c r="H12">
        <v>72</v>
      </c>
      <c r="I12">
        <v>14</v>
      </c>
      <c r="J12">
        <v>214113</v>
      </c>
      <c r="K12">
        <v>74593</v>
      </c>
      <c r="L12">
        <v>300</v>
      </c>
      <c r="M12">
        <v>-22</v>
      </c>
      <c r="N12">
        <v>63</v>
      </c>
      <c r="O12">
        <v>13</v>
      </c>
      <c r="P12">
        <v>1001</v>
      </c>
      <c r="Q12">
        <v>219</v>
      </c>
      <c r="R12">
        <v>0.97631862217438103</v>
      </c>
      <c r="S12">
        <v>66</v>
      </c>
      <c r="T12" t="s">
        <v>379</v>
      </c>
      <c r="U12">
        <v>1220</v>
      </c>
      <c r="V12">
        <v>3.6885245901639302E-2</v>
      </c>
      <c r="W12">
        <v>1</v>
      </c>
    </row>
    <row r="13" spans="1:23" x14ac:dyDescent="0.3">
      <c r="A13" s="2" t="s">
        <v>380</v>
      </c>
      <c r="B13" s="2" t="s">
        <v>4</v>
      </c>
      <c r="C13">
        <v>61</v>
      </c>
      <c r="D13">
        <v>303</v>
      </c>
      <c r="E13">
        <v>40</v>
      </c>
      <c r="F13">
        <v>907</v>
      </c>
      <c r="G13">
        <v>11497</v>
      </c>
      <c r="H13">
        <v>63</v>
      </c>
      <c r="I13">
        <v>13</v>
      </c>
      <c r="J13">
        <v>215114</v>
      </c>
      <c r="K13">
        <v>74812</v>
      </c>
      <c r="L13">
        <v>301</v>
      </c>
      <c r="M13">
        <v>-8</v>
      </c>
      <c r="N13">
        <v>69</v>
      </c>
      <c r="O13">
        <v>12</v>
      </c>
      <c r="P13">
        <v>873</v>
      </c>
      <c r="Q13">
        <v>196</v>
      </c>
      <c r="R13">
        <v>0.99117971334068355</v>
      </c>
      <c r="S13">
        <v>67</v>
      </c>
      <c r="T13" t="s">
        <v>380</v>
      </c>
      <c r="U13">
        <v>1069</v>
      </c>
      <c r="V13">
        <v>5.7062675397567798E-2</v>
      </c>
      <c r="W13">
        <v>2</v>
      </c>
    </row>
    <row r="14" spans="1:23" x14ac:dyDescent="0.3">
      <c r="A14" s="2" t="s">
        <v>381</v>
      </c>
      <c r="B14" s="2" t="s">
        <v>4</v>
      </c>
      <c r="C14">
        <v>44</v>
      </c>
      <c r="D14">
        <v>305</v>
      </c>
      <c r="E14">
        <v>53</v>
      </c>
      <c r="F14">
        <v>899</v>
      </c>
      <c r="G14">
        <v>11564</v>
      </c>
      <c r="H14">
        <v>69</v>
      </c>
      <c r="I14">
        <v>12</v>
      </c>
      <c r="J14">
        <v>215987</v>
      </c>
      <c r="K14">
        <v>75008</v>
      </c>
      <c r="L14">
        <v>303</v>
      </c>
      <c r="M14">
        <v>-38</v>
      </c>
      <c r="N14">
        <v>64</v>
      </c>
      <c r="O14">
        <v>14</v>
      </c>
      <c r="P14">
        <v>780</v>
      </c>
      <c r="Q14">
        <v>195</v>
      </c>
      <c r="R14">
        <v>0.9577308120133482</v>
      </c>
      <c r="S14">
        <v>80</v>
      </c>
      <c r="T14" t="s">
        <v>381</v>
      </c>
      <c r="U14">
        <v>975</v>
      </c>
      <c r="V14">
        <v>4.5128205128205097E-2</v>
      </c>
      <c r="W14">
        <v>2</v>
      </c>
    </row>
    <row r="15" spans="1:23" x14ac:dyDescent="0.3">
      <c r="A15" s="2" t="s">
        <v>382</v>
      </c>
      <c r="B15" s="2" t="s">
        <v>4</v>
      </c>
      <c r="C15">
        <v>77</v>
      </c>
      <c r="D15">
        <v>305</v>
      </c>
      <c r="E15">
        <v>46</v>
      </c>
      <c r="F15">
        <v>861</v>
      </c>
      <c r="G15">
        <v>11644</v>
      </c>
      <c r="H15">
        <v>64</v>
      </c>
      <c r="I15">
        <v>14</v>
      </c>
      <c r="J15">
        <v>216767</v>
      </c>
      <c r="K15">
        <v>75203</v>
      </c>
      <c r="L15">
        <v>305</v>
      </c>
      <c r="M15">
        <v>9</v>
      </c>
      <c r="N15">
        <v>58</v>
      </c>
      <c r="O15">
        <v>14</v>
      </c>
      <c r="P15">
        <v>1257</v>
      </c>
      <c r="Q15">
        <v>216</v>
      </c>
      <c r="R15">
        <v>1.0104529616724738</v>
      </c>
      <c r="S15">
        <v>68</v>
      </c>
      <c r="T15" t="s">
        <v>382</v>
      </c>
      <c r="U15">
        <v>1473</v>
      </c>
      <c r="V15">
        <v>5.2274270196877103E-2</v>
      </c>
      <c r="W15">
        <v>0</v>
      </c>
    </row>
    <row r="16" spans="1:23" x14ac:dyDescent="0.3">
      <c r="A16" s="2" t="s">
        <v>383</v>
      </c>
      <c r="B16" s="2" t="s">
        <v>4</v>
      </c>
      <c r="C16">
        <v>67</v>
      </c>
      <c r="D16">
        <v>305</v>
      </c>
      <c r="E16">
        <v>69</v>
      </c>
      <c r="F16">
        <v>870</v>
      </c>
      <c r="G16">
        <v>11712</v>
      </c>
      <c r="H16">
        <v>58</v>
      </c>
      <c r="I16">
        <v>14</v>
      </c>
      <c r="J16">
        <v>218024</v>
      </c>
      <c r="K16">
        <v>75419</v>
      </c>
      <c r="L16">
        <v>305</v>
      </c>
      <c r="M16">
        <v>17</v>
      </c>
      <c r="N16">
        <v>59</v>
      </c>
      <c r="O16">
        <v>14</v>
      </c>
      <c r="P16">
        <v>889</v>
      </c>
      <c r="Q16">
        <v>73</v>
      </c>
      <c r="R16">
        <v>1.0195402298850575</v>
      </c>
      <c r="S16">
        <v>50</v>
      </c>
      <c r="T16" t="s">
        <v>383</v>
      </c>
      <c r="U16">
        <v>962</v>
      </c>
      <c r="V16">
        <v>6.9646569646569595E-2</v>
      </c>
      <c r="W16">
        <v>0</v>
      </c>
    </row>
    <row r="17" spans="1:23" x14ac:dyDescent="0.3">
      <c r="A17" s="2" t="s">
        <v>384</v>
      </c>
      <c r="B17" s="2" t="s">
        <v>4</v>
      </c>
      <c r="C17">
        <v>53</v>
      </c>
      <c r="D17">
        <v>305</v>
      </c>
      <c r="E17">
        <v>64</v>
      </c>
      <c r="F17">
        <v>887</v>
      </c>
      <c r="G17">
        <v>11762</v>
      </c>
      <c r="H17">
        <v>59</v>
      </c>
      <c r="I17">
        <v>14</v>
      </c>
      <c r="J17">
        <v>218913</v>
      </c>
      <c r="K17">
        <v>75492</v>
      </c>
      <c r="L17">
        <v>305</v>
      </c>
      <c r="M17">
        <v>-5</v>
      </c>
      <c r="N17">
        <v>60</v>
      </c>
      <c r="O17">
        <v>14</v>
      </c>
      <c r="P17">
        <v>1020</v>
      </c>
      <c r="Q17">
        <v>94</v>
      </c>
      <c r="R17">
        <v>0.99436302142051858</v>
      </c>
      <c r="S17">
        <v>58</v>
      </c>
      <c r="T17" t="s">
        <v>384</v>
      </c>
      <c r="U17">
        <v>1114</v>
      </c>
      <c r="V17">
        <v>4.7576301615798899E-2</v>
      </c>
      <c r="W17">
        <v>0</v>
      </c>
    </row>
    <row r="18" spans="1:23" x14ac:dyDescent="0.3">
      <c r="A18" s="2" t="s">
        <v>385</v>
      </c>
      <c r="B18" s="2" t="s">
        <v>4</v>
      </c>
      <c r="C18">
        <v>23</v>
      </c>
      <c r="D18">
        <v>305</v>
      </c>
      <c r="E18">
        <v>46</v>
      </c>
      <c r="F18">
        <v>882</v>
      </c>
      <c r="G18">
        <v>11820</v>
      </c>
      <c r="H18">
        <v>60</v>
      </c>
      <c r="I18">
        <v>14</v>
      </c>
      <c r="J18">
        <v>219933</v>
      </c>
      <c r="K18">
        <v>75586</v>
      </c>
      <c r="L18">
        <v>305</v>
      </c>
      <c r="M18">
        <v>-16</v>
      </c>
      <c r="N18">
        <v>63</v>
      </c>
      <c r="O18">
        <v>15</v>
      </c>
      <c r="P18">
        <v>544</v>
      </c>
      <c r="Q18">
        <v>245</v>
      </c>
      <c r="R18">
        <v>0.98185941043083902</v>
      </c>
      <c r="S18">
        <v>39</v>
      </c>
      <c r="T18" t="s">
        <v>385</v>
      </c>
      <c r="U18">
        <v>789</v>
      </c>
      <c r="V18">
        <v>2.9150823827629901E-2</v>
      </c>
      <c r="W18">
        <v>0</v>
      </c>
    </row>
    <row r="19" spans="1:23" x14ac:dyDescent="0.3">
      <c r="A19" s="2" t="s">
        <v>386</v>
      </c>
      <c r="B19" s="2" t="s">
        <v>4</v>
      </c>
      <c r="C19">
        <v>64</v>
      </c>
      <c r="D19">
        <v>305</v>
      </c>
      <c r="E19">
        <v>10</v>
      </c>
      <c r="F19">
        <v>866</v>
      </c>
      <c r="G19">
        <v>11859</v>
      </c>
      <c r="H19">
        <v>63</v>
      </c>
      <c r="I19">
        <v>15</v>
      </c>
      <c r="J19">
        <v>220477</v>
      </c>
      <c r="K19">
        <v>75831</v>
      </c>
      <c r="L19">
        <v>305</v>
      </c>
      <c r="M19">
        <v>14</v>
      </c>
      <c r="N19">
        <v>56</v>
      </c>
      <c r="O19">
        <v>15</v>
      </c>
      <c r="P19">
        <v>1705</v>
      </c>
      <c r="Q19">
        <v>197</v>
      </c>
      <c r="R19">
        <v>1.0161662817551964</v>
      </c>
      <c r="S19">
        <v>50</v>
      </c>
      <c r="T19" t="s">
        <v>386</v>
      </c>
      <c r="U19">
        <v>1902</v>
      </c>
      <c r="V19">
        <v>3.3648790746582502E-2</v>
      </c>
      <c r="W19">
        <v>0</v>
      </c>
    </row>
    <row r="20" spans="1:23" x14ac:dyDescent="0.3">
      <c r="A20" s="2" t="s">
        <v>367</v>
      </c>
      <c r="B20" s="2" t="s">
        <v>4</v>
      </c>
      <c r="C20">
        <v>60</v>
      </c>
      <c r="D20">
        <v>305</v>
      </c>
      <c r="E20">
        <v>68</v>
      </c>
      <c r="F20">
        <v>880</v>
      </c>
      <c r="G20">
        <v>11909</v>
      </c>
      <c r="H20">
        <v>56</v>
      </c>
      <c r="I20">
        <v>15</v>
      </c>
      <c r="J20">
        <v>222182</v>
      </c>
      <c r="K20">
        <v>76028</v>
      </c>
      <c r="L20">
        <v>305</v>
      </c>
      <c r="M20">
        <v>-2</v>
      </c>
      <c r="N20">
        <v>55</v>
      </c>
      <c r="O20">
        <v>17</v>
      </c>
      <c r="P20">
        <v>2664</v>
      </c>
      <c r="Q20">
        <v>216</v>
      </c>
      <c r="R20">
        <v>0.99772727272727268</v>
      </c>
      <c r="S20">
        <v>62</v>
      </c>
      <c r="T20" t="s">
        <v>367</v>
      </c>
      <c r="U20">
        <v>2880</v>
      </c>
      <c r="V20">
        <v>2.0833333333333301E-2</v>
      </c>
      <c r="W20">
        <v>0</v>
      </c>
    </row>
    <row r="21" spans="1:23" x14ac:dyDescent="0.3">
      <c r="A21" s="2" t="s">
        <v>343</v>
      </c>
      <c r="B21" s="2" t="s">
        <v>4</v>
      </c>
      <c r="C21">
        <v>67</v>
      </c>
      <c r="D21">
        <v>305</v>
      </c>
      <c r="E21">
        <v>41</v>
      </c>
      <c r="F21">
        <v>878</v>
      </c>
      <c r="G21">
        <v>11971</v>
      </c>
      <c r="H21">
        <v>55</v>
      </c>
      <c r="I21">
        <v>17</v>
      </c>
      <c r="J21">
        <v>224846</v>
      </c>
      <c r="K21">
        <v>76244</v>
      </c>
      <c r="L21">
        <v>305</v>
      </c>
      <c r="M21">
        <v>21</v>
      </c>
      <c r="N21">
        <v>56</v>
      </c>
      <c r="O21">
        <v>18</v>
      </c>
      <c r="P21">
        <v>2243</v>
      </c>
      <c r="Q21">
        <v>218</v>
      </c>
      <c r="R21">
        <v>1.0239179954441913</v>
      </c>
      <c r="S21">
        <v>46</v>
      </c>
      <c r="T21" t="s">
        <v>343</v>
      </c>
      <c r="U21">
        <v>2461</v>
      </c>
      <c r="V21">
        <v>2.7224705404307201E-2</v>
      </c>
      <c r="W21">
        <v>0</v>
      </c>
    </row>
    <row r="22" spans="1:23" x14ac:dyDescent="0.3">
      <c r="A22" s="2" t="s">
        <v>344</v>
      </c>
      <c r="B22" s="2" t="s">
        <v>4</v>
      </c>
      <c r="C22">
        <v>59</v>
      </c>
      <c r="D22">
        <v>307</v>
      </c>
      <c r="E22">
        <v>64</v>
      </c>
      <c r="F22">
        <v>899</v>
      </c>
      <c r="G22">
        <v>12017</v>
      </c>
      <c r="H22">
        <v>56</v>
      </c>
      <c r="I22">
        <v>18</v>
      </c>
      <c r="J22">
        <v>227089</v>
      </c>
      <c r="K22">
        <v>76462</v>
      </c>
      <c r="L22">
        <v>305</v>
      </c>
      <c r="M22">
        <v>2</v>
      </c>
      <c r="N22">
        <v>56</v>
      </c>
      <c r="O22">
        <v>17</v>
      </c>
      <c r="P22">
        <v>1156</v>
      </c>
      <c r="Q22">
        <v>75</v>
      </c>
      <c r="R22">
        <v>1.0022246941045607</v>
      </c>
      <c r="S22">
        <v>55</v>
      </c>
      <c r="T22" t="s">
        <v>344</v>
      </c>
      <c r="U22">
        <v>1231</v>
      </c>
      <c r="V22">
        <v>4.79285134037368E-2</v>
      </c>
      <c r="W22">
        <v>2</v>
      </c>
    </row>
    <row r="23" spans="1:23" x14ac:dyDescent="0.3">
      <c r="A23" s="2" t="s">
        <v>345</v>
      </c>
      <c r="B23" s="2" t="s">
        <v>4</v>
      </c>
      <c r="C23">
        <v>36</v>
      </c>
      <c r="D23">
        <v>307</v>
      </c>
      <c r="E23">
        <v>61</v>
      </c>
      <c r="F23">
        <v>901</v>
      </c>
      <c r="G23">
        <v>12072</v>
      </c>
      <c r="H23">
        <v>56</v>
      </c>
      <c r="I23">
        <v>17</v>
      </c>
      <c r="J23">
        <v>228245</v>
      </c>
      <c r="K23">
        <v>76537</v>
      </c>
      <c r="L23">
        <v>307</v>
      </c>
      <c r="M23">
        <v>-28</v>
      </c>
      <c r="N23">
        <v>61</v>
      </c>
      <c r="O23">
        <v>18</v>
      </c>
      <c r="P23">
        <v>341</v>
      </c>
      <c r="Q23">
        <v>63</v>
      </c>
      <c r="R23">
        <v>0.96892341842397334</v>
      </c>
      <c r="S23">
        <v>64</v>
      </c>
      <c r="T23" t="s">
        <v>345</v>
      </c>
      <c r="U23">
        <v>404</v>
      </c>
      <c r="V23">
        <v>8.9108910891089105E-2</v>
      </c>
      <c r="W23">
        <v>0</v>
      </c>
    </row>
    <row r="24" spans="1:23" x14ac:dyDescent="0.3">
      <c r="A24" s="2" t="s">
        <v>346</v>
      </c>
      <c r="B24" s="2" t="s">
        <v>4</v>
      </c>
      <c r="C24">
        <v>48</v>
      </c>
      <c r="D24">
        <v>307</v>
      </c>
      <c r="E24">
        <v>32</v>
      </c>
      <c r="F24">
        <v>873</v>
      </c>
      <c r="G24">
        <v>12136</v>
      </c>
      <c r="H24">
        <v>61</v>
      </c>
      <c r="I24">
        <v>18</v>
      </c>
      <c r="J24">
        <v>228586</v>
      </c>
      <c r="K24">
        <v>76600</v>
      </c>
      <c r="L24">
        <v>307</v>
      </c>
      <c r="M24">
        <v>-13</v>
      </c>
      <c r="N24">
        <v>66</v>
      </c>
      <c r="O24">
        <v>17</v>
      </c>
      <c r="P24">
        <v>1134</v>
      </c>
      <c r="Q24">
        <v>80</v>
      </c>
      <c r="R24">
        <v>0.98510882016036661</v>
      </c>
      <c r="S24">
        <v>61</v>
      </c>
      <c r="T24" t="s">
        <v>346</v>
      </c>
      <c r="U24">
        <v>1214</v>
      </c>
      <c r="V24">
        <v>3.9538714991762799E-2</v>
      </c>
      <c r="W24">
        <v>0</v>
      </c>
    </row>
    <row r="25" spans="1:23" x14ac:dyDescent="0.3">
      <c r="A25" s="2" t="s">
        <v>347</v>
      </c>
      <c r="B25" s="2" t="s">
        <v>4</v>
      </c>
      <c r="C25">
        <v>54</v>
      </c>
      <c r="D25">
        <v>311</v>
      </c>
      <c r="E25">
        <v>50</v>
      </c>
      <c r="F25">
        <v>860</v>
      </c>
      <c r="G25">
        <v>12197</v>
      </c>
      <c r="H25">
        <v>66</v>
      </c>
      <c r="I25">
        <v>17</v>
      </c>
      <c r="J25">
        <v>229720</v>
      </c>
      <c r="K25">
        <v>76680</v>
      </c>
      <c r="L25">
        <v>307</v>
      </c>
      <c r="M25">
        <v>24</v>
      </c>
      <c r="N25">
        <v>71</v>
      </c>
      <c r="O25">
        <v>18</v>
      </c>
      <c r="P25">
        <v>657</v>
      </c>
      <c r="Q25">
        <v>170</v>
      </c>
      <c r="R25">
        <v>1.027906976744186</v>
      </c>
      <c r="S25">
        <v>26</v>
      </c>
      <c r="T25" t="s">
        <v>347</v>
      </c>
      <c r="U25">
        <v>827</v>
      </c>
      <c r="V25">
        <v>6.5296251511487297E-2</v>
      </c>
      <c r="W25">
        <v>4</v>
      </c>
    </row>
    <row r="26" spans="1:23" x14ac:dyDescent="0.3">
      <c r="A26" s="2" t="s">
        <v>348</v>
      </c>
      <c r="B26" s="2" t="s">
        <v>4</v>
      </c>
      <c r="C26">
        <v>121</v>
      </c>
      <c r="D26">
        <v>311</v>
      </c>
      <c r="E26">
        <v>42</v>
      </c>
      <c r="F26">
        <v>884</v>
      </c>
      <c r="G26">
        <v>12223</v>
      </c>
      <c r="H26">
        <v>71</v>
      </c>
      <c r="I26">
        <v>18</v>
      </c>
      <c r="J26">
        <v>230377</v>
      </c>
      <c r="K26">
        <v>76850</v>
      </c>
      <c r="L26">
        <v>311</v>
      </c>
      <c r="M26">
        <v>72</v>
      </c>
      <c r="N26">
        <v>71</v>
      </c>
      <c r="O26">
        <v>18</v>
      </c>
      <c r="P26">
        <v>1256</v>
      </c>
      <c r="Q26">
        <v>189</v>
      </c>
      <c r="R26">
        <v>1.0814479638009049</v>
      </c>
      <c r="S26">
        <v>49</v>
      </c>
      <c r="T26" t="s">
        <v>348</v>
      </c>
      <c r="U26">
        <v>1445</v>
      </c>
      <c r="V26">
        <v>8.3737024221453293E-2</v>
      </c>
      <c r="W26">
        <v>0</v>
      </c>
    </row>
    <row r="27" spans="1:23" x14ac:dyDescent="0.3">
      <c r="A27" s="2" t="s">
        <v>349</v>
      </c>
      <c r="B27" s="2" t="s">
        <v>4</v>
      </c>
      <c r="C27">
        <v>134</v>
      </c>
      <c r="D27">
        <v>311</v>
      </c>
      <c r="E27">
        <v>118</v>
      </c>
      <c r="F27">
        <v>956</v>
      </c>
      <c r="G27">
        <v>12272</v>
      </c>
      <c r="H27">
        <v>71</v>
      </c>
      <c r="I27">
        <v>18</v>
      </c>
      <c r="J27">
        <v>231633</v>
      </c>
      <c r="K27">
        <v>77039</v>
      </c>
      <c r="L27">
        <v>311</v>
      </c>
      <c r="M27">
        <v>73</v>
      </c>
      <c r="N27">
        <v>70</v>
      </c>
      <c r="O27">
        <v>19</v>
      </c>
      <c r="P27">
        <v>1425</v>
      </c>
      <c r="Q27">
        <v>189</v>
      </c>
      <c r="R27">
        <v>1.0763598326359833</v>
      </c>
      <c r="S27">
        <v>61</v>
      </c>
      <c r="T27" t="s">
        <v>349</v>
      </c>
      <c r="U27">
        <v>1614</v>
      </c>
      <c r="V27">
        <v>8.3023543990086698E-2</v>
      </c>
      <c r="W27">
        <v>0</v>
      </c>
    </row>
    <row r="28" spans="1:23" x14ac:dyDescent="0.3">
      <c r="A28" s="2" t="s">
        <v>350</v>
      </c>
      <c r="B28" s="2" t="s">
        <v>4</v>
      </c>
      <c r="C28">
        <v>107</v>
      </c>
      <c r="D28">
        <v>312</v>
      </c>
      <c r="E28">
        <v>115</v>
      </c>
      <c r="F28">
        <v>1029</v>
      </c>
      <c r="G28">
        <v>12333</v>
      </c>
      <c r="H28">
        <v>70</v>
      </c>
      <c r="I28">
        <v>19</v>
      </c>
      <c r="J28">
        <v>233058</v>
      </c>
      <c r="K28">
        <v>77228</v>
      </c>
      <c r="L28">
        <v>311</v>
      </c>
      <c r="M28">
        <v>62</v>
      </c>
      <c r="N28">
        <v>67</v>
      </c>
      <c r="O28">
        <v>20</v>
      </c>
      <c r="P28">
        <v>1250</v>
      </c>
      <c r="Q28">
        <v>205</v>
      </c>
      <c r="R28">
        <v>1.0602526724975705</v>
      </c>
      <c r="S28">
        <v>44</v>
      </c>
      <c r="T28" t="s">
        <v>350</v>
      </c>
      <c r="U28">
        <v>1455</v>
      </c>
      <c r="V28">
        <v>7.3539518900343603E-2</v>
      </c>
      <c r="W28">
        <v>1</v>
      </c>
    </row>
    <row r="29" spans="1:23" x14ac:dyDescent="0.3">
      <c r="A29" s="2" t="s">
        <v>351</v>
      </c>
      <c r="B29" s="2" t="s">
        <v>4</v>
      </c>
      <c r="C29">
        <v>118</v>
      </c>
      <c r="D29">
        <v>314</v>
      </c>
      <c r="E29">
        <v>97</v>
      </c>
      <c r="F29">
        <v>1091</v>
      </c>
      <c r="G29">
        <v>12377</v>
      </c>
      <c r="H29">
        <v>67</v>
      </c>
      <c r="I29">
        <v>20</v>
      </c>
      <c r="J29">
        <v>234308</v>
      </c>
      <c r="K29">
        <v>77433</v>
      </c>
      <c r="L29">
        <v>312</v>
      </c>
      <c r="M29">
        <v>59</v>
      </c>
      <c r="N29">
        <v>72</v>
      </c>
      <c r="O29">
        <v>20</v>
      </c>
      <c r="P29">
        <v>1110</v>
      </c>
      <c r="Q29">
        <v>95</v>
      </c>
      <c r="R29">
        <v>1.0540788267644363</v>
      </c>
      <c r="S29">
        <v>57</v>
      </c>
      <c r="T29" t="s">
        <v>351</v>
      </c>
      <c r="U29">
        <v>1205</v>
      </c>
      <c r="V29">
        <v>9.7925311203319501E-2</v>
      </c>
      <c r="W29">
        <v>2</v>
      </c>
    </row>
    <row r="30" spans="1:23" x14ac:dyDescent="0.3">
      <c r="A30" s="2" t="s">
        <v>352</v>
      </c>
      <c r="B30" s="2" t="s">
        <v>4</v>
      </c>
      <c r="C30">
        <v>46</v>
      </c>
      <c r="D30">
        <v>314</v>
      </c>
      <c r="E30">
        <v>116</v>
      </c>
      <c r="F30">
        <v>1150</v>
      </c>
      <c r="G30">
        <v>12434</v>
      </c>
      <c r="H30">
        <v>72</v>
      </c>
      <c r="I30">
        <v>20</v>
      </c>
      <c r="J30">
        <v>235418</v>
      </c>
      <c r="K30">
        <v>77528</v>
      </c>
      <c r="L30">
        <v>314</v>
      </c>
      <c r="M30">
        <v>-16</v>
      </c>
      <c r="N30">
        <v>77</v>
      </c>
      <c r="O30">
        <v>18</v>
      </c>
      <c r="P30">
        <v>588</v>
      </c>
      <c r="Q30">
        <v>123</v>
      </c>
      <c r="R30">
        <v>0.98608695652173917</v>
      </c>
      <c r="S30">
        <v>62</v>
      </c>
      <c r="T30" t="s">
        <v>352</v>
      </c>
      <c r="U30">
        <v>711</v>
      </c>
      <c r="V30">
        <v>6.4697609001406503E-2</v>
      </c>
      <c r="W30">
        <v>0</v>
      </c>
    </row>
    <row r="31" spans="1:23" x14ac:dyDescent="0.3">
      <c r="A31" s="2" t="s">
        <v>353</v>
      </c>
      <c r="B31" s="2" t="s">
        <v>4</v>
      </c>
      <c r="C31">
        <v>118</v>
      </c>
      <c r="D31">
        <v>315</v>
      </c>
      <c r="E31">
        <v>43</v>
      </c>
      <c r="F31">
        <v>1134</v>
      </c>
      <c r="G31">
        <v>12496</v>
      </c>
      <c r="H31">
        <v>77</v>
      </c>
      <c r="I31">
        <v>18</v>
      </c>
      <c r="J31">
        <v>236006</v>
      </c>
      <c r="K31">
        <v>77651</v>
      </c>
      <c r="L31">
        <v>314</v>
      </c>
      <c r="M31">
        <v>59</v>
      </c>
      <c r="N31">
        <v>83</v>
      </c>
      <c r="O31">
        <v>19</v>
      </c>
      <c r="P31">
        <v>826</v>
      </c>
      <c r="Q31">
        <v>119</v>
      </c>
      <c r="R31">
        <v>1.0520282186948853</v>
      </c>
      <c r="S31">
        <v>58</v>
      </c>
      <c r="T31" t="s">
        <v>353</v>
      </c>
      <c r="U31">
        <v>945</v>
      </c>
      <c r="V31">
        <v>0.124867724867725</v>
      </c>
      <c r="W31">
        <v>1</v>
      </c>
    </row>
    <row r="32" spans="1:23" x14ac:dyDescent="0.3">
      <c r="A32" s="2" t="s">
        <v>354</v>
      </c>
      <c r="B32" s="2" t="s">
        <v>4</v>
      </c>
      <c r="C32">
        <v>86</v>
      </c>
      <c r="D32">
        <v>321</v>
      </c>
      <c r="E32">
        <v>103</v>
      </c>
      <c r="F32">
        <v>1193</v>
      </c>
      <c r="G32">
        <v>12554</v>
      </c>
      <c r="H32">
        <v>83</v>
      </c>
      <c r="I32">
        <v>19</v>
      </c>
      <c r="J32">
        <v>236832</v>
      </c>
      <c r="K32">
        <v>77770</v>
      </c>
      <c r="L32">
        <v>315</v>
      </c>
      <c r="M32">
        <v>31</v>
      </c>
      <c r="N32">
        <v>81</v>
      </c>
      <c r="O32">
        <v>17</v>
      </c>
      <c r="P32">
        <v>484</v>
      </c>
      <c r="Q32">
        <v>149</v>
      </c>
      <c r="R32">
        <v>1.0259849119865885</v>
      </c>
      <c r="S32">
        <v>50</v>
      </c>
      <c r="T32" t="s">
        <v>354</v>
      </c>
      <c r="U32">
        <v>633</v>
      </c>
      <c r="V32">
        <v>0.13586097946287501</v>
      </c>
      <c r="W32">
        <v>6</v>
      </c>
    </row>
    <row r="33" spans="1:23" x14ac:dyDescent="0.3">
      <c r="A33" s="2" t="s">
        <v>355</v>
      </c>
      <c r="B33" s="2" t="s">
        <v>4</v>
      </c>
      <c r="C33">
        <v>187</v>
      </c>
      <c r="D33">
        <v>322</v>
      </c>
      <c r="E33">
        <v>71</v>
      </c>
      <c r="F33">
        <v>1224</v>
      </c>
      <c r="G33">
        <v>12604</v>
      </c>
      <c r="H33">
        <v>81</v>
      </c>
      <c r="I33">
        <v>17</v>
      </c>
      <c r="J33">
        <v>237316</v>
      </c>
      <c r="K33">
        <v>77919</v>
      </c>
      <c r="L33">
        <v>321</v>
      </c>
      <c r="M33">
        <v>153</v>
      </c>
      <c r="N33">
        <v>79</v>
      </c>
      <c r="O33">
        <v>18</v>
      </c>
      <c r="P33">
        <v>1264</v>
      </c>
      <c r="Q33">
        <v>241</v>
      </c>
      <c r="R33">
        <v>1.125</v>
      </c>
      <c r="S33">
        <v>33</v>
      </c>
      <c r="T33" t="s">
        <v>355</v>
      </c>
      <c r="U33">
        <v>1505</v>
      </c>
      <c r="V33">
        <v>0.124252491694352</v>
      </c>
      <c r="W33">
        <v>1</v>
      </c>
    </row>
    <row r="34" spans="1:23" x14ac:dyDescent="0.3">
      <c r="A34" s="2" t="s">
        <v>356</v>
      </c>
      <c r="B34" s="2" t="s">
        <v>4</v>
      </c>
      <c r="C34">
        <v>158</v>
      </c>
      <c r="D34">
        <v>324</v>
      </c>
      <c r="E34">
        <v>166</v>
      </c>
      <c r="F34">
        <v>1377</v>
      </c>
      <c r="G34">
        <v>12637</v>
      </c>
      <c r="H34">
        <v>79</v>
      </c>
      <c r="I34">
        <v>18</v>
      </c>
      <c r="J34">
        <v>238580</v>
      </c>
      <c r="K34">
        <v>78160</v>
      </c>
      <c r="L34">
        <v>322</v>
      </c>
      <c r="M34">
        <v>93</v>
      </c>
      <c r="N34">
        <v>85</v>
      </c>
      <c r="O34">
        <v>19</v>
      </c>
      <c r="P34">
        <v>1138</v>
      </c>
      <c r="Q34">
        <v>89</v>
      </c>
      <c r="R34">
        <v>1.0675381263616557</v>
      </c>
      <c r="S34">
        <v>63</v>
      </c>
      <c r="T34" t="s">
        <v>356</v>
      </c>
      <c r="U34">
        <v>1227</v>
      </c>
      <c r="V34">
        <v>0.12876935615321899</v>
      </c>
      <c r="W34">
        <v>2</v>
      </c>
    </row>
    <row r="35" spans="1:23" x14ac:dyDescent="0.3">
      <c r="A35" s="2" t="s">
        <v>387</v>
      </c>
      <c r="B35" s="2" t="s">
        <v>4</v>
      </c>
      <c r="C35">
        <v>151</v>
      </c>
      <c r="D35">
        <v>324</v>
      </c>
      <c r="E35">
        <v>157</v>
      </c>
      <c r="F35">
        <v>1470</v>
      </c>
      <c r="G35">
        <v>12700</v>
      </c>
      <c r="H35">
        <v>85</v>
      </c>
      <c r="I35">
        <v>19</v>
      </c>
      <c r="J35">
        <v>239718</v>
      </c>
      <c r="K35">
        <v>78249</v>
      </c>
      <c r="L35">
        <v>324</v>
      </c>
      <c r="M35">
        <v>87</v>
      </c>
      <c r="N35">
        <v>88</v>
      </c>
      <c r="O35">
        <v>21</v>
      </c>
      <c r="P35">
        <v>856</v>
      </c>
      <c r="Q35">
        <v>201</v>
      </c>
      <c r="R35">
        <v>1.0591836734693878</v>
      </c>
      <c r="S35">
        <v>64</v>
      </c>
      <c r="T35" t="s">
        <v>387</v>
      </c>
      <c r="U35">
        <v>1057</v>
      </c>
      <c r="V35">
        <v>0.14285714285714299</v>
      </c>
      <c r="W35">
        <v>0</v>
      </c>
    </row>
    <row r="36" spans="1:23" x14ac:dyDescent="0.3">
      <c r="A36" s="2" t="s">
        <v>398</v>
      </c>
      <c r="B36" s="2" t="s">
        <v>4</v>
      </c>
      <c r="C36">
        <v>199</v>
      </c>
      <c r="D36">
        <v>326</v>
      </c>
      <c r="E36">
        <v>124</v>
      </c>
      <c r="F36">
        <v>1557</v>
      </c>
      <c r="G36">
        <v>12764</v>
      </c>
      <c r="H36">
        <v>88</v>
      </c>
      <c r="I36">
        <v>21</v>
      </c>
      <c r="J36">
        <v>240574</v>
      </c>
      <c r="K36">
        <v>78450</v>
      </c>
      <c r="L36">
        <v>324</v>
      </c>
      <c r="M36">
        <v>139</v>
      </c>
      <c r="N36">
        <v>84</v>
      </c>
      <c r="O36">
        <v>18</v>
      </c>
      <c r="P36">
        <v>1494</v>
      </c>
      <c r="Q36">
        <v>268</v>
      </c>
      <c r="R36">
        <v>1.0892742453436095</v>
      </c>
      <c r="S36">
        <v>58</v>
      </c>
      <c r="T36" t="s">
        <v>398</v>
      </c>
      <c r="U36">
        <v>1762</v>
      </c>
      <c r="V36">
        <v>0.11293984108967101</v>
      </c>
      <c r="W36">
        <v>2</v>
      </c>
    </row>
    <row r="37" spans="1:23" x14ac:dyDescent="0.3">
      <c r="A37" s="2" t="s">
        <v>399</v>
      </c>
      <c r="B37" s="2" t="s">
        <v>4</v>
      </c>
      <c r="C37">
        <v>184</v>
      </c>
      <c r="D37">
        <v>327</v>
      </c>
      <c r="E37">
        <v>171</v>
      </c>
      <c r="F37">
        <v>1696</v>
      </c>
      <c r="G37">
        <v>12822</v>
      </c>
      <c r="H37">
        <v>84</v>
      </c>
      <c r="I37">
        <v>18</v>
      </c>
      <c r="J37">
        <v>242068</v>
      </c>
      <c r="K37">
        <v>78718</v>
      </c>
      <c r="L37">
        <v>326</v>
      </c>
      <c r="M37">
        <v>135</v>
      </c>
      <c r="N37">
        <v>83</v>
      </c>
      <c r="O37">
        <v>18</v>
      </c>
      <c r="P37">
        <v>1395</v>
      </c>
      <c r="Q37">
        <v>94</v>
      </c>
      <c r="R37">
        <v>1.0795990566037736</v>
      </c>
      <c r="S37">
        <v>49</v>
      </c>
      <c r="T37" t="s">
        <v>399</v>
      </c>
      <c r="U37">
        <v>1489</v>
      </c>
      <c r="V37">
        <v>0.123572867696441</v>
      </c>
      <c r="W37">
        <v>1</v>
      </c>
    </row>
    <row r="38" spans="1:23" x14ac:dyDescent="0.3">
      <c r="A38" s="2" t="s">
        <v>400</v>
      </c>
      <c r="B38" s="2" t="s">
        <v>4</v>
      </c>
      <c r="C38">
        <v>158</v>
      </c>
      <c r="D38">
        <v>327</v>
      </c>
      <c r="E38">
        <v>177</v>
      </c>
      <c r="F38">
        <v>1831</v>
      </c>
      <c r="G38">
        <v>12871</v>
      </c>
      <c r="H38">
        <v>83</v>
      </c>
      <c r="I38">
        <v>18</v>
      </c>
      <c r="J38">
        <v>243463</v>
      </c>
      <c r="K38">
        <v>78812</v>
      </c>
      <c r="L38">
        <v>327</v>
      </c>
      <c r="M38">
        <v>113</v>
      </c>
      <c r="N38">
        <v>93</v>
      </c>
      <c r="O38">
        <v>21</v>
      </c>
      <c r="P38">
        <v>1104</v>
      </c>
      <c r="Q38">
        <v>151</v>
      </c>
      <c r="R38">
        <v>1.0617149098853085</v>
      </c>
      <c r="S38">
        <v>45</v>
      </c>
      <c r="T38" t="s">
        <v>400</v>
      </c>
      <c r="U38">
        <v>1255</v>
      </c>
      <c r="V38">
        <v>0.12589641434262999</v>
      </c>
      <c r="W38">
        <v>0</v>
      </c>
    </row>
    <row r="39" spans="1:23" x14ac:dyDescent="0.3">
      <c r="A39" s="2" t="s">
        <v>401</v>
      </c>
      <c r="B39" s="2" t="s">
        <v>4</v>
      </c>
      <c r="C39">
        <v>179</v>
      </c>
      <c r="D39">
        <v>329</v>
      </c>
      <c r="E39">
        <v>151</v>
      </c>
      <c r="F39">
        <v>1944</v>
      </c>
      <c r="G39">
        <v>12916</v>
      </c>
      <c r="H39">
        <v>93</v>
      </c>
      <c r="I39">
        <v>21</v>
      </c>
      <c r="J39">
        <v>244567</v>
      </c>
      <c r="K39">
        <v>78963</v>
      </c>
      <c r="L39">
        <v>327</v>
      </c>
      <c r="M39">
        <v>120</v>
      </c>
      <c r="N39">
        <v>95</v>
      </c>
      <c r="O39">
        <v>22</v>
      </c>
      <c r="P39">
        <v>823</v>
      </c>
      <c r="Q39">
        <v>450</v>
      </c>
      <c r="R39">
        <v>1.0617283950617284</v>
      </c>
      <c r="S39">
        <v>57</v>
      </c>
      <c r="T39" t="s">
        <v>401</v>
      </c>
      <c r="U39">
        <v>1273</v>
      </c>
      <c r="V39">
        <v>0.14061272584446199</v>
      </c>
      <c r="W39">
        <v>2</v>
      </c>
    </row>
    <row r="40" spans="1:23" x14ac:dyDescent="0.3">
      <c r="A40" s="2" t="s">
        <v>403</v>
      </c>
      <c r="B40" s="2" t="s">
        <v>4</v>
      </c>
      <c r="C40">
        <v>256</v>
      </c>
      <c r="D40">
        <v>331</v>
      </c>
      <c r="E40">
        <v>144</v>
      </c>
      <c r="F40">
        <v>2064</v>
      </c>
      <c r="G40">
        <v>12973</v>
      </c>
      <c r="H40">
        <v>95</v>
      </c>
      <c r="I40">
        <v>22</v>
      </c>
      <c r="J40">
        <v>245390</v>
      </c>
      <c r="K40">
        <v>79413</v>
      </c>
      <c r="L40">
        <v>329</v>
      </c>
      <c r="M40">
        <v>196</v>
      </c>
      <c r="N40">
        <v>108</v>
      </c>
      <c r="O40">
        <v>22</v>
      </c>
      <c r="P40">
        <v>1724</v>
      </c>
      <c r="Q40">
        <v>278</v>
      </c>
      <c r="R40">
        <v>1.0949612403100775</v>
      </c>
      <c r="S40">
        <v>58</v>
      </c>
      <c r="T40" t="s">
        <v>403</v>
      </c>
      <c r="U40">
        <v>2002</v>
      </c>
      <c r="V40">
        <v>0.12787212787212801</v>
      </c>
      <c r="W40">
        <v>2</v>
      </c>
    </row>
    <row r="41" spans="1:23" x14ac:dyDescent="0.3">
      <c r="A41" s="2" t="s">
        <v>404</v>
      </c>
      <c r="B41" s="2" t="s">
        <v>4</v>
      </c>
      <c r="C41">
        <v>298</v>
      </c>
      <c r="D41">
        <v>333</v>
      </c>
      <c r="E41">
        <v>229</v>
      </c>
      <c r="F41">
        <v>2260</v>
      </c>
      <c r="G41">
        <v>13031</v>
      </c>
      <c r="H41">
        <v>108</v>
      </c>
      <c r="I41">
        <v>22</v>
      </c>
      <c r="J41">
        <v>247114</v>
      </c>
      <c r="K41">
        <v>79691</v>
      </c>
      <c r="L41">
        <v>331</v>
      </c>
      <c r="M41">
        <v>209</v>
      </c>
      <c r="N41">
        <v>123</v>
      </c>
      <c r="O41">
        <v>27</v>
      </c>
      <c r="P41">
        <v>2254</v>
      </c>
      <c r="Q41">
        <v>408</v>
      </c>
      <c r="R41">
        <v>1.0924778761061946</v>
      </c>
      <c r="S41">
        <v>88</v>
      </c>
      <c r="T41" t="s">
        <v>404</v>
      </c>
      <c r="U41">
        <v>2662</v>
      </c>
      <c r="V41">
        <v>0.111945905334335</v>
      </c>
      <c r="W41">
        <v>2</v>
      </c>
    </row>
    <row r="42" spans="1:23" x14ac:dyDescent="0.3">
      <c r="A42" s="2" t="s">
        <v>405</v>
      </c>
      <c r="B42" s="2" t="s">
        <v>4</v>
      </c>
      <c r="C42">
        <v>295</v>
      </c>
      <c r="D42">
        <v>333</v>
      </c>
      <c r="E42">
        <v>256</v>
      </c>
      <c r="F42">
        <v>2469</v>
      </c>
      <c r="G42">
        <v>13119</v>
      </c>
      <c r="H42">
        <v>123</v>
      </c>
      <c r="I42">
        <v>27</v>
      </c>
      <c r="J42">
        <v>249368</v>
      </c>
      <c r="K42">
        <v>80099</v>
      </c>
      <c r="L42">
        <v>333</v>
      </c>
      <c r="M42">
        <v>166</v>
      </c>
      <c r="N42">
        <v>138</v>
      </c>
      <c r="O42">
        <v>26</v>
      </c>
      <c r="P42">
        <v>2360</v>
      </c>
      <c r="Q42">
        <v>416</v>
      </c>
      <c r="R42">
        <v>1.0672336978533818</v>
      </c>
      <c r="S42">
        <v>129</v>
      </c>
      <c r="T42" t="s">
        <v>405</v>
      </c>
      <c r="U42">
        <v>2776</v>
      </c>
      <c r="V42">
        <v>0.106268011527378</v>
      </c>
      <c r="W42">
        <v>0</v>
      </c>
    </row>
    <row r="43" spans="1:23" x14ac:dyDescent="0.3">
      <c r="A43" s="2" t="s">
        <v>406</v>
      </c>
      <c r="B43" s="2" t="s">
        <v>4</v>
      </c>
      <c r="C43">
        <v>330</v>
      </c>
      <c r="D43">
        <v>337</v>
      </c>
      <c r="E43">
        <v>251</v>
      </c>
      <c r="F43">
        <v>2635</v>
      </c>
      <c r="G43">
        <v>13248</v>
      </c>
      <c r="H43">
        <v>138</v>
      </c>
      <c r="I43">
        <v>26</v>
      </c>
      <c r="J43">
        <v>251728</v>
      </c>
      <c r="K43">
        <v>80515</v>
      </c>
      <c r="L43">
        <v>333</v>
      </c>
      <c r="M43">
        <v>208</v>
      </c>
      <c r="N43">
        <v>130</v>
      </c>
      <c r="O43">
        <v>26</v>
      </c>
      <c r="P43">
        <v>2145</v>
      </c>
      <c r="Q43">
        <v>352</v>
      </c>
      <c r="R43">
        <v>1.0789373814041745</v>
      </c>
      <c r="S43">
        <v>118</v>
      </c>
      <c r="T43" t="s">
        <v>406</v>
      </c>
      <c r="U43">
        <v>2497</v>
      </c>
      <c r="V43">
        <v>0.13215859030836999</v>
      </c>
      <c r="W43">
        <v>4</v>
      </c>
    </row>
    <row r="44" spans="1:23" x14ac:dyDescent="0.3">
      <c r="A44" s="2" t="s">
        <v>407</v>
      </c>
      <c r="B44" s="2" t="s">
        <v>4</v>
      </c>
      <c r="C44">
        <v>360</v>
      </c>
      <c r="D44">
        <v>337</v>
      </c>
      <c r="E44">
        <v>261</v>
      </c>
      <c r="F44">
        <v>2843</v>
      </c>
      <c r="G44">
        <v>13366</v>
      </c>
      <c r="H44">
        <v>130</v>
      </c>
      <c r="I44">
        <v>26</v>
      </c>
      <c r="J44">
        <v>253873</v>
      </c>
      <c r="K44">
        <v>80867</v>
      </c>
      <c r="L44">
        <v>337</v>
      </c>
      <c r="M44">
        <v>286</v>
      </c>
      <c r="N44">
        <v>145</v>
      </c>
      <c r="O44">
        <v>28</v>
      </c>
      <c r="P44">
        <v>2091</v>
      </c>
      <c r="Q44">
        <v>212</v>
      </c>
      <c r="R44">
        <v>1.1005979599015125</v>
      </c>
      <c r="S44">
        <v>74</v>
      </c>
      <c r="T44" t="s">
        <v>407</v>
      </c>
      <c r="U44">
        <v>2303</v>
      </c>
      <c r="V44">
        <v>0.15631784628745099</v>
      </c>
      <c r="W44">
        <v>0</v>
      </c>
    </row>
    <row r="45" spans="1:23" x14ac:dyDescent="0.3">
      <c r="A45" s="2" t="s">
        <v>408</v>
      </c>
      <c r="B45" s="2" t="s">
        <v>4</v>
      </c>
      <c r="C45">
        <v>282</v>
      </c>
      <c r="D45">
        <v>340</v>
      </c>
      <c r="E45">
        <v>337</v>
      </c>
      <c r="F45">
        <v>3129</v>
      </c>
      <c r="G45">
        <v>13440</v>
      </c>
      <c r="H45">
        <v>145</v>
      </c>
      <c r="I45">
        <v>28</v>
      </c>
      <c r="J45">
        <v>255964</v>
      </c>
      <c r="K45">
        <v>81079</v>
      </c>
      <c r="L45">
        <v>337</v>
      </c>
      <c r="M45">
        <v>217</v>
      </c>
      <c r="N45">
        <v>163</v>
      </c>
      <c r="O45">
        <v>31</v>
      </c>
      <c r="P45">
        <v>1627</v>
      </c>
      <c r="Q45">
        <v>161</v>
      </c>
      <c r="R45">
        <v>1.0693512304250559</v>
      </c>
      <c r="S45">
        <v>62</v>
      </c>
      <c r="T45" t="s">
        <v>408</v>
      </c>
      <c r="U45">
        <v>1788</v>
      </c>
      <c r="V45">
        <v>0.15771812080536901</v>
      </c>
      <c r="W45">
        <v>3</v>
      </c>
    </row>
    <row r="46" spans="1:23" x14ac:dyDescent="0.3">
      <c r="A46" s="2" t="s">
        <v>409</v>
      </c>
      <c r="B46" s="2" t="s">
        <v>4</v>
      </c>
      <c r="C46">
        <v>277</v>
      </c>
      <c r="D46">
        <v>347</v>
      </c>
      <c r="E46">
        <v>242</v>
      </c>
      <c r="F46">
        <v>3346</v>
      </c>
      <c r="G46">
        <v>13502</v>
      </c>
      <c r="H46">
        <v>163</v>
      </c>
      <c r="I46">
        <v>31</v>
      </c>
      <c r="J46">
        <v>257591</v>
      </c>
      <c r="K46">
        <v>81240</v>
      </c>
      <c r="L46">
        <v>340</v>
      </c>
      <c r="M46">
        <v>187</v>
      </c>
      <c r="N46">
        <v>167</v>
      </c>
      <c r="O46">
        <v>36</v>
      </c>
      <c r="P46">
        <v>1255</v>
      </c>
      <c r="Q46">
        <v>462</v>
      </c>
      <c r="R46">
        <v>1.0558876270173341</v>
      </c>
      <c r="S46">
        <v>82</v>
      </c>
      <c r="T46" t="s">
        <v>409</v>
      </c>
      <c r="U46">
        <v>1717</v>
      </c>
      <c r="V46">
        <v>0.16132789749563201</v>
      </c>
      <c r="W46">
        <v>7</v>
      </c>
    </row>
    <row r="47" spans="1:23" x14ac:dyDescent="0.3">
      <c r="A47" s="2" t="s">
        <v>410</v>
      </c>
      <c r="B47" s="2" t="s">
        <v>4</v>
      </c>
      <c r="C47">
        <v>435</v>
      </c>
      <c r="D47">
        <v>349</v>
      </c>
      <c r="E47">
        <v>205</v>
      </c>
      <c r="F47">
        <v>3533</v>
      </c>
      <c r="G47">
        <v>13584</v>
      </c>
      <c r="H47">
        <v>167</v>
      </c>
      <c r="I47">
        <v>36</v>
      </c>
      <c r="J47">
        <v>258846</v>
      </c>
      <c r="K47">
        <v>81702</v>
      </c>
      <c r="L47">
        <v>347</v>
      </c>
      <c r="M47">
        <v>306</v>
      </c>
      <c r="N47">
        <v>179</v>
      </c>
      <c r="O47">
        <v>39</v>
      </c>
      <c r="P47">
        <v>2362</v>
      </c>
      <c r="Q47">
        <v>654</v>
      </c>
      <c r="R47">
        <v>1.0866119445230682</v>
      </c>
      <c r="S47">
        <v>127</v>
      </c>
      <c r="T47" t="s">
        <v>410</v>
      </c>
      <c r="U47">
        <v>3016</v>
      </c>
      <c r="V47">
        <v>0.144230769230769</v>
      </c>
      <c r="W47">
        <v>2</v>
      </c>
    </row>
    <row r="48" spans="1:23" x14ac:dyDescent="0.3">
      <c r="A48" s="2" t="s">
        <v>411</v>
      </c>
      <c r="B48" s="2" t="s">
        <v>4</v>
      </c>
      <c r="C48">
        <v>442</v>
      </c>
      <c r="D48">
        <v>350</v>
      </c>
      <c r="E48">
        <v>348</v>
      </c>
      <c r="F48">
        <v>3839</v>
      </c>
      <c r="G48">
        <v>13711</v>
      </c>
      <c r="H48">
        <v>179</v>
      </c>
      <c r="I48">
        <v>39</v>
      </c>
      <c r="J48">
        <v>261208</v>
      </c>
      <c r="K48">
        <v>82356</v>
      </c>
      <c r="L48">
        <v>349</v>
      </c>
      <c r="M48">
        <v>285</v>
      </c>
      <c r="N48">
        <v>188</v>
      </c>
      <c r="O48">
        <v>38</v>
      </c>
      <c r="P48">
        <v>2407</v>
      </c>
      <c r="Q48">
        <v>1527</v>
      </c>
      <c r="R48">
        <v>1.0742380828340714</v>
      </c>
      <c r="S48">
        <v>156</v>
      </c>
      <c r="T48" t="s">
        <v>411</v>
      </c>
      <c r="U48">
        <v>3934</v>
      </c>
      <c r="V48">
        <v>0.11235383833248599</v>
      </c>
      <c r="W48">
        <v>1</v>
      </c>
    </row>
    <row r="49" spans="1:23" x14ac:dyDescent="0.3">
      <c r="A49" s="2" t="s">
        <v>422</v>
      </c>
      <c r="B49" s="2" t="s">
        <v>4</v>
      </c>
      <c r="C49">
        <v>446</v>
      </c>
      <c r="D49">
        <v>353</v>
      </c>
      <c r="E49">
        <v>281</v>
      </c>
      <c r="F49">
        <v>4124</v>
      </c>
      <c r="G49">
        <v>13867</v>
      </c>
      <c r="H49">
        <v>188</v>
      </c>
      <c r="I49">
        <v>38</v>
      </c>
      <c r="J49">
        <v>263615</v>
      </c>
      <c r="K49">
        <v>83883</v>
      </c>
      <c r="L49">
        <v>350</v>
      </c>
      <c r="M49">
        <v>290</v>
      </c>
      <c r="N49">
        <v>210</v>
      </c>
      <c r="O49">
        <v>38</v>
      </c>
      <c r="P49">
        <v>2654</v>
      </c>
      <c r="Q49">
        <v>649</v>
      </c>
      <c r="R49">
        <v>1.0703200775945685</v>
      </c>
      <c r="S49">
        <v>152</v>
      </c>
      <c r="T49" t="s">
        <v>422</v>
      </c>
      <c r="U49">
        <v>3303</v>
      </c>
      <c r="V49">
        <v>0.13502876173175901</v>
      </c>
      <c r="W49">
        <v>3</v>
      </c>
    </row>
    <row r="50" spans="1:23" x14ac:dyDescent="0.3">
      <c r="A50" s="2" t="s">
        <v>441</v>
      </c>
      <c r="B50" s="2" t="s">
        <v>4</v>
      </c>
      <c r="C50">
        <v>549</v>
      </c>
      <c r="D50">
        <v>358</v>
      </c>
      <c r="E50">
        <v>346</v>
      </c>
      <c r="F50">
        <v>4414</v>
      </c>
      <c r="G50">
        <v>14019</v>
      </c>
      <c r="H50">
        <v>210</v>
      </c>
      <c r="I50">
        <v>38</v>
      </c>
      <c r="J50">
        <v>266269</v>
      </c>
      <c r="K50">
        <v>84532</v>
      </c>
      <c r="L50">
        <v>353</v>
      </c>
      <c r="M50">
        <v>412</v>
      </c>
      <c r="N50">
        <v>226</v>
      </c>
      <c r="O50">
        <v>38</v>
      </c>
      <c r="P50">
        <v>3166</v>
      </c>
      <c r="Q50">
        <v>959</v>
      </c>
      <c r="R50">
        <v>1.0933393747168101</v>
      </c>
      <c r="S50">
        <v>132</v>
      </c>
      <c r="T50" t="s">
        <v>441</v>
      </c>
      <c r="U50">
        <v>4125</v>
      </c>
      <c r="V50">
        <v>0.13309090909090901</v>
      </c>
      <c r="W50">
        <v>5</v>
      </c>
    </row>
    <row r="51" spans="1:23" x14ac:dyDescent="0.3">
      <c r="A51" s="2" t="s">
        <v>442</v>
      </c>
      <c r="B51" s="2" t="s">
        <v>4</v>
      </c>
      <c r="C51">
        <v>449</v>
      </c>
      <c r="D51">
        <v>359</v>
      </c>
      <c r="E51">
        <v>433</v>
      </c>
      <c r="F51">
        <v>4826</v>
      </c>
      <c r="G51">
        <v>14151</v>
      </c>
      <c r="H51">
        <v>226</v>
      </c>
      <c r="I51">
        <v>38</v>
      </c>
      <c r="J51">
        <v>269435</v>
      </c>
      <c r="K51">
        <v>85491</v>
      </c>
      <c r="L51">
        <v>358</v>
      </c>
      <c r="M51">
        <v>231</v>
      </c>
      <c r="N51">
        <v>248</v>
      </c>
      <c r="O51">
        <v>39</v>
      </c>
      <c r="P51">
        <v>2748</v>
      </c>
      <c r="Q51">
        <v>949</v>
      </c>
      <c r="R51">
        <v>1.047865727310402</v>
      </c>
      <c r="S51">
        <v>217</v>
      </c>
      <c r="T51" t="s">
        <v>442</v>
      </c>
      <c r="U51">
        <v>3697</v>
      </c>
      <c r="V51">
        <v>0.121449824181769</v>
      </c>
      <c r="W51">
        <v>1</v>
      </c>
    </row>
    <row r="52" spans="1:23" x14ac:dyDescent="0.3">
      <c r="A52" s="2" t="s">
        <v>461</v>
      </c>
      <c r="B52" s="2" t="s">
        <v>4</v>
      </c>
      <c r="C52">
        <v>300</v>
      </c>
      <c r="D52">
        <v>367</v>
      </c>
      <c r="E52">
        <v>390</v>
      </c>
      <c r="F52">
        <v>5057</v>
      </c>
      <c r="G52">
        <v>14368</v>
      </c>
      <c r="H52">
        <v>248</v>
      </c>
      <c r="I52">
        <v>39</v>
      </c>
      <c r="J52">
        <v>272183</v>
      </c>
      <c r="K52">
        <v>86440</v>
      </c>
      <c r="L52">
        <v>359</v>
      </c>
      <c r="M52">
        <v>168</v>
      </c>
      <c r="N52">
        <v>272</v>
      </c>
      <c r="O52">
        <v>43</v>
      </c>
      <c r="P52">
        <v>2065</v>
      </c>
      <c r="Q52">
        <v>472</v>
      </c>
      <c r="R52">
        <v>1.0332212774372158</v>
      </c>
      <c r="S52">
        <v>124</v>
      </c>
      <c r="T52" t="s">
        <v>461</v>
      </c>
      <c r="U52">
        <v>2537</v>
      </c>
      <c r="V52">
        <v>0.118249901458415</v>
      </c>
      <c r="W52">
        <v>8</v>
      </c>
    </row>
    <row r="53" spans="1:23" x14ac:dyDescent="0.3">
      <c r="A53" s="2" t="s">
        <v>462</v>
      </c>
      <c r="B53" s="2" t="s">
        <v>4</v>
      </c>
      <c r="C53">
        <v>347</v>
      </c>
      <c r="D53">
        <v>376</v>
      </c>
      <c r="E53">
        <v>251</v>
      </c>
      <c r="F53">
        <v>5225</v>
      </c>
      <c r="G53">
        <v>14492</v>
      </c>
      <c r="H53">
        <v>272</v>
      </c>
      <c r="I53">
        <v>43</v>
      </c>
      <c r="J53">
        <v>274248</v>
      </c>
      <c r="K53">
        <v>86912</v>
      </c>
      <c r="L53">
        <v>367</v>
      </c>
      <c r="M53">
        <v>164</v>
      </c>
      <c r="N53">
        <v>282</v>
      </c>
      <c r="O53">
        <v>47</v>
      </c>
      <c r="P53">
        <v>1579</v>
      </c>
      <c r="Q53">
        <v>686</v>
      </c>
      <c r="R53">
        <v>1.0313875598086124</v>
      </c>
      <c r="S53">
        <v>176</v>
      </c>
      <c r="T53" t="s">
        <v>462</v>
      </c>
      <c r="U53">
        <v>2265</v>
      </c>
      <c r="V53">
        <v>0.15320088300220799</v>
      </c>
      <c r="W53">
        <v>9</v>
      </c>
    </row>
    <row r="54" spans="1:23" x14ac:dyDescent="0.3">
      <c r="A54" s="2" t="s">
        <v>463</v>
      </c>
      <c r="B54" s="2" t="s">
        <v>4</v>
      </c>
      <c r="C54">
        <v>446</v>
      </c>
      <c r="D54">
        <v>379</v>
      </c>
      <c r="E54">
        <v>252</v>
      </c>
      <c r="F54">
        <v>5389</v>
      </c>
      <c r="G54">
        <v>14668</v>
      </c>
      <c r="H54">
        <v>282</v>
      </c>
      <c r="I54">
        <v>47</v>
      </c>
      <c r="J54">
        <v>275827</v>
      </c>
      <c r="K54">
        <v>87598</v>
      </c>
      <c r="L54">
        <v>376</v>
      </c>
      <c r="M54">
        <v>290</v>
      </c>
      <c r="N54">
        <v>305</v>
      </c>
      <c r="O54">
        <v>48</v>
      </c>
      <c r="P54">
        <v>2659</v>
      </c>
      <c r="Q54">
        <v>841</v>
      </c>
      <c r="R54">
        <v>1.0538133234366303</v>
      </c>
      <c r="S54">
        <v>153</v>
      </c>
      <c r="T54" t="s">
        <v>463</v>
      </c>
      <c r="U54">
        <v>3500</v>
      </c>
      <c r="V54">
        <v>0.127428571428571</v>
      </c>
      <c r="W54">
        <v>3</v>
      </c>
    </row>
    <row r="55" spans="1:23" x14ac:dyDescent="0.3">
      <c r="A55" s="2" t="s">
        <v>470</v>
      </c>
      <c r="B55" s="2" t="s">
        <v>4</v>
      </c>
      <c r="C55">
        <v>409</v>
      </c>
      <c r="D55">
        <v>391</v>
      </c>
      <c r="E55">
        <v>366</v>
      </c>
      <c r="F55">
        <v>5679</v>
      </c>
      <c r="G55">
        <v>14821</v>
      </c>
      <c r="H55">
        <v>305</v>
      </c>
      <c r="I55">
        <v>48</v>
      </c>
      <c r="J55">
        <v>278486</v>
      </c>
      <c r="K55">
        <v>88439</v>
      </c>
      <c r="L55">
        <v>379</v>
      </c>
      <c r="M55">
        <v>176</v>
      </c>
      <c r="N55">
        <v>310</v>
      </c>
      <c r="O55">
        <v>59</v>
      </c>
      <c r="P55">
        <v>3282</v>
      </c>
      <c r="Q55">
        <v>1198</v>
      </c>
      <c r="R55">
        <v>1.0309913717203734</v>
      </c>
      <c r="S55">
        <v>222</v>
      </c>
      <c r="T55" t="s">
        <v>470</v>
      </c>
      <c r="U55">
        <v>4480</v>
      </c>
      <c r="V55">
        <v>9.1294642857142894E-2</v>
      </c>
      <c r="W55">
        <v>12</v>
      </c>
    </row>
    <row r="56" spans="1:23" x14ac:dyDescent="0.3">
      <c r="A56" s="2" t="s">
        <v>472</v>
      </c>
      <c r="B56" s="2" t="s">
        <v>4</v>
      </c>
      <c r="C56">
        <v>365</v>
      </c>
      <c r="D56">
        <v>400</v>
      </c>
      <c r="E56">
        <v>277</v>
      </c>
      <c r="F56">
        <v>5855</v>
      </c>
      <c r="G56">
        <v>15043</v>
      </c>
      <c r="H56">
        <v>310</v>
      </c>
      <c r="I56">
        <v>59</v>
      </c>
      <c r="J56">
        <v>281768</v>
      </c>
      <c r="K56">
        <v>89637</v>
      </c>
      <c r="L56">
        <v>391</v>
      </c>
      <c r="M56">
        <v>57</v>
      </c>
      <c r="N56">
        <v>321</v>
      </c>
      <c r="O56">
        <v>69</v>
      </c>
      <c r="P56">
        <v>3101</v>
      </c>
      <c r="Q56">
        <v>1864</v>
      </c>
      <c r="R56">
        <v>1.0097352690008539</v>
      </c>
      <c r="S56">
        <v>300</v>
      </c>
      <c r="T56" t="s">
        <v>472</v>
      </c>
      <c r="U56">
        <v>4965</v>
      </c>
      <c r="V56">
        <v>7.3514602215508595E-2</v>
      </c>
      <c r="W56">
        <v>9</v>
      </c>
    </row>
    <row r="57" spans="1:23" x14ac:dyDescent="0.3">
      <c r="A57" s="2" t="s">
        <v>473</v>
      </c>
      <c r="B57" s="2" t="s">
        <v>4</v>
      </c>
      <c r="C57">
        <v>320</v>
      </c>
      <c r="D57">
        <v>412</v>
      </c>
      <c r="E57">
        <v>250</v>
      </c>
      <c r="F57">
        <v>5912</v>
      </c>
      <c r="G57">
        <v>15343</v>
      </c>
      <c r="H57">
        <v>321</v>
      </c>
      <c r="I57">
        <v>69</v>
      </c>
      <c r="J57">
        <v>284869</v>
      </c>
      <c r="K57">
        <v>91501</v>
      </c>
      <c r="L57">
        <v>400</v>
      </c>
      <c r="M57">
        <v>72</v>
      </c>
      <c r="N57">
        <v>313</v>
      </c>
      <c r="O57">
        <v>79</v>
      </c>
      <c r="P57">
        <v>3180</v>
      </c>
      <c r="Q57">
        <v>1711</v>
      </c>
      <c r="R57">
        <v>1.0121786197564275</v>
      </c>
      <c r="S57">
        <v>237</v>
      </c>
      <c r="T57" t="s">
        <v>473</v>
      </c>
      <c r="U57">
        <v>4891</v>
      </c>
      <c r="V57">
        <v>6.5426293191576404E-2</v>
      </c>
      <c r="W57">
        <v>12</v>
      </c>
    </row>
    <row r="58" spans="1:23" x14ac:dyDescent="0.3">
      <c r="A58" s="2" t="s">
        <v>474</v>
      </c>
      <c r="B58" s="2" t="s">
        <v>4</v>
      </c>
      <c r="C58">
        <v>339</v>
      </c>
      <c r="D58">
        <v>419</v>
      </c>
      <c r="E58">
        <v>251</v>
      </c>
      <c r="F58">
        <v>5984</v>
      </c>
      <c r="G58">
        <v>15580</v>
      </c>
      <c r="H58">
        <v>313</v>
      </c>
      <c r="I58">
        <v>79</v>
      </c>
      <c r="J58">
        <v>288049</v>
      </c>
      <c r="K58">
        <v>93212</v>
      </c>
      <c r="L58">
        <v>412</v>
      </c>
      <c r="M58">
        <v>36</v>
      </c>
      <c r="N58">
        <v>326</v>
      </c>
      <c r="O58">
        <v>82</v>
      </c>
      <c r="P58">
        <v>2696</v>
      </c>
      <c r="Q58">
        <v>3750</v>
      </c>
      <c r="R58">
        <v>1.0060160427807487</v>
      </c>
      <c r="S58">
        <v>296</v>
      </c>
      <c r="T58" t="s">
        <v>474</v>
      </c>
      <c r="U58">
        <v>6446</v>
      </c>
      <c r="V58">
        <v>5.2590753955941698E-2</v>
      </c>
      <c r="W58">
        <v>7</v>
      </c>
    </row>
    <row r="59" spans="1:23" x14ac:dyDescent="0.3">
      <c r="A59" s="2" t="s">
        <v>475</v>
      </c>
      <c r="B59" s="2" t="s">
        <v>4</v>
      </c>
      <c r="C59">
        <v>214</v>
      </c>
      <c r="D59">
        <v>420</v>
      </c>
      <c r="E59">
        <v>293</v>
      </c>
      <c r="F59">
        <v>6020</v>
      </c>
      <c r="G59">
        <v>15876</v>
      </c>
      <c r="H59">
        <v>326</v>
      </c>
      <c r="I59">
        <v>82</v>
      </c>
      <c r="J59">
        <v>290745</v>
      </c>
      <c r="K59">
        <v>96962</v>
      </c>
      <c r="L59">
        <v>419</v>
      </c>
      <c r="M59">
        <v>-86</v>
      </c>
      <c r="N59">
        <v>341</v>
      </c>
      <c r="O59">
        <v>86</v>
      </c>
      <c r="P59">
        <v>2415</v>
      </c>
      <c r="Q59">
        <v>3514</v>
      </c>
      <c r="R59">
        <v>0.98571428571428577</v>
      </c>
      <c r="S59">
        <v>299</v>
      </c>
      <c r="T59" t="s">
        <v>475</v>
      </c>
      <c r="U59">
        <v>5929</v>
      </c>
      <c r="V59">
        <v>3.6093776353516599E-2</v>
      </c>
      <c r="W59">
        <v>1</v>
      </c>
    </row>
    <row r="60" spans="1:23" x14ac:dyDescent="0.3">
      <c r="A60" s="2" t="s">
        <v>479</v>
      </c>
      <c r="B60" s="2" t="s">
        <v>4</v>
      </c>
      <c r="C60">
        <v>232</v>
      </c>
      <c r="D60">
        <v>435</v>
      </c>
      <c r="E60">
        <v>182</v>
      </c>
      <c r="F60">
        <v>5934</v>
      </c>
      <c r="G60">
        <v>16175</v>
      </c>
      <c r="H60">
        <v>341</v>
      </c>
      <c r="I60">
        <v>86</v>
      </c>
      <c r="J60">
        <v>293160</v>
      </c>
      <c r="K60">
        <v>100476</v>
      </c>
      <c r="L60">
        <v>420</v>
      </c>
      <c r="M60">
        <v>-51</v>
      </c>
      <c r="N60">
        <v>323</v>
      </c>
      <c r="O60">
        <v>93</v>
      </c>
      <c r="P60">
        <v>1414</v>
      </c>
      <c r="Q60">
        <v>3456</v>
      </c>
      <c r="R60">
        <v>0.99140546006066732</v>
      </c>
      <c r="S60">
        <v>268</v>
      </c>
      <c r="T60" t="s">
        <v>479</v>
      </c>
      <c r="U60">
        <v>4870</v>
      </c>
      <c r="V60">
        <v>4.7638603696098597E-2</v>
      </c>
      <c r="W60">
        <v>15</v>
      </c>
    </row>
    <row r="61" spans="1:23" x14ac:dyDescent="0.3">
      <c r="A61" s="2" t="s">
        <v>480</v>
      </c>
      <c r="B61" s="2" t="s">
        <v>4</v>
      </c>
      <c r="C61">
        <v>293</v>
      </c>
      <c r="D61">
        <v>444</v>
      </c>
      <c r="E61">
        <v>172</v>
      </c>
      <c r="F61">
        <v>5883</v>
      </c>
      <c r="G61">
        <v>16443</v>
      </c>
      <c r="H61">
        <v>323</v>
      </c>
      <c r="I61">
        <v>93</v>
      </c>
      <c r="J61">
        <v>294574</v>
      </c>
      <c r="K61">
        <v>103932</v>
      </c>
      <c r="L61">
        <v>435</v>
      </c>
      <c r="M61">
        <v>6</v>
      </c>
      <c r="N61">
        <v>306</v>
      </c>
      <c r="O61">
        <v>85</v>
      </c>
      <c r="P61">
        <v>2122</v>
      </c>
      <c r="Q61">
        <v>4105</v>
      </c>
      <c r="R61">
        <v>1.0010198878123406</v>
      </c>
      <c r="S61">
        <v>278</v>
      </c>
      <c r="T61" t="s">
        <v>480</v>
      </c>
      <c r="U61">
        <v>6227</v>
      </c>
      <c r="V61">
        <v>4.70531556126546E-2</v>
      </c>
      <c r="W61">
        <v>9</v>
      </c>
    </row>
    <row r="62" spans="1:23" x14ac:dyDescent="0.3">
      <c r="A62" s="2" t="s">
        <v>481</v>
      </c>
      <c r="B62" s="2" t="s">
        <v>4</v>
      </c>
      <c r="C62">
        <v>297</v>
      </c>
      <c r="D62">
        <v>455</v>
      </c>
      <c r="E62">
        <v>203</v>
      </c>
      <c r="F62">
        <v>5889</v>
      </c>
      <c r="G62">
        <v>16721</v>
      </c>
      <c r="H62">
        <v>306</v>
      </c>
      <c r="I62">
        <v>85</v>
      </c>
      <c r="J62">
        <v>296696</v>
      </c>
      <c r="K62">
        <v>108037</v>
      </c>
      <c r="L62">
        <v>444</v>
      </c>
      <c r="M62">
        <v>-44</v>
      </c>
      <c r="N62">
        <v>282</v>
      </c>
      <c r="O62">
        <v>87</v>
      </c>
      <c r="P62">
        <v>2881</v>
      </c>
      <c r="Q62">
        <v>4252</v>
      </c>
      <c r="R62">
        <v>0.99252844285956865</v>
      </c>
      <c r="S62">
        <v>331</v>
      </c>
      <c r="T62" t="s">
        <v>481</v>
      </c>
      <c r="U62">
        <v>7133</v>
      </c>
      <c r="V62">
        <v>4.1637459694378202E-2</v>
      </c>
      <c r="W62">
        <v>11</v>
      </c>
    </row>
    <row r="63" spans="1:23" x14ac:dyDescent="0.3">
      <c r="A63" s="2" t="s">
        <v>482</v>
      </c>
      <c r="B63" s="2" t="s">
        <v>4</v>
      </c>
      <c r="C63">
        <v>259</v>
      </c>
      <c r="D63">
        <v>459</v>
      </c>
      <c r="E63">
        <v>278</v>
      </c>
      <c r="F63">
        <v>5845</v>
      </c>
      <c r="G63">
        <v>17052</v>
      </c>
      <c r="H63">
        <v>282</v>
      </c>
      <c r="I63">
        <v>87</v>
      </c>
      <c r="J63">
        <v>299577</v>
      </c>
      <c r="K63">
        <v>112289</v>
      </c>
      <c r="L63">
        <v>455</v>
      </c>
      <c r="M63">
        <v>-132</v>
      </c>
      <c r="N63">
        <v>276</v>
      </c>
      <c r="O63">
        <v>85</v>
      </c>
      <c r="P63">
        <v>2545</v>
      </c>
      <c r="Q63">
        <v>4207</v>
      </c>
      <c r="R63">
        <v>0.97741659538066727</v>
      </c>
      <c r="S63">
        <v>386</v>
      </c>
      <c r="T63" t="s">
        <v>482</v>
      </c>
      <c r="U63">
        <v>6752</v>
      </c>
      <c r="V63">
        <v>3.8359004739336497E-2</v>
      </c>
      <c r="W63">
        <v>4</v>
      </c>
    </row>
    <row r="64" spans="1:23" x14ac:dyDescent="0.3">
      <c r="A64" s="2" t="s">
        <v>483</v>
      </c>
      <c r="B64" s="2" t="s">
        <v>4</v>
      </c>
      <c r="C64">
        <v>261</v>
      </c>
      <c r="D64">
        <v>469</v>
      </c>
      <c r="E64">
        <v>207</v>
      </c>
      <c r="F64">
        <v>5713</v>
      </c>
      <c r="G64">
        <v>17438</v>
      </c>
      <c r="H64">
        <v>276</v>
      </c>
      <c r="I64">
        <v>85</v>
      </c>
      <c r="J64">
        <v>302122</v>
      </c>
      <c r="K64">
        <v>116496</v>
      </c>
      <c r="L64">
        <v>459</v>
      </c>
      <c r="M64">
        <v>-171</v>
      </c>
      <c r="N64">
        <v>287</v>
      </c>
      <c r="O64">
        <v>81</v>
      </c>
      <c r="P64">
        <v>3711</v>
      </c>
      <c r="Q64">
        <v>6224</v>
      </c>
      <c r="R64">
        <v>0.97006826535970592</v>
      </c>
      <c r="S64">
        <v>422</v>
      </c>
      <c r="T64" t="s">
        <v>483</v>
      </c>
      <c r="U64">
        <v>9935</v>
      </c>
      <c r="V64">
        <v>2.62707599396074E-2</v>
      </c>
      <c r="W64">
        <v>10</v>
      </c>
    </row>
    <row r="65" spans="1:23" x14ac:dyDescent="0.3">
      <c r="A65" s="2" t="s">
        <v>484</v>
      </c>
      <c r="B65" s="2" t="s">
        <v>4</v>
      </c>
      <c r="C65">
        <v>285</v>
      </c>
      <c r="D65">
        <v>477</v>
      </c>
      <c r="E65">
        <v>218</v>
      </c>
      <c r="F65">
        <v>5542</v>
      </c>
      <c r="G65">
        <v>17860</v>
      </c>
      <c r="H65">
        <v>287</v>
      </c>
      <c r="I65">
        <v>81</v>
      </c>
      <c r="J65">
        <v>305833</v>
      </c>
      <c r="K65">
        <v>122720</v>
      </c>
      <c r="L65">
        <v>469</v>
      </c>
      <c r="M65">
        <v>-223</v>
      </c>
      <c r="N65">
        <v>286</v>
      </c>
      <c r="O65">
        <v>81</v>
      </c>
      <c r="P65">
        <v>2353</v>
      </c>
      <c r="Q65">
        <v>5234</v>
      </c>
      <c r="R65">
        <v>0.95976181883796463</v>
      </c>
      <c r="S65">
        <v>500</v>
      </c>
      <c r="T65" t="s">
        <v>484</v>
      </c>
      <c r="U65">
        <v>7587</v>
      </c>
      <c r="V65">
        <v>3.7564254646105202E-2</v>
      </c>
      <c r="W65">
        <v>8</v>
      </c>
    </row>
    <row r="66" spans="1:23" x14ac:dyDescent="0.3">
      <c r="A66" s="2" t="s">
        <v>485</v>
      </c>
      <c r="B66" s="2" t="s">
        <v>4</v>
      </c>
      <c r="C66">
        <v>177</v>
      </c>
      <c r="D66">
        <v>482</v>
      </c>
      <c r="E66">
        <v>264</v>
      </c>
      <c r="F66">
        <v>5319</v>
      </c>
      <c r="G66">
        <v>18360</v>
      </c>
      <c r="H66">
        <v>286</v>
      </c>
      <c r="I66">
        <v>81</v>
      </c>
      <c r="J66">
        <v>308186</v>
      </c>
      <c r="K66">
        <v>127954</v>
      </c>
      <c r="L66">
        <v>477</v>
      </c>
      <c r="M66">
        <v>-158</v>
      </c>
      <c r="N66">
        <v>287</v>
      </c>
      <c r="O66">
        <v>85</v>
      </c>
      <c r="P66">
        <v>2960</v>
      </c>
      <c r="Q66">
        <v>5133</v>
      </c>
      <c r="R66">
        <v>0.97029516826471141</v>
      </c>
      <c r="S66">
        <v>331</v>
      </c>
      <c r="T66" t="s">
        <v>485</v>
      </c>
      <c r="U66">
        <v>8093</v>
      </c>
      <c r="V66">
        <v>2.1870752502162399E-2</v>
      </c>
      <c r="W66">
        <v>5</v>
      </c>
    </row>
  </sheetData>
  <phoneticPr fontId="3" type="noConversion"/>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8C0CD0-ADAD-4928-BBE7-8626E9C9E79B}">
  <sheetPr codeName="Sheet10"/>
  <dimension ref="A1:W66"/>
  <sheetViews>
    <sheetView topLeftCell="A2" workbookViewId="0">
      <selection sqref="A1:J90"/>
    </sheetView>
  </sheetViews>
  <sheetFormatPr defaultRowHeight="14.4" x14ac:dyDescent="0.3"/>
  <cols>
    <col min="1" max="1" width="10.5546875" bestFit="1" customWidth="1"/>
    <col min="2" max="2" width="15.7773437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388</v>
      </c>
      <c r="B1" t="s">
        <v>1</v>
      </c>
      <c r="C1" t="s">
        <v>389</v>
      </c>
      <c r="D1" t="s">
        <v>423</v>
      </c>
      <c r="E1" t="s">
        <v>413</v>
      </c>
      <c r="F1" t="s">
        <v>414</v>
      </c>
      <c r="G1" t="s">
        <v>415</v>
      </c>
      <c r="H1" t="s">
        <v>416</v>
      </c>
      <c r="I1" t="s">
        <v>417</v>
      </c>
      <c r="J1" t="s">
        <v>418</v>
      </c>
      <c r="K1" t="s">
        <v>419</v>
      </c>
      <c r="L1" t="s">
        <v>424</v>
      </c>
      <c r="M1" t="s">
        <v>390</v>
      </c>
      <c r="N1" t="s">
        <v>361</v>
      </c>
      <c r="O1" t="s">
        <v>362</v>
      </c>
      <c r="P1" t="s">
        <v>391</v>
      </c>
      <c r="Q1" t="s">
        <v>392</v>
      </c>
      <c r="R1" t="s">
        <v>420</v>
      </c>
      <c r="S1" t="s">
        <v>443</v>
      </c>
      <c r="T1" t="s">
        <v>421</v>
      </c>
      <c r="U1" t="s">
        <v>393</v>
      </c>
      <c r="V1" t="s">
        <v>394</v>
      </c>
      <c r="W1" t="s">
        <v>428</v>
      </c>
    </row>
    <row r="2" spans="1:23" x14ac:dyDescent="0.3">
      <c r="A2" s="1">
        <v>44170</v>
      </c>
      <c r="B2" s="2" t="s">
        <v>5</v>
      </c>
      <c r="C2">
        <v>23</v>
      </c>
      <c r="D2">
        <v>78</v>
      </c>
      <c r="E2">
        <v>33</v>
      </c>
      <c r="F2">
        <v>596</v>
      </c>
      <c r="G2">
        <v>2731</v>
      </c>
      <c r="H2">
        <v>29</v>
      </c>
      <c r="I2">
        <v>6</v>
      </c>
      <c r="J2">
        <v>64424</v>
      </c>
      <c r="K2">
        <v>29119</v>
      </c>
      <c r="L2">
        <v>78</v>
      </c>
      <c r="M2">
        <v>-10</v>
      </c>
      <c r="N2">
        <v>27</v>
      </c>
      <c r="O2">
        <v>8</v>
      </c>
      <c r="P2">
        <v>360</v>
      </c>
      <c r="Q2">
        <v>31</v>
      </c>
      <c r="R2">
        <v>0.98322147651006708</v>
      </c>
      <c r="S2">
        <v>33</v>
      </c>
      <c r="T2" t="s">
        <v>369</v>
      </c>
      <c r="U2">
        <v>391</v>
      </c>
      <c r="V2">
        <v>5.8823529411764698E-2</v>
      </c>
      <c r="W2">
        <v>0</v>
      </c>
    </row>
    <row r="3" spans="1:23" x14ac:dyDescent="0.3">
      <c r="A3" s="1">
        <v>44171</v>
      </c>
      <c r="B3" s="2" t="s">
        <v>5</v>
      </c>
      <c r="C3">
        <v>36</v>
      </c>
      <c r="D3">
        <v>78</v>
      </c>
      <c r="E3">
        <v>23</v>
      </c>
      <c r="F3">
        <v>586</v>
      </c>
      <c r="G3">
        <v>2764</v>
      </c>
      <c r="H3">
        <v>27</v>
      </c>
      <c r="I3">
        <v>8</v>
      </c>
      <c r="J3">
        <v>64784</v>
      </c>
      <c r="K3">
        <v>29150</v>
      </c>
      <c r="L3">
        <v>78</v>
      </c>
      <c r="M3">
        <v>-10</v>
      </c>
      <c r="N3">
        <v>30</v>
      </c>
      <c r="O3">
        <v>6</v>
      </c>
      <c r="P3">
        <v>225</v>
      </c>
      <c r="Q3">
        <v>90</v>
      </c>
      <c r="R3">
        <v>0.98293515358361772</v>
      </c>
      <c r="S3">
        <v>46</v>
      </c>
      <c r="T3" t="s">
        <v>370</v>
      </c>
      <c r="U3">
        <v>315</v>
      </c>
      <c r="V3">
        <v>0.114285714285714</v>
      </c>
      <c r="W3">
        <v>0</v>
      </c>
    </row>
    <row r="4" spans="1:23" x14ac:dyDescent="0.3">
      <c r="A4" s="1">
        <v>44172</v>
      </c>
      <c r="B4" s="2" t="s">
        <v>5</v>
      </c>
      <c r="C4">
        <v>16</v>
      </c>
      <c r="D4">
        <v>79</v>
      </c>
      <c r="E4">
        <v>36</v>
      </c>
      <c r="F4">
        <v>576</v>
      </c>
      <c r="G4">
        <v>2810</v>
      </c>
      <c r="H4">
        <v>30</v>
      </c>
      <c r="I4">
        <v>6</v>
      </c>
      <c r="J4">
        <v>65009</v>
      </c>
      <c r="K4">
        <v>29240</v>
      </c>
      <c r="L4">
        <v>78</v>
      </c>
      <c r="M4">
        <v>-24</v>
      </c>
      <c r="N4">
        <v>29</v>
      </c>
      <c r="O4">
        <v>4</v>
      </c>
      <c r="P4">
        <v>333</v>
      </c>
      <c r="Q4">
        <v>71</v>
      </c>
      <c r="R4">
        <v>0.95833333333333337</v>
      </c>
      <c r="S4">
        <v>39</v>
      </c>
      <c r="T4" t="s">
        <v>371</v>
      </c>
      <c r="U4">
        <v>404</v>
      </c>
      <c r="V4">
        <v>3.9603960396039598E-2</v>
      </c>
      <c r="W4">
        <v>1</v>
      </c>
    </row>
    <row r="5" spans="1:23" x14ac:dyDescent="0.3">
      <c r="A5" s="1">
        <v>44173</v>
      </c>
      <c r="B5" s="2" t="s">
        <v>5</v>
      </c>
      <c r="C5">
        <v>51</v>
      </c>
      <c r="D5">
        <v>80</v>
      </c>
      <c r="E5">
        <v>16</v>
      </c>
      <c r="F5">
        <v>552</v>
      </c>
      <c r="G5">
        <v>2849</v>
      </c>
      <c r="H5">
        <v>29</v>
      </c>
      <c r="I5">
        <v>4</v>
      </c>
      <c r="J5">
        <v>65342</v>
      </c>
      <c r="K5">
        <v>29311</v>
      </c>
      <c r="L5">
        <v>79</v>
      </c>
      <c r="M5">
        <v>44</v>
      </c>
      <c r="N5">
        <v>28</v>
      </c>
      <c r="O5">
        <v>4</v>
      </c>
      <c r="P5">
        <v>630</v>
      </c>
      <c r="Q5">
        <v>30</v>
      </c>
      <c r="R5">
        <v>1.0797101449275361</v>
      </c>
      <c r="S5">
        <v>6</v>
      </c>
      <c r="T5" t="s">
        <v>372</v>
      </c>
      <c r="U5">
        <v>660</v>
      </c>
      <c r="V5">
        <v>7.7272727272727298E-2</v>
      </c>
      <c r="W5">
        <v>1</v>
      </c>
    </row>
    <row r="6" spans="1:23" x14ac:dyDescent="0.3">
      <c r="A6" s="1">
        <v>44174</v>
      </c>
      <c r="B6" s="2" t="s">
        <v>5</v>
      </c>
      <c r="C6">
        <v>24</v>
      </c>
      <c r="D6">
        <v>81</v>
      </c>
      <c r="E6">
        <v>51</v>
      </c>
      <c r="F6">
        <v>596</v>
      </c>
      <c r="G6">
        <v>2855</v>
      </c>
      <c r="H6">
        <v>28</v>
      </c>
      <c r="I6">
        <v>4</v>
      </c>
      <c r="J6">
        <v>65972</v>
      </c>
      <c r="K6">
        <v>29341</v>
      </c>
      <c r="L6">
        <v>80</v>
      </c>
      <c r="M6">
        <v>0</v>
      </c>
      <c r="N6">
        <v>27</v>
      </c>
      <c r="O6">
        <v>3</v>
      </c>
      <c r="P6">
        <v>311</v>
      </c>
      <c r="Q6">
        <v>43</v>
      </c>
      <c r="R6">
        <v>1</v>
      </c>
      <c r="S6">
        <v>23</v>
      </c>
      <c r="T6" t="s">
        <v>373</v>
      </c>
      <c r="U6">
        <v>354</v>
      </c>
      <c r="V6">
        <v>6.7796610169491497E-2</v>
      </c>
      <c r="W6">
        <v>1</v>
      </c>
    </row>
    <row r="7" spans="1:23" x14ac:dyDescent="0.3">
      <c r="A7" s="1">
        <v>44175</v>
      </c>
      <c r="B7" s="2" t="s">
        <v>5</v>
      </c>
      <c r="C7">
        <v>23</v>
      </c>
      <c r="D7">
        <v>81</v>
      </c>
      <c r="E7">
        <v>25</v>
      </c>
      <c r="F7">
        <v>596</v>
      </c>
      <c r="G7">
        <v>2878</v>
      </c>
      <c r="H7">
        <v>27</v>
      </c>
      <c r="I7">
        <v>3</v>
      </c>
      <c r="J7">
        <v>66283</v>
      </c>
      <c r="K7">
        <v>29384</v>
      </c>
      <c r="L7">
        <v>81</v>
      </c>
      <c r="M7">
        <v>-23</v>
      </c>
      <c r="N7">
        <v>28</v>
      </c>
      <c r="O7">
        <v>3</v>
      </c>
      <c r="P7">
        <v>595</v>
      </c>
      <c r="Q7">
        <v>39</v>
      </c>
      <c r="R7">
        <v>0.96140939597315433</v>
      </c>
      <c r="S7">
        <v>46</v>
      </c>
      <c r="T7" t="s">
        <v>374</v>
      </c>
      <c r="U7">
        <v>634</v>
      </c>
      <c r="V7">
        <v>3.6277602523659302E-2</v>
      </c>
      <c r="W7">
        <v>0</v>
      </c>
    </row>
    <row r="8" spans="1:23" x14ac:dyDescent="0.3">
      <c r="A8" s="1">
        <v>44176</v>
      </c>
      <c r="B8" s="2" t="s">
        <v>5</v>
      </c>
      <c r="C8">
        <v>31</v>
      </c>
      <c r="D8">
        <v>81</v>
      </c>
      <c r="E8">
        <v>21</v>
      </c>
      <c r="F8">
        <v>573</v>
      </c>
      <c r="G8">
        <v>2924</v>
      </c>
      <c r="H8">
        <v>28</v>
      </c>
      <c r="I8">
        <v>3</v>
      </c>
      <c r="J8">
        <v>66878</v>
      </c>
      <c r="K8">
        <v>29423</v>
      </c>
      <c r="L8">
        <v>81</v>
      </c>
      <c r="M8">
        <v>-26</v>
      </c>
      <c r="N8">
        <v>29</v>
      </c>
      <c r="O8">
        <v>4</v>
      </c>
      <c r="P8">
        <v>607</v>
      </c>
      <c r="Q8">
        <v>46</v>
      </c>
      <c r="R8">
        <v>0.95462478184991273</v>
      </c>
      <c r="S8">
        <v>57</v>
      </c>
      <c r="T8" t="s">
        <v>375</v>
      </c>
      <c r="U8">
        <v>653</v>
      </c>
      <c r="V8">
        <v>4.7473200612557401E-2</v>
      </c>
      <c r="W8">
        <v>0</v>
      </c>
    </row>
    <row r="9" spans="1:23" x14ac:dyDescent="0.3">
      <c r="A9" s="1">
        <v>44177</v>
      </c>
      <c r="B9" s="2" t="s">
        <v>5</v>
      </c>
      <c r="C9">
        <v>26</v>
      </c>
      <c r="D9">
        <v>82</v>
      </c>
      <c r="E9">
        <v>28</v>
      </c>
      <c r="F9">
        <v>547</v>
      </c>
      <c r="G9">
        <v>2981</v>
      </c>
      <c r="H9">
        <v>29</v>
      </c>
      <c r="I9">
        <v>4</v>
      </c>
      <c r="J9">
        <v>67485</v>
      </c>
      <c r="K9">
        <v>29469</v>
      </c>
      <c r="L9">
        <v>81</v>
      </c>
      <c r="M9">
        <v>-14</v>
      </c>
      <c r="N9">
        <v>28</v>
      </c>
      <c r="O9">
        <v>4</v>
      </c>
      <c r="P9">
        <v>519</v>
      </c>
      <c r="Q9">
        <v>26</v>
      </c>
      <c r="R9">
        <v>0.97440585009140768</v>
      </c>
      <c r="S9">
        <v>39</v>
      </c>
      <c r="T9" t="s">
        <v>376</v>
      </c>
      <c r="U9">
        <v>545</v>
      </c>
      <c r="V9">
        <v>4.7706422018348599E-2</v>
      </c>
      <c r="W9">
        <v>1</v>
      </c>
    </row>
    <row r="10" spans="1:23" x14ac:dyDescent="0.3">
      <c r="A10" s="1">
        <v>44178</v>
      </c>
      <c r="B10" s="2" t="s">
        <v>5</v>
      </c>
      <c r="C10">
        <v>49</v>
      </c>
      <c r="D10">
        <v>84</v>
      </c>
      <c r="E10">
        <v>26</v>
      </c>
      <c r="F10">
        <v>533</v>
      </c>
      <c r="G10">
        <v>3020</v>
      </c>
      <c r="H10">
        <v>28</v>
      </c>
      <c r="I10">
        <v>4</v>
      </c>
      <c r="J10">
        <v>68004</v>
      </c>
      <c r="K10">
        <v>29495</v>
      </c>
      <c r="L10">
        <v>82</v>
      </c>
      <c r="M10">
        <v>30</v>
      </c>
      <c r="N10">
        <v>30</v>
      </c>
      <c r="O10">
        <v>4</v>
      </c>
      <c r="P10">
        <v>1006</v>
      </c>
      <c r="Q10">
        <v>18</v>
      </c>
      <c r="R10">
        <v>1.0562851782363978</v>
      </c>
      <c r="S10">
        <v>17</v>
      </c>
      <c r="T10" t="s">
        <v>377</v>
      </c>
      <c r="U10">
        <v>1024</v>
      </c>
      <c r="V10">
        <v>4.78515625E-2</v>
      </c>
      <c r="W10">
        <v>2</v>
      </c>
    </row>
    <row r="11" spans="1:23" x14ac:dyDescent="0.3">
      <c r="A11" s="1">
        <v>44179</v>
      </c>
      <c r="B11" s="2" t="s">
        <v>5</v>
      </c>
      <c r="C11">
        <v>18</v>
      </c>
      <c r="D11">
        <v>84</v>
      </c>
      <c r="E11">
        <v>48</v>
      </c>
      <c r="F11">
        <v>563</v>
      </c>
      <c r="G11">
        <v>3037</v>
      </c>
      <c r="H11">
        <v>30</v>
      </c>
      <c r="I11">
        <v>4</v>
      </c>
      <c r="J11">
        <v>69010</v>
      </c>
      <c r="K11">
        <v>29513</v>
      </c>
      <c r="L11">
        <v>84</v>
      </c>
      <c r="M11">
        <v>-1</v>
      </c>
      <c r="N11">
        <v>30</v>
      </c>
      <c r="O11">
        <v>5</v>
      </c>
      <c r="P11">
        <v>849</v>
      </c>
      <c r="Q11">
        <v>52</v>
      </c>
      <c r="R11">
        <v>0.9982238010657194</v>
      </c>
      <c r="S11">
        <v>19</v>
      </c>
      <c r="T11" t="s">
        <v>378</v>
      </c>
      <c r="U11">
        <v>901</v>
      </c>
      <c r="V11">
        <v>1.9977802441731401E-2</v>
      </c>
      <c r="W11">
        <v>0</v>
      </c>
    </row>
    <row r="12" spans="1:23" x14ac:dyDescent="0.3">
      <c r="A12" s="1">
        <v>44180</v>
      </c>
      <c r="B12" s="2" t="s">
        <v>5</v>
      </c>
      <c r="C12">
        <v>34</v>
      </c>
      <c r="D12">
        <v>84</v>
      </c>
      <c r="E12">
        <v>18</v>
      </c>
      <c r="F12">
        <v>562</v>
      </c>
      <c r="G12">
        <v>3056</v>
      </c>
      <c r="H12">
        <v>30</v>
      </c>
      <c r="I12">
        <v>5</v>
      </c>
      <c r="J12">
        <v>69859</v>
      </c>
      <c r="K12">
        <v>29565</v>
      </c>
      <c r="L12">
        <v>84</v>
      </c>
      <c r="M12">
        <v>8</v>
      </c>
      <c r="N12">
        <v>30</v>
      </c>
      <c r="O12">
        <v>4</v>
      </c>
      <c r="P12">
        <v>600</v>
      </c>
      <c r="Q12">
        <v>33</v>
      </c>
      <c r="R12">
        <v>1.0142348754448398</v>
      </c>
      <c r="S12">
        <v>26</v>
      </c>
      <c r="T12" t="s">
        <v>379</v>
      </c>
      <c r="U12">
        <v>633</v>
      </c>
      <c r="V12">
        <v>5.3712480252764601E-2</v>
      </c>
      <c r="W12">
        <v>0</v>
      </c>
    </row>
    <row r="13" spans="1:23" x14ac:dyDescent="0.3">
      <c r="A13" s="1">
        <v>44181</v>
      </c>
      <c r="B13" s="2" t="s">
        <v>5</v>
      </c>
      <c r="C13">
        <v>16</v>
      </c>
      <c r="D13">
        <v>84</v>
      </c>
      <c r="E13">
        <v>32</v>
      </c>
      <c r="F13">
        <v>570</v>
      </c>
      <c r="G13">
        <v>3082</v>
      </c>
      <c r="H13">
        <v>30</v>
      </c>
      <c r="I13">
        <v>4</v>
      </c>
      <c r="J13">
        <v>70459</v>
      </c>
      <c r="K13">
        <v>29598</v>
      </c>
      <c r="L13">
        <v>84</v>
      </c>
      <c r="M13">
        <v>-15</v>
      </c>
      <c r="N13">
        <v>28</v>
      </c>
      <c r="O13">
        <v>4</v>
      </c>
      <c r="P13">
        <v>491</v>
      </c>
      <c r="Q13">
        <v>34</v>
      </c>
      <c r="R13">
        <v>0.97368421052631582</v>
      </c>
      <c r="S13">
        <v>31</v>
      </c>
      <c r="T13" t="s">
        <v>380</v>
      </c>
      <c r="U13">
        <v>525</v>
      </c>
      <c r="V13">
        <v>3.04761904761905E-2</v>
      </c>
      <c r="W13">
        <v>0</v>
      </c>
    </row>
    <row r="14" spans="1:23" x14ac:dyDescent="0.3">
      <c r="A14" s="1">
        <v>44182</v>
      </c>
      <c r="B14" s="2" t="s">
        <v>5</v>
      </c>
      <c r="C14">
        <v>29</v>
      </c>
      <c r="D14">
        <v>84</v>
      </c>
      <c r="E14">
        <v>15</v>
      </c>
      <c r="F14">
        <v>555</v>
      </c>
      <c r="G14">
        <v>3113</v>
      </c>
      <c r="H14">
        <v>28</v>
      </c>
      <c r="I14">
        <v>4</v>
      </c>
      <c r="J14">
        <v>70950</v>
      </c>
      <c r="K14">
        <v>29632</v>
      </c>
      <c r="L14">
        <v>84</v>
      </c>
      <c r="M14">
        <v>1</v>
      </c>
      <c r="N14">
        <v>30</v>
      </c>
      <c r="O14">
        <v>5</v>
      </c>
      <c r="P14">
        <v>448</v>
      </c>
      <c r="Q14">
        <v>43</v>
      </c>
      <c r="R14">
        <v>1.0018018018018018</v>
      </c>
      <c r="S14">
        <v>28</v>
      </c>
      <c r="T14" t="s">
        <v>381</v>
      </c>
      <c r="U14">
        <v>491</v>
      </c>
      <c r="V14">
        <v>5.90631364562118E-2</v>
      </c>
      <c r="W14">
        <v>0</v>
      </c>
    </row>
    <row r="15" spans="1:23" x14ac:dyDescent="0.3">
      <c r="A15" s="1">
        <v>44183</v>
      </c>
      <c r="B15" s="2" t="s">
        <v>5</v>
      </c>
      <c r="C15">
        <v>10</v>
      </c>
      <c r="D15">
        <v>84</v>
      </c>
      <c r="E15">
        <v>29</v>
      </c>
      <c r="F15">
        <v>556</v>
      </c>
      <c r="G15">
        <v>3141</v>
      </c>
      <c r="H15">
        <v>30</v>
      </c>
      <c r="I15">
        <v>5</v>
      </c>
      <c r="J15">
        <v>71398</v>
      </c>
      <c r="K15">
        <v>29675</v>
      </c>
      <c r="L15">
        <v>84</v>
      </c>
      <c r="M15">
        <v>-22</v>
      </c>
      <c r="N15">
        <v>31</v>
      </c>
      <c r="O15">
        <v>6</v>
      </c>
      <c r="P15">
        <v>263</v>
      </c>
      <c r="Q15">
        <v>80</v>
      </c>
      <c r="R15">
        <v>0.96043165467625902</v>
      </c>
      <c r="S15">
        <v>32</v>
      </c>
      <c r="T15" t="s">
        <v>382</v>
      </c>
      <c r="U15">
        <v>343</v>
      </c>
      <c r="V15">
        <v>2.9154518950437299E-2</v>
      </c>
      <c r="W15">
        <v>0</v>
      </c>
    </row>
    <row r="16" spans="1:23" x14ac:dyDescent="0.3">
      <c r="A16" s="1">
        <v>44184</v>
      </c>
      <c r="B16" s="2" t="s">
        <v>5</v>
      </c>
      <c r="C16">
        <v>11</v>
      </c>
      <c r="D16">
        <v>84</v>
      </c>
      <c r="E16">
        <v>9</v>
      </c>
      <c r="F16">
        <v>534</v>
      </c>
      <c r="G16">
        <v>3173</v>
      </c>
      <c r="H16">
        <v>31</v>
      </c>
      <c r="I16">
        <v>6</v>
      </c>
      <c r="J16">
        <v>71661</v>
      </c>
      <c r="K16">
        <v>29755</v>
      </c>
      <c r="L16">
        <v>84</v>
      </c>
      <c r="M16">
        <v>-48</v>
      </c>
      <c r="N16">
        <v>29</v>
      </c>
      <c r="O16">
        <v>5</v>
      </c>
      <c r="P16">
        <v>347</v>
      </c>
      <c r="Q16">
        <v>22</v>
      </c>
      <c r="R16">
        <v>0.9101123595505618</v>
      </c>
      <c r="S16">
        <v>59</v>
      </c>
      <c r="T16" t="s">
        <v>383</v>
      </c>
      <c r="U16">
        <v>369</v>
      </c>
      <c r="V16">
        <v>2.9810298102981001E-2</v>
      </c>
      <c r="W16">
        <v>0</v>
      </c>
    </row>
    <row r="17" spans="1:23" x14ac:dyDescent="0.3">
      <c r="A17" s="1">
        <v>44185</v>
      </c>
      <c r="B17" s="2" t="s">
        <v>5</v>
      </c>
      <c r="C17">
        <v>13</v>
      </c>
      <c r="D17">
        <v>84</v>
      </c>
      <c r="E17">
        <v>12</v>
      </c>
      <c r="F17">
        <v>486</v>
      </c>
      <c r="G17">
        <v>3232</v>
      </c>
      <c r="H17">
        <v>29</v>
      </c>
      <c r="I17">
        <v>5</v>
      </c>
      <c r="J17">
        <v>72008</v>
      </c>
      <c r="K17">
        <v>29777</v>
      </c>
      <c r="L17">
        <v>84</v>
      </c>
      <c r="M17">
        <v>-28</v>
      </c>
      <c r="N17">
        <v>30</v>
      </c>
      <c r="O17">
        <v>4</v>
      </c>
      <c r="P17">
        <v>313</v>
      </c>
      <c r="Q17">
        <v>28</v>
      </c>
      <c r="R17">
        <v>0.9423868312757202</v>
      </c>
      <c r="S17">
        <v>41</v>
      </c>
      <c r="T17" t="s">
        <v>384</v>
      </c>
      <c r="U17">
        <v>341</v>
      </c>
      <c r="V17">
        <v>3.81231671554252E-2</v>
      </c>
      <c r="W17">
        <v>0</v>
      </c>
    </row>
    <row r="18" spans="1:23" x14ac:dyDescent="0.3">
      <c r="A18" s="1">
        <v>44186</v>
      </c>
      <c r="B18" s="2" t="s">
        <v>5</v>
      </c>
      <c r="C18">
        <v>12</v>
      </c>
      <c r="D18">
        <v>85</v>
      </c>
      <c r="E18">
        <v>13</v>
      </c>
      <c r="F18">
        <v>458</v>
      </c>
      <c r="G18">
        <v>3273</v>
      </c>
      <c r="H18">
        <v>30</v>
      </c>
      <c r="I18">
        <v>4</v>
      </c>
      <c r="J18">
        <v>72321</v>
      </c>
      <c r="K18">
        <v>29805</v>
      </c>
      <c r="L18">
        <v>84</v>
      </c>
      <c r="M18">
        <v>-12</v>
      </c>
      <c r="N18">
        <v>33</v>
      </c>
      <c r="O18">
        <v>4</v>
      </c>
      <c r="P18">
        <v>280</v>
      </c>
      <c r="Q18">
        <v>66</v>
      </c>
      <c r="R18">
        <v>0.97379912663755464</v>
      </c>
      <c r="S18">
        <v>23</v>
      </c>
      <c r="T18" t="s">
        <v>385</v>
      </c>
      <c r="U18">
        <v>346</v>
      </c>
      <c r="V18">
        <v>3.4682080924855502E-2</v>
      </c>
      <c r="W18">
        <v>1</v>
      </c>
    </row>
    <row r="19" spans="1:23" x14ac:dyDescent="0.3">
      <c r="A19" s="1">
        <v>44187</v>
      </c>
      <c r="B19" s="2" t="s">
        <v>5</v>
      </c>
      <c r="C19">
        <v>17</v>
      </c>
      <c r="D19">
        <v>85</v>
      </c>
      <c r="E19">
        <v>12</v>
      </c>
      <c r="F19">
        <v>446</v>
      </c>
      <c r="G19">
        <v>3296</v>
      </c>
      <c r="H19">
        <v>33</v>
      </c>
      <c r="I19">
        <v>4</v>
      </c>
      <c r="J19">
        <v>72601</v>
      </c>
      <c r="K19">
        <v>29871</v>
      </c>
      <c r="L19">
        <v>85</v>
      </c>
      <c r="M19">
        <v>-20</v>
      </c>
      <c r="N19">
        <v>30</v>
      </c>
      <c r="O19">
        <v>3</v>
      </c>
      <c r="P19">
        <v>841</v>
      </c>
      <c r="Q19">
        <v>57</v>
      </c>
      <c r="R19">
        <v>0.95515695067264572</v>
      </c>
      <c r="S19">
        <v>37</v>
      </c>
      <c r="T19" t="s">
        <v>386</v>
      </c>
      <c r="U19">
        <v>898</v>
      </c>
      <c r="V19">
        <v>1.89309576837416E-2</v>
      </c>
      <c r="W19">
        <v>0</v>
      </c>
    </row>
    <row r="20" spans="1:23" x14ac:dyDescent="0.3">
      <c r="A20" s="1">
        <v>44188</v>
      </c>
      <c r="B20" s="2" t="s">
        <v>5</v>
      </c>
      <c r="C20">
        <v>20</v>
      </c>
      <c r="D20">
        <v>85</v>
      </c>
      <c r="E20">
        <v>15</v>
      </c>
      <c r="F20">
        <v>426</v>
      </c>
      <c r="G20">
        <v>3333</v>
      </c>
      <c r="H20">
        <v>30</v>
      </c>
      <c r="I20">
        <v>3</v>
      </c>
      <c r="J20">
        <v>73442</v>
      </c>
      <c r="K20">
        <v>29928</v>
      </c>
      <c r="L20">
        <v>85</v>
      </c>
      <c r="M20">
        <v>-31</v>
      </c>
      <c r="N20">
        <v>30</v>
      </c>
      <c r="O20">
        <v>2</v>
      </c>
      <c r="P20">
        <v>711</v>
      </c>
      <c r="Q20">
        <v>38</v>
      </c>
      <c r="R20">
        <v>0.92723004694835676</v>
      </c>
      <c r="S20">
        <v>51</v>
      </c>
      <c r="T20" t="s">
        <v>367</v>
      </c>
      <c r="U20">
        <v>749</v>
      </c>
      <c r="V20">
        <v>2.67022696929239E-2</v>
      </c>
      <c r="W20">
        <v>0</v>
      </c>
    </row>
    <row r="21" spans="1:23" x14ac:dyDescent="0.3">
      <c r="A21" s="1">
        <v>44189</v>
      </c>
      <c r="B21" s="2" t="s">
        <v>5</v>
      </c>
      <c r="C21">
        <v>22</v>
      </c>
      <c r="D21">
        <v>85</v>
      </c>
      <c r="E21">
        <v>18</v>
      </c>
      <c r="F21">
        <v>395</v>
      </c>
      <c r="G21">
        <v>3384</v>
      </c>
      <c r="H21">
        <v>30</v>
      </c>
      <c r="I21">
        <v>2</v>
      </c>
      <c r="J21">
        <v>74153</v>
      </c>
      <c r="K21">
        <v>29966</v>
      </c>
      <c r="L21">
        <v>85</v>
      </c>
      <c r="M21">
        <v>3</v>
      </c>
      <c r="N21">
        <v>29</v>
      </c>
      <c r="O21">
        <v>1</v>
      </c>
      <c r="P21">
        <v>632</v>
      </c>
      <c r="Q21">
        <v>39</v>
      </c>
      <c r="R21">
        <v>1.0075949367088608</v>
      </c>
      <c r="S21">
        <v>19</v>
      </c>
      <c r="T21" t="s">
        <v>343</v>
      </c>
      <c r="U21">
        <v>671</v>
      </c>
      <c r="V21">
        <v>3.2786885245901599E-2</v>
      </c>
      <c r="W21">
        <v>0</v>
      </c>
    </row>
    <row r="22" spans="1:23" x14ac:dyDescent="0.3">
      <c r="A22" s="1">
        <v>44190</v>
      </c>
      <c r="B22" s="2" t="s">
        <v>5</v>
      </c>
      <c r="C22">
        <v>12</v>
      </c>
      <c r="D22">
        <v>87</v>
      </c>
      <c r="E22">
        <v>20</v>
      </c>
      <c r="F22">
        <v>398</v>
      </c>
      <c r="G22">
        <v>3403</v>
      </c>
      <c r="H22">
        <v>29</v>
      </c>
      <c r="I22">
        <v>1</v>
      </c>
      <c r="J22">
        <v>74785</v>
      </c>
      <c r="K22">
        <v>30005</v>
      </c>
      <c r="L22">
        <v>85</v>
      </c>
      <c r="M22">
        <v>-16</v>
      </c>
      <c r="N22">
        <v>26</v>
      </c>
      <c r="O22">
        <v>2</v>
      </c>
      <c r="P22">
        <v>487</v>
      </c>
      <c r="Q22">
        <v>21</v>
      </c>
      <c r="R22">
        <v>0.95979899497487442</v>
      </c>
      <c r="S22">
        <v>26</v>
      </c>
      <c r="T22" t="s">
        <v>344</v>
      </c>
      <c r="U22">
        <v>508</v>
      </c>
      <c r="V22">
        <v>2.3622047244094498E-2</v>
      </c>
      <c r="W22">
        <v>2</v>
      </c>
    </row>
    <row r="23" spans="1:23" x14ac:dyDescent="0.3">
      <c r="A23" s="1">
        <v>44191</v>
      </c>
      <c r="B23" s="2" t="s">
        <v>5</v>
      </c>
      <c r="C23">
        <v>9</v>
      </c>
      <c r="D23">
        <v>87</v>
      </c>
      <c r="E23">
        <v>12</v>
      </c>
      <c r="F23">
        <v>382</v>
      </c>
      <c r="G23">
        <v>3429</v>
      </c>
      <c r="H23">
        <v>26</v>
      </c>
      <c r="I23">
        <v>2</v>
      </c>
      <c r="J23">
        <v>75272</v>
      </c>
      <c r="K23">
        <v>30026</v>
      </c>
      <c r="L23">
        <v>87</v>
      </c>
      <c r="M23">
        <v>-34</v>
      </c>
      <c r="N23">
        <v>25</v>
      </c>
      <c r="O23">
        <v>3</v>
      </c>
      <c r="P23">
        <v>266</v>
      </c>
      <c r="Q23">
        <v>17</v>
      </c>
      <c r="R23">
        <v>0.91099476439790572</v>
      </c>
      <c r="S23">
        <v>43</v>
      </c>
      <c r="T23" t="s">
        <v>345</v>
      </c>
      <c r="U23">
        <v>283</v>
      </c>
      <c r="V23">
        <v>3.1802120141342802E-2</v>
      </c>
      <c r="W23">
        <v>0</v>
      </c>
    </row>
    <row r="24" spans="1:23" x14ac:dyDescent="0.3">
      <c r="A24" s="1">
        <v>44192</v>
      </c>
      <c r="B24" s="2" t="s">
        <v>5</v>
      </c>
      <c r="C24">
        <v>16</v>
      </c>
      <c r="D24">
        <v>87</v>
      </c>
      <c r="E24">
        <v>8</v>
      </c>
      <c r="F24">
        <v>348</v>
      </c>
      <c r="G24">
        <v>3472</v>
      </c>
      <c r="H24">
        <v>25</v>
      </c>
      <c r="I24">
        <v>3</v>
      </c>
      <c r="J24">
        <v>75538</v>
      </c>
      <c r="K24">
        <v>30043</v>
      </c>
      <c r="L24">
        <v>87</v>
      </c>
      <c r="M24">
        <v>-12</v>
      </c>
      <c r="N24">
        <v>24</v>
      </c>
      <c r="O24">
        <v>4</v>
      </c>
      <c r="P24">
        <v>381</v>
      </c>
      <c r="Q24">
        <v>39</v>
      </c>
      <c r="R24">
        <v>0.96551724137931039</v>
      </c>
      <c r="S24">
        <v>28</v>
      </c>
      <c r="T24" t="s">
        <v>346</v>
      </c>
      <c r="U24">
        <v>420</v>
      </c>
      <c r="V24">
        <v>3.8095238095238099E-2</v>
      </c>
      <c r="W24">
        <v>0</v>
      </c>
    </row>
    <row r="25" spans="1:23" x14ac:dyDescent="0.3">
      <c r="A25" s="1">
        <v>44193</v>
      </c>
      <c r="B25" s="2" t="s">
        <v>5</v>
      </c>
      <c r="C25">
        <v>29</v>
      </c>
      <c r="D25">
        <v>88</v>
      </c>
      <c r="E25">
        <v>14</v>
      </c>
      <c r="F25">
        <v>336</v>
      </c>
      <c r="G25">
        <v>3500</v>
      </c>
      <c r="H25">
        <v>24</v>
      </c>
      <c r="I25">
        <v>4</v>
      </c>
      <c r="J25">
        <v>75919</v>
      </c>
      <c r="K25">
        <v>30082</v>
      </c>
      <c r="L25">
        <v>87</v>
      </c>
      <c r="M25">
        <v>1</v>
      </c>
      <c r="N25">
        <v>27</v>
      </c>
      <c r="O25">
        <v>4</v>
      </c>
      <c r="P25">
        <v>237</v>
      </c>
      <c r="Q25">
        <v>52</v>
      </c>
      <c r="R25">
        <v>1.0029761904761905</v>
      </c>
      <c r="S25">
        <v>27</v>
      </c>
      <c r="T25" t="s">
        <v>347</v>
      </c>
      <c r="U25">
        <v>289</v>
      </c>
      <c r="V25">
        <v>0.100346020761246</v>
      </c>
      <c r="W25">
        <v>1</v>
      </c>
    </row>
    <row r="26" spans="1:23" x14ac:dyDescent="0.3">
      <c r="A26" s="1">
        <v>44194</v>
      </c>
      <c r="B26" s="2" t="s">
        <v>5</v>
      </c>
      <c r="C26">
        <v>15</v>
      </c>
      <c r="D26">
        <v>89</v>
      </c>
      <c r="E26">
        <v>30</v>
      </c>
      <c r="F26">
        <v>337</v>
      </c>
      <c r="G26">
        <v>3527</v>
      </c>
      <c r="H26">
        <v>27</v>
      </c>
      <c r="I26">
        <v>4</v>
      </c>
      <c r="J26">
        <v>76156</v>
      </c>
      <c r="K26">
        <v>30134</v>
      </c>
      <c r="L26">
        <v>88</v>
      </c>
      <c r="M26">
        <v>-10</v>
      </c>
      <c r="N26">
        <v>31</v>
      </c>
      <c r="O26">
        <v>3</v>
      </c>
      <c r="P26">
        <v>312</v>
      </c>
      <c r="Q26">
        <v>43</v>
      </c>
      <c r="R26">
        <v>0.97032640949554894</v>
      </c>
      <c r="S26">
        <v>24</v>
      </c>
      <c r="T26" t="s">
        <v>348</v>
      </c>
      <c r="U26">
        <v>355</v>
      </c>
      <c r="V26">
        <v>4.2253521126760597E-2</v>
      </c>
      <c r="W26">
        <v>1</v>
      </c>
    </row>
    <row r="27" spans="1:23" x14ac:dyDescent="0.3">
      <c r="A27" s="1">
        <v>44195</v>
      </c>
      <c r="B27" s="2" t="s">
        <v>5</v>
      </c>
      <c r="C27">
        <v>24</v>
      </c>
      <c r="D27">
        <v>90</v>
      </c>
      <c r="E27">
        <v>13</v>
      </c>
      <c r="F27">
        <v>327</v>
      </c>
      <c r="G27">
        <v>3551</v>
      </c>
      <c r="H27">
        <v>31</v>
      </c>
      <c r="I27">
        <v>3</v>
      </c>
      <c r="J27">
        <v>76468</v>
      </c>
      <c r="K27">
        <v>30177</v>
      </c>
      <c r="L27">
        <v>89</v>
      </c>
      <c r="M27">
        <v>-15</v>
      </c>
      <c r="N27">
        <v>33</v>
      </c>
      <c r="O27">
        <v>3</v>
      </c>
      <c r="P27">
        <v>372</v>
      </c>
      <c r="Q27">
        <v>31</v>
      </c>
      <c r="R27">
        <v>0.95412844036697253</v>
      </c>
      <c r="S27">
        <v>38</v>
      </c>
      <c r="T27" t="s">
        <v>349</v>
      </c>
      <c r="U27">
        <v>403</v>
      </c>
      <c r="V27">
        <v>5.95533498759305E-2</v>
      </c>
      <c r="W27">
        <v>1</v>
      </c>
    </row>
    <row r="28" spans="1:23" x14ac:dyDescent="0.3">
      <c r="A28" s="1">
        <v>44196</v>
      </c>
      <c r="B28" s="2" t="s">
        <v>5</v>
      </c>
      <c r="C28">
        <v>24</v>
      </c>
      <c r="D28">
        <v>90</v>
      </c>
      <c r="E28">
        <v>26</v>
      </c>
      <c r="F28">
        <v>312</v>
      </c>
      <c r="G28">
        <v>3589</v>
      </c>
      <c r="H28">
        <v>33</v>
      </c>
      <c r="I28">
        <v>3</v>
      </c>
      <c r="J28">
        <v>76840</v>
      </c>
      <c r="K28">
        <v>30208</v>
      </c>
      <c r="L28">
        <v>90</v>
      </c>
      <c r="M28">
        <v>-5</v>
      </c>
      <c r="N28">
        <v>35</v>
      </c>
      <c r="O28">
        <v>2</v>
      </c>
      <c r="P28">
        <v>284</v>
      </c>
      <c r="Q28">
        <v>48</v>
      </c>
      <c r="R28">
        <v>0.98397435897435892</v>
      </c>
      <c r="S28">
        <v>29</v>
      </c>
      <c r="T28" t="s">
        <v>350</v>
      </c>
      <c r="U28">
        <v>332</v>
      </c>
      <c r="V28">
        <v>7.2289156626505993E-2</v>
      </c>
      <c r="W28">
        <v>0</v>
      </c>
    </row>
    <row r="29" spans="1:23" x14ac:dyDescent="0.3">
      <c r="A29" s="1">
        <v>44197</v>
      </c>
      <c r="B29" s="2" t="s">
        <v>5</v>
      </c>
      <c r="C29">
        <v>21</v>
      </c>
      <c r="D29">
        <v>90</v>
      </c>
      <c r="E29">
        <v>19</v>
      </c>
      <c r="F29">
        <v>307</v>
      </c>
      <c r="G29">
        <v>3618</v>
      </c>
      <c r="H29">
        <v>35</v>
      </c>
      <c r="I29">
        <v>2</v>
      </c>
      <c r="J29">
        <v>77124</v>
      </c>
      <c r="K29">
        <v>30256</v>
      </c>
      <c r="L29">
        <v>90</v>
      </c>
      <c r="M29">
        <v>2</v>
      </c>
      <c r="N29">
        <v>37</v>
      </c>
      <c r="O29">
        <v>2</v>
      </c>
      <c r="P29">
        <v>262</v>
      </c>
      <c r="Q29">
        <v>15</v>
      </c>
      <c r="R29">
        <v>1.006514657980456</v>
      </c>
      <c r="S29">
        <v>19</v>
      </c>
      <c r="T29" t="s">
        <v>351</v>
      </c>
      <c r="U29">
        <v>277</v>
      </c>
      <c r="V29">
        <v>7.5812274368231E-2</v>
      </c>
      <c r="W29">
        <v>0</v>
      </c>
    </row>
    <row r="30" spans="1:23" x14ac:dyDescent="0.3">
      <c r="A30" s="1">
        <v>44198</v>
      </c>
      <c r="B30" s="2" t="s">
        <v>5</v>
      </c>
      <c r="C30">
        <v>11</v>
      </c>
      <c r="D30">
        <v>90</v>
      </c>
      <c r="E30">
        <v>21</v>
      </c>
      <c r="F30">
        <v>309</v>
      </c>
      <c r="G30">
        <v>3637</v>
      </c>
      <c r="H30">
        <v>37</v>
      </c>
      <c r="I30">
        <v>2</v>
      </c>
      <c r="J30">
        <v>77386</v>
      </c>
      <c r="K30">
        <v>30271</v>
      </c>
      <c r="L30">
        <v>90</v>
      </c>
      <c r="M30">
        <v>-14</v>
      </c>
      <c r="N30">
        <v>41</v>
      </c>
      <c r="O30">
        <v>2</v>
      </c>
      <c r="P30">
        <v>186</v>
      </c>
      <c r="Q30">
        <v>15</v>
      </c>
      <c r="R30">
        <v>0.95469255663430419</v>
      </c>
      <c r="S30">
        <v>25</v>
      </c>
      <c r="T30" t="s">
        <v>352</v>
      </c>
      <c r="U30">
        <v>201</v>
      </c>
      <c r="V30">
        <v>5.4726368159204002E-2</v>
      </c>
      <c r="W30">
        <v>0</v>
      </c>
    </row>
    <row r="31" spans="1:23" x14ac:dyDescent="0.3">
      <c r="A31" s="1">
        <v>44199</v>
      </c>
      <c r="B31" s="2" t="s">
        <v>5</v>
      </c>
      <c r="C31">
        <v>54</v>
      </c>
      <c r="D31">
        <v>90</v>
      </c>
      <c r="E31">
        <v>9</v>
      </c>
      <c r="F31">
        <v>295</v>
      </c>
      <c r="G31">
        <v>3662</v>
      </c>
      <c r="H31">
        <v>41</v>
      </c>
      <c r="I31">
        <v>2</v>
      </c>
      <c r="J31">
        <v>77572</v>
      </c>
      <c r="K31">
        <v>30286</v>
      </c>
      <c r="L31">
        <v>90</v>
      </c>
      <c r="M31">
        <v>48</v>
      </c>
      <c r="N31">
        <v>45</v>
      </c>
      <c r="O31">
        <v>1</v>
      </c>
      <c r="P31">
        <v>350</v>
      </c>
      <c r="Q31">
        <v>22</v>
      </c>
      <c r="R31">
        <v>1.1627118644067798</v>
      </c>
      <c r="S31">
        <v>6</v>
      </c>
      <c r="T31" t="s">
        <v>353</v>
      </c>
      <c r="U31">
        <v>372</v>
      </c>
      <c r="V31">
        <v>0.14516129032258099</v>
      </c>
      <c r="W31">
        <v>0</v>
      </c>
    </row>
    <row r="32" spans="1:23" x14ac:dyDescent="0.3">
      <c r="A32" s="1">
        <v>44200</v>
      </c>
      <c r="B32" s="2" t="s">
        <v>5</v>
      </c>
      <c r="C32">
        <v>22</v>
      </c>
      <c r="D32">
        <v>90</v>
      </c>
      <c r="E32">
        <v>54</v>
      </c>
      <c r="F32">
        <v>343</v>
      </c>
      <c r="G32">
        <v>3668</v>
      </c>
      <c r="H32">
        <v>45</v>
      </c>
      <c r="I32">
        <v>1</v>
      </c>
      <c r="J32">
        <v>77922</v>
      </c>
      <c r="K32">
        <v>30308</v>
      </c>
      <c r="L32">
        <v>90</v>
      </c>
      <c r="M32">
        <v>5</v>
      </c>
      <c r="N32">
        <v>50</v>
      </c>
      <c r="O32">
        <v>1</v>
      </c>
      <c r="P32">
        <v>339</v>
      </c>
      <c r="Q32">
        <v>40</v>
      </c>
      <c r="R32">
        <v>1.0145772594752187</v>
      </c>
      <c r="S32">
        <v>17</v>
      </c>
      <c r="T32" t="s">
        <v>354</v>
      </c>
      <c r="U32">
        <v>379</v>
      </c>
      <c r="V32">
        <v>5.8047493403693903E-2</v>
      </c>
      <c r="W32">
        <v>0</v>
      </c>
    </row>
    <row r="33" spans="1:23" x14ac:dyDescent="0.3">
      <c r="A33" s="1">
        <v>44201</v>
      </c>
      <c r="B33" s="2" t="s">
        <v>5</v>
      </c>
      <c r="C33">
        <v>55</v>
      </c>
      <c r="D33">
        <v>91</v>
      </c>
      <c r="E33">
        <v>23</v>
      </c>
      <c r="F33">
        <v>348</v>
      </c>
      <c r="G33">
        <v>3685</v>
      </c>
      <c r="H33">
        <v>50</v>
      </c>
      <c r="I33">
        <v>1</v>
      </c>
      <c r="J33">
        <v>78261</v>
      </c>
      <c r="K33">
        <v>30348</v>
      </c>
      <c r="L33">
        <v>90</v>
      </c>
      <c r="M33">
        <v>39</v>
      </c>
      <c r="N33">
        <v>46</v>
      </c>
      <c r="O33">
        <v>1</v>
      </c>
      <c r="P33">
        <v>601</v>
      </c>
      <c r="Q33">
        <v>41</v>
      </c>
      <c r="R33">
        <v>1.1120689655172413</v>
      </c>
      <c r="S33">
        <v>15</v>
      </c>
      <c r="T33" t="s">
        <v>355</v>
      </c>
      <c r="U33">
        <v>642</v>
      </c>
      <c r="V33">
        <v>8.5669781931464198E-2</v>
      </c>
      <c r="W33">
        <v>1</v>
      </c>
    </row>
    <row r="34" spans="1:23" x14ac:dyDescent="0.3">
      <c r="A34" s="1">
        <v>44202</v>
      </c>
      <c r="B34" s="2" t="s">
        <v>5</v>
      </c>
      <c r="C34">
        <v>31</v>
      </c>
      <c r="D34">
        <v>92</v>
      </c>
      <c r="E34">
        <v>52</v>
      </c>
      <c r="F34">
        <v>387</v>
      </c>
      <c r="G34">
        <v>3700</v>
      </c>
      <c r="H34">
        <v>46</v>
      </c>
      <c r="I34">
        <v>1</v>
      </c>
      <c r="J34">
        <v>78862</v>
      </c>
      <c r="K34">
        <v>30389</v>
      </c>
      <c r="L34">
        <v>91</v>
      </c>
      <c r="M34">
        <v>12</v>
      </c>
      <c r="N34">
        <v>44</v>
      </c>
      <c r="O34">
        <v>3</v>
      </c>
      <c r="P34">
        <v>458</v>
      </c>
      <c r="Q34">
        <v>29</v>
      </c>
      <c r="R34">
        <v>1.0310077519379846</v>
      </c>
      <c r="S34">
        <v>18</v>
      </c>
      <c r="T34" t="s">
        <v>356</v>
      </c>
      <c r="U34">
        <v>487</v>
      </c>
      <c r="V34">
        <v>6.3655030800821397E-2</v>
      </c>
      <c r="W34">
        <v>1</v>
      </c>
    </row>
    <row r="35" spans="1:23" x14ac:dyDescent="0.3">
      <c r="A35" s="1">
        <v>44203</v>
      </c>
      <c r="B35" s="2" t="s">
        <v>5</v>
      </c>
      <c r="C35">
        <v>50</v>
      </c>
      <c r="D35">
        <v>92</v>
      </c>
      <c r="E35">
        <v>29</v>
      </c>
      <c r="F35">
        <v>399</v>
      </c>
      <c r="G35">
        <v>3718</v>
      </c>
      <c r="H35">
        <v>44</v>
      </c>
      <c r="I35">
        <v>3</v>
      </c>
      <c r="J35">
        <v>79320</v>
      </c>
      <c r="K35">
        <v>30418</v>
      </c>
      <c r="L35">
        <v>92</v>
      </c>
      <c r="M35">
        <v>33</v>
      </c>
      <c r="N35">
        <v>43</v>
      </c>
      <c r="O35">
        <v>3</v>
      </c>
      <c r="P35">
        <v>317</v>
      </c>
      <c r="Q35">
        <v>43</v>
      </c>
      <c r="R35">
        <v>1.0827067669172932</v>
      </c>
      <c r="S35">
        <v>17</v>
      </c>
      <c r="T35" t="s">
        <v>387</v>
      </c>
      <c r="U35">
        <v>360</v>
      </c>
      <c r="V35">
        <v>0.13888888888888901</v>
      </c>
      <c r="W35">
        <v>0</v>
      </c>
    </row>
    <row r="36" spans="1:23" x14ac:dyDescent="0.3">
      <c r="A36" s="1">
        <v>44204</v>
      </c>
      <c r="B36" s="2" t="s">
        <v>5</v>
      </c>
      <c r="C36">
        <v>33</v>
      </c>
      <c r="D36">
        <v>93</v>
      </c>
      <c r="E36">
        <v>46</v>
      </c>
      <c r="F36">
        <v>432</v>
      </c>
      <c r="G36">
        <v>3735</v>
      </c>
      <c r="H36">
        <v>43</v>
      </c>
      <c r="I36">
        <v>3</v>
      </c>
      <c r="J36">
        <v>79637</v>
      </c>
      <c r="K36">
        <v>30461</v>
      </c>
      <c r="L36">
        <v>92</v>
      </c>
      <c r="M36">
        <v>5</v>
      </c>
      <c r="N36">
        <v>35</v>
      </c>
      <c r="O36">
        <v>4</v>
      </c>
      <c r="P36">
        <v>368</v>
      </c>
      <c r="Q36">
        <v>46</v>
      </c>
      <c r="R36">
        <v>1.0115740740740742</v>
      </c>
      <c r="S36">
        <v>27</v>
      </c>
      <c r="T36" t="s">
        <v>398</v>
      </c>
      <c r="U36">
        <v>414</v>
      </c>
      <c r="V36">
        <v>7.9710144927536197E-2</v>
      </c>
      <c r="W36">
        <v>1</v>
      </c>
    </row>
    <row r="37" spans="1:23" x14ac:dyDescent="0.3">
      <c r="A37" s="1">
        <v>44205</v>
      </c>
      <c r="B37" s="2" t="s">
        <v>5</v>
      </c>
      <c r="C37">
        <v>64</v>
      </c>
      <c r="D37">
        <v>93</v>
      </c>
      <c r="E37">
        <v>28</v>
      </c>
      <c r="F37">
        <v>437</v>
      </c>
      <c r="G37">
        <v>3762</v>
      </c>
      <c r="H37">
        <v>35</v>
      </c>
      <c r="I37">
        <v>4</v>
      </c>
      <c r="J37">
        <v>80005</v>
      </c>
      <c r="K37">
        <v>30507</v>
      </c>
      <c r="L37">
        <v>93</v>
      </c>
      <c r="M37">
        <v>54</v>
      </c>
      <c r="N37">
        <v>43</v>
      </c>
      <c r="O37">
        <v>3</v>
      </c>
      <c r="P37">
        <v>735</v>
      </c>
      <c r="Q37">
        <v>36</v>
      </c>
      <c r="R37">
        <v>1.1235697940503433</v>
      </c>
      <c r="S37">
        <v>10</v>
      </c>
      <c r="T37" t="s">
        <v>399</v>
      </c>
      <c r="U37">
        <v>771</v>
      </c>
      <c r="V37">
        <v>8.3009079118028503E-2</v>
      </c>
      <c r="W37">
        <v>0</v>
      </c>
    </row>
    <row r="38" spans="1:23" x14ac:dyDescent="0.3">
      <c r="A38" s="1">
        <v>44206</v>
      </c>
      <c r="B38" s="2" t="s">
        <v>5</v>
      </c>
      <c r="C38">
        <v>87</v>
      </c>
      <c r="D38">
        <v>93</v>
      </c>
      <c r="E38">
        <v>61</v>
      </c>
      <c r="F38">
        <v>491</v>
      </c>
      <c r="G38">
        <v>3772</v>
      </c>
      <c r="H38">
        <v>43</v>
      </c>
      <c r="I38">
        <v>3</v>
      </c>
      <c r="J38">
        <v>80740</v>
      </c>
      <c r="K38">
        <v>30543</v>
      </c>
      <c r="L38">
        <v>93</v>
      </c>
      <c r="M38">
        <v>76</v>
      </c>
      <c r="N38">
        <v>54</v>
      </c>
      <c r="O38">
        <v>6</v>
      </c>
      <c r="P38">
        <v>629</v>
      </c>
      <c r="Q38">
        <v>23</v>
      </c>
      <c r="R38">
        <v>1.154786150712831</v>
      </c>
      <c r="S38">
        <v>11</v>
      </c>
      <c r="T38" t="s">
        <v>400</v>
      </c>
      <c r="U38">
        <v>652</v>
      </c>
      <c r="V38">
        <v>0.13343558282208601</v>
      </c>
      <c r="W38">
        <v>0</v>
      </c>
    </row>
    <row r="39" spans="1:23" x14ac:dyDescent="0.3">
      <c r="A39" s="1">
        <v>44207</v>
      </c>
      <c r="B39" s="2" t="s">
        <v>5</v>
      </c>
      <c r="C39">
        <v>51</v>
      </c>
      <c r="D39">
        <v>96</v>
      </c>
      <c r="E39">
        <v>86</v>
      </c>
      <c r="F39">
        <v>567</v>
      </c>
      <c r="G39">
        <v>3783</v>
      </c>
      <c r="H39">
        <v>54</v>
      </c>
      <c r="I39">
        <v>6</v>
      </c>
      <c r="J39">
        <v>81369</v>
      </c>
      <c r="K39">
        <v>30566</v>
      </c>
      <c r="L39">
        <v>93</v>
      </c>
      <c r="M39">
        <v>31</v>
      </c>
      <c r="N39">
        <v>62</v>
      </c>
      <c r="O39">
        <v>5</v>
      </c>
      <c r="P39">
        <v>538</v>
      </c>
      <c r="Q39">
        <v>67</v>
      </c>
      <c r="R39">
        <v>1.0546737213403881</v>
      </c>
      <c r="S39">
        <v>17</v>
      </c>
      <c r="T39" t="s">
        <v>401</v>
      </c>
      <c r="U39">
        <v>605</v>
      </c>
      <c r="V39">
        <v>8.4297520661157005E-2</v>
      </c>
      <c r="W39">
        <v>3</v>
      </c>
    </row>
    <row r="40" spans="1:23" x14ac:dyDescent="0.3">
      <c r="A40" s="1">
        <v>44208</v>
      </c>
      <c r="B40" s="2" t="s">
        <v>5</v>
      </c>
      <c r="C40">
        <v>74</v>
      </c>
      <c r="D40">
        <v>96</v>
      </c>
      <c r="E40">
        <v>49</v>
      </c>
      <c r="F40">
        <v>598</v>
      </c>
      <c r="G40">
        <v>3800</v>
      </c>
      <c r="H40">
        <v>62</v>
      </c>
      <c r="I40">
        <v>5</v>
      </c>
      <c r="J40">
        <v>81907</v>
      </c>
      <c r="K40">
        <v>30633</v>
      </c>
      <c r="L40">
        <v>96</v>
      </c>
      <c r="M40">
        <v>61</v>
      </c>
      <c r="N40">
        <v>74</v>
      </c>
      <c r="O40">
        <v>5</v>
      </c>
      <c r="P40">
        <v>669</v>
      </c>
      <c r="Q40">
        <v>69</v>
      </c>
      <c r="R40">
        <v>1.1020066889632107</v>
      </c>
      <c r="S40">
        <v>13</v>
      </c>
      <c r="T40" t="s">
        <v>403</v>
      </c>
      <c r="U40">
        <v>738</v>
      </c>
      <c r="V40">
        <v>0.10027100271002699</v>
      </c>
      <c r="W40">
        <v>0</v>
      </c>
    </row>
    <row r="41" spans="1:23" x14ac:dyDescent="0.3">
      <c r="A41" s="1">
        <v>44209</v>
      </c>
      <c r="B41" s="2" t="s">
        <v>5</v>
      </c>
      <c r="C41">
        <v>68</v>
      </c>
      <c r="D41">
        <v>96</v>
      </c>
      <c r="E41">
        <v>71</v>
      </c>
      <c r="F41">
        <v>659</v>
      </c>
      <c r="G41">
        <v>3813</v>
      </c>
      <c r="H41">
        <v>74</v>
      </c>
      <c r="I41">
        <v>5</v>
      </c>
      <c r="J41">
        <v>82576</v>
      </c>
      <c r="K41">
        <v>30702</v>
      </c>
      <c r="L41">
        <v>96</v>
      </c>
      <c r="M41">
        <v>51</v>
      </c>
      <c r="N41">
        <v>73</v>
      </c>
      <c r="O41">
        <v>6</v>
      </c>
      <c r="P41">
        <v>670</v>
      </c>
      <c r="Q41">
        <v>44</v>
      </c>
      <c r="R41">
        <v>1.0773899848254931</v>
      </c>
      <c r="S41">
        <v>17</v>
      </c>
      <c r="T41" t="s">
        <v>404</v>
      </c>
      <c r="U41">
        <v>714</v>
      </c>
      <c r="V41">
        <v>9.5238095238095205E-2</v>
      </c>
      <c r="W41">
        <v>0</v>
      </c>
    </row>
    <row r="42" spans="1:23" x14ac:dyDescent="0.3">
      <c r="A42" s="1">
        <v>44210</v>
      </c>
      <c r="B42" s="2" t="s">
        <v>5</v>
      </c>
      <c r="C42">
        <v>113</v>
      </c>
      <c r="D42">
        <v>98</v>
      </c>
      <c r="E42">
        <v>61</v>
      </c>
      <c r="F42">
        <v>710</v>
      </c>
      <c r="G42">
        <v>3830</v>
      </c>
      <c r="H42">
        <v>73</v>
      </c>
      <c r="I42">
        <v>6</v>
      </c>
      <c r="J42">
        <v>83246</v>
      </c>
      <c r="K42">
        <v>30746</v>
      </c>
      <c r="L42">
        <v>96</v>
      </c>
      <c r="M42">
        <v>86</v>
      </c>
      <c r="N42">
        <v>77</v>
      </c>
      <c r="O42">
        <v>9</v>
      </c>
      <c r="P42">
        <v>582</v>
      </c>
      <c r="Q42">
        <v>72</v>
      </c>
      <c r="R42">
        <v>1.1211267605633803</v>
      </c>
      <c r="S42">
        <v>25</v>
      </c>
      <c r="T42" t="s">
        <v>405</v>
      </c>
      <c r="U42">
        <v>654</v>
      </c>
      <c r="V42">
        <v>0.172782874617737</v>
      </c>
      <c r="W42">
        <v>2</v>
      </c>
    </row>
    <row r="43" spans="1:23" x14ac:dyDescent="0.3">
      <c r="A43" s="1">
        <v>44211</v>
      </c>
      <c r="B43" s="2" t="s">
        <v>5</v>
      </c>
      <c r="C43">
        <v>146</v>
      </c>
      <c r="D43">
        <v>99</v>
      </c>
      <c r="E43">
        <v>108</v>
      </c>
      <c r="F43">
        <v>796</v>
      </c>
      <c r="G43">
        <v>3855</v>
      </c>
      <c r="H43">
        <v>77</v>
      </c>
      <c r="I43">
        <v>9</v>
      </c>
      <c r="J43">
        <v>83828</v>
      </c>
      <c r="K43">
        <v>30818</v>
      </c>
      <c r="L43">
        <v>98</v>
      </c>
      <c r="M43">
        <v>113</v>
      </c>
      <c r="N43">
        <v>80</v>
      </c>
      <c r="O43">
        <v>9</v>
      </c>
      <c r="P43">
        <v>632</v>
      </c>
      <c r="Q43">
        <v>133</v>
      </c>
      <c r="R43">
        <v>1.1419597989949748</v>
      </c>
      <c r="S43">
        <v>32</v>
      </c>
      <c r="T43" t="s">
        <v>406</v>
      </c>
      <c r="U43">
        <v>765</v>
      </c>
      <c r="V43">
        <v>0.19084967320261401</v>
      </c>
      <c r="W43">
        <v>1</v>
      </c>
    </row>
    <row r="44" spans="1:23" x14ac:dyDescent="0.3">
      <c r="A44" s="1">
        <v>44212</v>
      </c>
      <c r="B44" s="2" t="s">
        <v>5</v>
      </c>
      <c r="C44">
        <v>84</v>
      </c>
      <c r="D44">
        <v>99</v>
      </c>
      <c r="E44">
        <v>140</v>
      </c>
      <c r="F44">
        <v>909</v>
      </c>
      <c r="G44">
        <v>3887</v>
      </c>
      <c r="H44">
        <v>80</v>
      </c>
      <c r="I44">
        <v>9</v>
      </c>
      <c r="J44">
        <v>84460</v>
      </c>
      <c r="K44">
        <v>30951</v>
      </c>
      <c r="L44">
        <v>99</v>
      </c>
      <c r="M44">
        <v>72</v>
      </c>
      <c r="N44">
        <v>83</v>
      </c>
      <c r="O44">
        <v>13</v>
      </c>
      <c r="P44">
        <v>369</v>
      </c>
      <c r="Q44">
        <v>54</v>
      </c>
      <c r="R44">
        <v>1.0792079207920793</v>
      </c>
      <c r="S44">
        <v>12</v>
      </c>
      <c r="T44" t="s">
        <v>407</v>
      </c>
      <c r="U44">
        <v>423</v>
      </c>
      <c r="V44">
        <v>0.19858156028368801</v>
      </c>
      <c r="W44">
        <v>0</v>
      </c>
    </row>
    <row r="45" spans="1:23" x14ac:dyDescent="0.3">
      <c r="A45" s="1">
        <v>44213</v>
      </c>
      <c r="B45" s="2" t="s">
        <v>5</v>
      </c>
      <c r="C45">
        <v>99</v>
      </c>
      <c r="D45">
        <v>101</v>
      </c>
      <c r="E45">
        <v>70</v>
      </c>
      <c r="F45">
        <v>981</v>
      </c>
      <c r="G45">
        <v>3899</v>
      </c>
      <c r="H45">
        <v>83</v>
      </c>
      <c r="I45">
        <v>13</v>
      </c>
      <c r="J45">
        <v>84829</v>
      </c>
      <c r="K45">
        <v>31005</v>
      </c>
      <c r="L45">
        <v>99</v>
      </c>
      <c r="M45">
        <v>68</v>
      </c>
      <c r="N45">
        <v>89</v>
      </c>
      <c r="O45">
        <v>11</v>
      </c>
      <c r="P45">
        <v>610</v>
      </c>
      <c r="Q45">
        <v>101</v>
      </c>
      <c r="R45">
        <v>1.0693170234454639</v>
      </c>
      <c r="S45">
        <v>29</v>
      </c>
      <c r="T45" t="s">
        <v>408</v>
      </c>
      <c r="U45">
        <v>711</v>
      </c>
      <c r="V45">
        <v>0.139240506329114</v>
      </c>
      <c r="W45">
        <v>2</v>
      </c>
    </row>
    <row r="46" spans="1:23" x14ac:dyDescent="0.3">
      <c r="A46" s="1">
        <v>44214</v>
      </c>
      <c r="B46" s="2" t="s">
        <v>5</v>
      </c>
      <c r="C46">
        <v>104</v>
      </c>
      <c r="D46">
        <v>105</v>
      </c>
      <c r="E46">
        <v>94</v>
      </c>
      <c r="F46">
        <v>1049</v>
      </c>
      <c r="G46">
        <v>3928</v>
      </c>
      <c r="H46">
        <v>89</v>
      </c>
      <c r="I46">
        <v>11</v>
      </c>
      <c r="J46">
        <v>85439</v>
      </c>
      <c r="K46">
        <v>31106</v>
      </c>
      <c r="L46">
        <v>101</v>
      </c>
      <c r="M46">
        <v>75</v>
      </c>
      <c r="N46">
        <v>96</v>
      </c>
      <c r="O46">
        <v>11</v>
      </c>
      <c r="P46">
        <v>595</v>
      </c>
      <c r="Q46">
        <v>164</v>
      </c>
      <c r="R46">
        <v>1.0714966634890373</v>
      </c>
      <c r="S46">
        <v>25</v>
      </c>
      <c r="T46" t="s">
        <v>409</v>
      </c>
      <c r="U46">
        <v>759</v>
      </c>
      <c r="V46">
        <v>0.13702239789196299</v>
      </c>
      <c r="W46">
        <v>4</v>
      </c>
    </row>
    <row r="47" spans="1:23" x14ac:dyDescent="0.3">
      <c r="A47" s="1">
        <v>44215</v>
      </c>
      <c r="B47" s="2" t="s">
        <v>5</v>
      </c>
      <c r="C47">
        <v>98</v>
      </c>
      <c r="D47">
        <v>106</v>
      </c>
      <c r="E47">
        <v>99</v>
      </c>
      <c r="F47">
        <v>1124</v>
      </c>
      <c r="G47">
        <v>3953</v>
      </c>
      <c r="H47">
        <v>96</v>
      </c>
      <c r="I47">
        <v>11</v>
      </c>
      <c r="J47">
        <v>86034</v>
      </c>
      <c r="K47">
        <v>31270</v>
      </c>
      <c r="L47">
        <v>105</v>
      </c>
      <c r="M47">
        <v>68</v>
      </c>
      <c r="N47">
        <v>97</v>
      </c>
      <c r="O47">
        <v>13</v>
      </c>
      <c r="P47">
        <v>859</v>
      </c>
      <c r="Q47">
        <v>142</v>
      </c>
      <c r="R47">
        <v>1.0604982206405693</v>
      </c>
      <c r="S47">
        <v>29</v>
      </c>
      <c r="T47" t="s">
        <v>410</v>
      </c>
      <c r="U47">
        <v>1001</v>
      </c>
      <c r="V47">
        <v>9.7902097902097904E-2</v>
      </c>
      <c r="W47">
        <v>1</v>
      </c>
    </row>
    <row r="48" spans="1:23" x14ac:dyDescent="0.3">
      <c r="A48" s="1">
        <v>44216</v>
      </c>
      <c r="B48" s="2" t="s">
        <v>5</v>
      </c>
      <c r="C48">
        <v>141</v>
      </c>
      <c r="D48">
        <v>106</v>
      </c>
      <c r="E48">
        <v>88</v>
      </c>
      <c r="F48">
        <v>1192</v>
      </c>
      <c r="G48">
        <v>3982</v>
      </c>
      <c r="H48">
        <v>97</v>
      </c>
      <c r="I48">
        <v>13</v>
      </c>
      <c r="J48">
        <v>86893</v>
      </c>
      <c r="K48">
        <v>31412</v>
      </c>
      <c r="L48">
        <v>106</v>
      </c>
      <c r="M48">
        <v>92</v>
      </c>
      <c r="N48">
        <v>104</v>
      </c>
      <c r="O48">
        <v>14</v>
      </c>
      <c r="P48">
        <v>978</v>
      </c>
      <c r="Q48">
        <v>119</v>
      </c>
      <c r="R48">
        <v>1.0771812080536913</v>
      </c>
      <c r="S48">
        <v>49</v>
      </c>
      <c r="T48" t="s">
        <v>411</v>
      </c>
      <c r="U48">
        <v>1097</v>
      </c>
      <c r="V48">
        <v>0.12853236098450299</v>
      </c>
      <c r="W48">
        <v>0</v>
      </c>
    </row>
    <row r="49" spans="1:23" x14ac:dyDescent="0.3">
      <c r="A49" s="1">
        <v>44217</v>
      </c>
      <c r="B49" s="2" t="s">
        <v>5</v>
      </c>
      <c r="C49">
        <v>129</v>
      </c>
      <c r="D49">
        <v>109</v>
      </c>
      <c r="E49">
        <v>128</v>
      </c>
      <c r="F49">
        <v>1284</v>
      </c>
      <c r="G49">
        <v>4031</v>
      </c>
      <c r="H49">
        <v>104</v>
      </c>
      <c r="I49">
        <v>14</v>
      </c>
      <c r="J49">
        <v>87871</v>
      </c>
      <c r="K49">
        <v>31531</v>
      </c>
      <c r="L49">
        <v>106</v>
      </c>
      <c r="M49">
        <v>84</v>
      </c>
      <c r="N49">
        <v>117</v>
      </c>
      <c r="O49">
        <v>16</v>
      </c>
      <c r="P49">
        <v>808</v>
      </c>
      <c r="Q49">
        <v>102</v>
      </c>
      <c r="R49">
        <v>1.0654205607476634</v>
      </c>
      <c r="S49">
        <v>42</v>
      </c>
      <c r="T49" t="s">
        <v>422</v>
      </c>
      <c r="U49">
        <v>910</v>
      </c>
      <c r="V49">
        <v>0.141758241758242</v>
      </c>
      <c r="W49">
        <v>3</v>
      </c>
    </row>
    <row r="50" spans="1:23" x14ac:dyDescent="0.3">
      <c r="A50" s="1">
        <v>44218</v>
      </c>
      <c r="B50" s="2" t="s">
        <v>5</v>
      </c>
      <c r="C50">
        <v>149</v>
      </c>
      <c r="D50">
        <v>111</v>
      </c>
      <c r="E50">
        <v>120</v>
      </c>
      <c r="F50">
        <v>1368</v>
      </c>
      <c r="G50">
        <v>4073</v>
      </c>
      <c r="H50">
        <v>117</v>
      </c>
      <c r="I50">
        <v>16</v>
      </c>
      <c r="J50">
        <v>88679</v>
      </c>
      <c r="K50">
        <v>31633</v>
      </c>
      <c r="L50">
        <v>109</v>
      </c>
      <c r="M50">
        <v>104</v>
      </c>
      <c r="N50">
        <v>113</v>
      </c>
      <c r="O50">
        <v>19</v>
      </c>
      <c r="P50">
        <v>952</v>
      </c>
      <c r="Q50">
        <v>150</v>
      </c>
      <c r="R50">
        <v>1.0760233918128654</v>
      </c>
      <c r="S50">
        <v>43</v>
      </c>
      <c r="T50" t="s">
        <v>441</v>
      </c>
      <c r="U50">
        <v>1102</v>
      </c>
      <c r="V50">
        <v>0.13520871143375701</v>
      </c>
      <c r="W50">
        <v>2</v>
      </c>
    </row>
    <row r="51" spans="1:23" x14ac:dyDescent="0.3">
      <c r="A51" s="1">
        <v>44219</v>
      </c>
      <c r="B51" s="2" t="s">
        <v>5</v>
      </c>
      <c r="C51">
        <v>107</v>
      </c>
      <c r="D51">
        <v>113</v>
      </c>
      <c r="E51">
        <v>138</v>
      </c>
      <c r="F51">
        <v>1472</v>
      </c>
      <c r="G51">
        <v>4116</v>
      </c>
      <c r="H51">
        <v>113</v>
      </c>
      <c r="I51">
        <v>19</v>
      </c>
      <c r="J51">
        <v>89631</v>
      </c>
      <c r="K51">
        <v>31783</v>
      </c>
      <c r="L51">
        <v>111</v>
      </c>
      <c r="M51">
        <v>72</v>
      </c>
      <c r="N51">
        <v>124</v>
      </c>
      <c r="O51">
        <v>21</v>
      </c>
      <c r="P51">
        <v>886</v>
      </c>
      <c r="Q51">
        <v>69</v>
      </c>
      <c r="R51">
        <v>1.048913043478261</v>
      </c>
      <c r="S51">
        <v>33</v>
      </c>
      <c r="T51" t="s">
        <v>442</v>
      </c>
      <c r="U51">
        <v>955</v>
      </c>
      <c r="V51">
        <v>0.11204188481675401</v>
      </c>
      <c r="W51">
        <v>2</v>
      </c>
    </row>
    <row r="52" spans="1:23" x14ac:dyDescent="0.3">
      <c r="A52" s="1">
        <v>44220</v>
      </c>
      <c r="B52" s="2" t="s">
        <v>5</v>
      </c>
      <c r="C52">
        <v>106</v>
      </c>
      <c r="D52">
        <v>113</v>
      </c>
      <c r="E52">
        <v>98</v>
      </c>
      <c r="F52">
        <v>1544</v>
      </c>
      <c r="G52">
        <v>4149</v>
      </c>
      <c r="H52">
        <v>124</v>
      </c>
      <c r="I52">
        <v>21</v>
      </c>
      <c r="J52">
        <v>90517</v>
      </c>
      <c r="K52">
        <v>31852</v>
      </c>
      <c r="L52">
        <v>113</v>
      </c>
      <c r="M52">
        <v>29</v>
      </c>
      <c r="N52">
        <v>131</v>
      </c>
      <c r="O52">
        <v>23</v>
      </c>
      <c r="P52">
        <v>626</v>
      </c>
      <c r="Q52">
        <v>68</v>
      </c>
      <c r="R52">
        <v>1.0187823834196892</v>
      </c>
      <c r="S52">
        <v>77</v>
      </c>
      <c r="T52" t="s">
        <v>461</v>
      </c>
      <c r="U52">
        <v>694</v>
      </c>
      <c r="V52">
        <v>0.15273775216138299</v>
      </c>
      <c r="W52">
        <v>0</v>
      </c>
    </row>
    <row r="53" spans="1:23" x14ac:dyDescent="0.3">
      <c r="A53" s="1">
        <v>44221</v>
      </c>
      <c r="B53" s="2" t="s">
        <v>5</v>
      </c>
      <c r="C53">
        <v>105</v>
      </c>
      <c r="D53">
        <v>118</v>
      </c>
      <c r="E53">
        <v>98</v>
      </c>
      <c r="F53">
        <v>1573</v>
      </c>
      <c r="G53">
        <v>4226</v>
      </c>
      <c r="H53">
        <v>131</v>
      </c>
      <c r="I53">
        <v>23</v>
      </c>
      <c r="J53">
        <v>91143</v>
      </c>
      <c r="K53">
        <v>31920</v>
      </c>
      <c r="L53">
        <v>113</v>
      </c>
      <c r="M53">
        <v>43</v>
      </c>
      <c r="N53">
        <v>132</v>
      </c>
      <c r="O53">
        <v>24</v>
      </c>
      <c r="P53">
        <v>804</v>
      </c>
      <c r="Q53">
        <v>181</v>
      </c>
      <c r="R53">
        <v>1.0273363000635727</v>
      </c>
      <c r="S53">
        <v>57</v>
      </c>
      <c r="T53" t="s">
        <v>462</v>
      </c>
      <c r="U53">
        <v>985</v>
      </c>
      <c r="V53">
        <v>0.10659898477157401</v>
      </c>
      <c r="W53">
        <v>5</v>
      </c>
    </row>
    <row r="54" spans="1:23" x14ac:dyDescent="0.3">
      <c r="A54" s="1">
        <v>44222</v>
      </c>
      <c r="B54" s="2" t="s">
        <v>5</v>
      </c>
      <c r="C54">
        <v>96</v>
      </c>
      <c r="D54">
        <v>120</v>
      </c>
      <c r="E54">
        <v>95</v>
      </c>
      <c r="F54">
        <v>1616</v>
      </c>
      <c r="G54">
        <v>4283</v>
      </c>
      <c r="H54">
        <v>132</v>
      </c>
      <c r="I54">
        <v>24</v>
      </c>
      <c r="J54">
        <v>91947</v>
      </c>
      <c r="K54">
        <v>32101</v>
      </c>
      <c r="L54">
        <v>118</v>
      </c>
      <c r="M54">
        <v>53</v>
      </c>
      <c r="N54">
        <v>136</v>
      </c>
      <c r="O54">
        <v>26</v>
      </c>
      <c r="P54">
        <v>975</v>
      </c>
      <c r="Q54">
        <v>115</v>
      </c>
      <c r="R54">
        <v>1.0327970297029703</v>
      </c>
      <c r="S54">
        <v>41</v>
      </c>
      <c r="T54" t="s">
        <v>463</v>
      </c>
      <c r="U54">
        <v>1090</v>
      </c>
      <c r="V54">
        <v>8.8073394495412793E-2</v>
      </c>
      <c r="W54">
        <v>2</v>
      </c>
    </row>
    <row r="55" spans="1:23" x14ac:dyDescent="0.3">
      <c r="A55" s="1">
        <v>44223</v>
      </c>
      <c r="B55" s="2" t="s">
        <v>5</v>
      </c>
      <c r="C55">
        <v>115</v>
      </c>
      <c r="D55">
        <v>120</v>
      </c>
      <c r="E55">
        <v>85</v>
      </c>
      <c r="F55">
        <v>1669</v>
      </c>
      <c r="G55">
        <v>4324</v>
      </c>
      <c r="H55">
        <v>136</v>
      </c>
      <c r="I55">
        <v>26</v>
      </c>
      <c r="J55">
        <v>92922</v>
      </c>
      <c r="K55">
        <v>32216</v>
      </c>
      <c r="L55">
        <v>120</v>
      </c>
      <c r="M55">
        <v>37</v>
      </c>
      <c r="N55">
        <v>135</v>
      </c>
      <c r="O55">
        <v>30</v>
      </c>
      <c r="P55">
        <v>854</v>
      </c>
      <c r="Q55">
        <v>164</v>
      </c>
      <c r="R55">
        <v>1.0221689634511684</v>
      </c>
      <c r="S55">
        <v>78</v>
      </c>
      <c r="T55" t="s">
        <v>470</v>
      </c>
      <c r="U55">
        <v>1018</v>
      </c>
      <c r="V55">
        <v>0.112966601178782</v>
      </c>
      <c r="W55">
        <v>0</v>
      </c>
    </row>
    <row r="56" spans="1:23" x14ac:dyDescent="0.3">
      <c r="A56" s="1">
        <v>44224</v>
      </c>
      <c r="B56" s="2" t="s">
        <v>5</v>
      </c>
      <c r="C56">
        <v>145</v>
      </c>
      <c r="D56">
        <v>123</v>
      </c>
      <c r="E56">
        <v>101</v>
      </c>
      <c r="F56">
        <v>1706</v>
      </c>
      <c r="G56">
        <v>4402</v>
      </c>
      <c r="H56">
        <v>135</v>
      </c>
      <c r="I56">
        <v>30</v>
      </c>
      <c r="J56">
        <v>93776</v>
      </c>
      <c r="K56">
        <v>32380</v>
      </c>
      <c r="L56">
        <v>120</v>
      </c>
      <c r="M56">
        <v>90</v>
      </c>
      <c r="N56">
        <v>150</v>
      </c>
      <c r="O56">
        <v>25</v>
      </c>
      <c r="P56">
        <v>1156</v>
      </c>
      <c r="Q56">
        <v>185</v>
      </c>
      <c r="R56">
        <v>1.0527549824150058</v>
      </c>
      <c r="S56">
        <v>52</v>
      </c>
      <c r="T56" t="s">
        <v>472</v>
      </c>
      <c r="U56">
        <v>1341</v>
      </c>
      <c r="V56">
        <v>0.108128262490679</v>
      </c>
      <c r="W56">
        <v>3</v>
      </c>
    </row>
    <row r="57" spans="1:23" x14ac:dyDescent="0.3">
      <c r="A57" s="1">
        <v>44225</v>
      </c>
      <c r="B57" s="2" t="s">
        <v>5</v>
      </c>
      <c r="C57">
        <v>132</v>
      </c>
      <c r="D57">
        <v>125</v>
      </c>
      <c r="E57">
        <v>124</v>
      </c>
      <c r="F57">
        <v>1796</v>
      </c>
      <c r="G57">
        <v>4454</v>
      </c>
      <c r="H57">
        <v>150</v>
      </c>
      <c r="I57">
        <v>25</v>
      </c>
      <c r="J57">
        <v>94932</v>
      </c>
      <c r="K57">
        <v>32565</v>
      </c>
      <c r="L57">
        <v>123</v>
      </c>
      <c r="M57">
        <v>-9</v>
      </c>
      <c r="N57">
        <v>150</v>
      </c>
      <c r="O57">
        <v>24</v>
      </c>
      <c r="P57">
        <v>913</v>
      </c>
      <c r="Q57">
        <v>164</v>
      </c>
      <c r="R57">
        <v>0.99498886414253895</v>
      </c>
      <c r="S57">
        <v>138</v>
      </c>
      <c r="T57" t="s">
        <v>473</v>
      </c>
      <c r="U57">
        <v>1077</v>
      </c>
      <c r="V57">
        <v>0.122562674094708</v>
      </c>
      <c r="W57">
        <v>2</v>
      </c>
    </row>
    <row r="58" spans="1:23" x14ac:dyDescent="0.3">
      <c r="A58" s="1">
        <v>44226</v>
      </c>
      <c r="B58" s="2" t="s">
        <v>5</v>
      </c>
      <c r="C58">
        <v>91</v>
      </c>
      <c r="D58">
        <v>125</v>
      </c>
      <c r="E58">
        <v>126</v>
      </c>
      <c r="F58">
        <v>1787</v>
      </c>
      <c r="G58">
        <v>4592</v>
      </c>
      <c r="H58">
        <v>150</v>
      </c>
      <c r="I58">
        <v>24</v>
      </c>
      <c r="J58">
        <v>95845</v>
      </c>
      <c r="K58">
        <v>32729</v>
      </c>
      <c r="L58">
        <v>125</v>
      </c>
      <c r="M58">
        <v>-8</v>
      </c>
      <c r="N58">
        <v>160</v>
      </c>
      <c r="O58">
        <v>25</v>
      </c>
      <c r="P58">
        <v>770</v>
      </c>
      <c r="Q58">
        <v>43</v>
      </c>
      <c r="R58">
        <v>0.99552322327923892</v>
      </c>
      <c r="S58">
        <v>99</v>
      </c>
      <c r="T58" t="s">
        <v>474</v>
      </c>
      <c r="U58">
        <v>813</v>
      </c>
      <c r="V58">
        <v>0.111931119311193</v>
      </c>
      <c r="W58">
        <v>0</v>
      </c>
    </row>
    <row r="59" spans="1:23" x14ac:dyDescent="0.3">
      <c r="A59" s="1">
        <v>44227</v>
      </c>
      <c r="B59" s="2" t="s">
        <v>5</v>
      </c>
      <c r="C59">
        <v>100</v>
      </c>
      <c r="D59">
        <v>129</v>
      </c>
      <c r="E59">
        <v>88</v>
      </c>
      <c r="F59">
        <v>1779</v>
      </c>
      <c r="G59">
        <v>4691</v>
      </c>
      <c r="H59">
        <v>160</v>
      </c>
      <c r="I59">
        <v>25</v>
      </c>
      <c r="J59">
        <v>96615</v>
      </c>
      <c r="K59">
        <v>32772</v>
      </c>
      <c r="L59">
        <v>125</v>
      </c>
      <c r="M59">
        <v>9</v>
      </c>
      <c r="N59">
        <v>164</v>
      </c>
      <c r="O59">
        <v>24</v>
      </c>
      <c r="P59">
        <v>678</v>
      </c>
      <c r="Q59">
        <v>61</v>
      </c>
      <c r="R59">
        <v>1.0050590219224282</v>
      </c>
      <c r="S59">
        <v>87</v>
      </c>
      <c r="T59" t="s">
        <v>475</v>
      </c>
      <c r="U59">
        <v>739</v>
      </c>
      <c r="V59">
        <v>0.13531799729364</v>
      </c>
      <c r="W59">
        <v>4</v>
      </c>
    </row>
    <row r="60" spans="1:23" x14ac:dyDescent="0.3">
      <c r="A60" s="1">
        <v>44228</v>
      </c>
      <c r="B60" s="2" t="s">
        <v>5</v>
      </c>
      <c r="C60">
        <v>114</v>
      </c>
      <c r="D60">
        <v>134</v>
      </c>
      <c r="E60">
        <v>94</v>
      </c>
      <c r="F60">
        <v>1788</v>
      </c>
      <c r="G60">
        <v>4778</v>
      </c>
      <c r="H60">
        <v>164</v>
      </c>
      <c r="I60">
        <v>24</v>
      </c>
      <c r="J60">
        <v>97293</v>
      </c>
      <c r="K60">
        <v>32833</v>
      </c>
      <c r="L60">
        <v>129</v>
      </c>
      <c r="M60">
        <v>36</v>
      </c>
      <c r="N60">
        <v>166</v>
      </c>
      <c r="O60">
        <v>23</v>
      </c>
      <c r="P60">
        <v>735</v>
      </c>
      <c r="Q60">
        <v>206</v>
      </c>
      <c r="R60">
        <v>1.0201342281879195</v>
      </c>
      <c r="S60">
        <v>73</v>
      </c>
      <c r="T60" t="s">
        <v>479</v>
      </c>
      <c r="U60">
        <v>941</v>
      </c>
      <c r="V60">
        <v>0.121147715196599</v>
      </c>
      <c r="W60">
        <v>5</v>
      </c>
    </row>
    <row r="61" spans="1:23" x14ac:dyDescent="0.3">
      <c r="A61" s="1">
        <v>44229</v>
      </c>
      <c r="B61" s="2" t="s">
        <v>5</v>
      </c>
      <c r="C61">
        <v>109</v>
      </c>
      <c r="D61">
        <v>136</v>
      </c>
      <c r="E61">
        <v>95</v>
      </c>
      <c r="F61">
        <v>1824</v>
      </c>
      <c r="G61">
        <v>4851</v>
      </c>
      <c r="H61">
        <v>166</v>
      </c>
      <c r="I61">
        <v>23</v>
      </c>
      <c r="J61">
        <v>98028</v>
      </c>
      <c r="K61">
        <v>33039</v>
      </c>
      <c r="L61">
        <v>134</v>
      </c>
      <c r="M61">
        <v>8</v>
      </c>
      <c r="N61">
        <v>166</v>
      </c>
      <c r="O61">
        <v>27</v>
      </c>
      <c r="P61">
        <v>887</v>
      </c>
      <c r="Q61">
        <v>400</v>
      </c>
      <c r="R61">
        <v>1.0043859649122806</v>
      </c>
      <c r="S61">
        <v>97</v>
      </c>
      <c r="T61" t="s">
        <v>480</v>
      </c>
      <c r="U61">
        <v>1287</v>
      </c>
      <c r="V61">
        <v>8.4693084693084703E-2</v>
      </c>
      <c r="W61">
        <v>2</v>
      </c>
    </row>
    <row r="62" spans="1:23" x14ac:dyDescent="0.3">
      <c r="A62" s="1">
        <v>44230</v>
      </c>
      <c r="B62" s="2" t="s">
        <v>5</v>
      </c>
      <c r="C62">
        <v>97</v>
      </c>
      <c r="D62">
        <v>142</v>
      </c>
      <c r="E62">
        <v>97</v>
      </c>
      <c r="F62">
        <v>1832</v>
      </c>
      <c r="G62">
        <v>4948</v>
      </c>
      <c r="H62">
        <v>166</v>
      </c>
      <c r="I62">
        <v>27</v>
      </c>
      <c r="J62">
        <v>98915</v>
      </c>
      <c r="K62">
        <v>33439</v>
      </c>
      <c r="L62">
        <v>136</v>
      </c>
      <c r="M62">
        <v>26</v>
      </c>
      <c r="N62">
        <v>173</v>
      </c>
      <c r="O62">
        <v>25</v>
      </c>
      <c r="P62">
        <v>967</v>
      </c>
      <c r="Q62">
        <v>396</v>
      </c>
      <c r="R62">
        <v>1.0141921397379912</v>
      </c>
      <c r="S62">
        <v>65</v>
      </c>
      <c r="T62" t="s">
        <v>481</v>
      </c>
      <c r="U62">
        <v>1363</v>
      </c>
      <c r="V62">
        <v>7.1166544387380806E-2</v>
      </c>
      <c r="W62">
        <v>6</v>
      </c>
    </row>
    <row r="63" spans="1:23" x14ac:dyDescent="0.3">
      <c r="A63" s="1">
        <v>44231</v>
      </c>
      <c r="B63" s="2" t="s">
        <v>5</v>
      </c>
      <c r="C63">
        <v>102</v>
      </c>
      <c r="D63">
        <v>149</v>
      </c>
      <c r="E63">
        <v>86</v>
      </c>
      <c r="F63">
        <v>1858</v>
      </c>
      <c r="G63">
        <v>5013</v>
      </c>
      <c r="H63">
        <v>173</v>
      </c>
      <c r="I63">
        <v>25</v>
      </c>
      <c r="J63">
        <v>99882</v>
      </c>
      <c r="K63">
        <v>33835</v>
      </c>
      <c r="L63">
        <v>142</v>
      </c>
      <c r="M63">
        <v>-48</v>
      </c>
      <c r="N63">
        <v>165</v>
      </c>
      <c r="O63">
        <v>25</v>
      </c>
      <c r="P63">
        <v>965</v>
      </c>
      <c r="Q63">
        <v>756</v>
      </c>
      <c r="R63">
        <v>0.9741657696447793</v>
      </c>
      <c r="S63">
        <v>143</v>
      </c>
      <c r="T63" t="s">
        <v>482</v>
      </c>
      <c r="U63">
        <v>1721</v>
      </c>
      <c r="V63">
        <v>5.9267867518884403E-2</v>
      </c>
      <c r="W63">
        <v>7</v>
      </c>
    </row>
    <row r="64" spans="1:23" x14ac:dyDescent="0.3">
      <c r="A64" s="1">
        <v>44232</v>
      </c>
      <c r="B64" s="2" t="s">
        <v>5</v>
      </c>
      <c r="C64">
        <v>90</v>
      </c>
      <c r="D64">
        <v>151</v>
      </c>
      <c r="E64">
        <v>76</v>
      </c>
      <c r="F64">
        <v>1810</v>
      </c>
      <c r="G64">
        <v>5156</v>
      </c>
      <c r="H64">
        <v>165</v>
      </c>
      <c r="I64">
        <v>25</v>
      </c>
      <c r="J64">
        <v>100847</v>
      </c>
      <c r="K64">
        <v>34591</v>
      </c>
      <c r="L64">
        <v>149</v>
      </c>
      <c r="M64">
        <v>-45</v>
      </c>
      <c r="N64">
        <v>160</v>
      </c>
      <c r="O64">
        <v>25</v>
      </c>
      <c r="P64">
        <v>978</v>
      </c>
      <c r="Q64">
        <v>624</v>
      </c>
      <c r="R64">
        <v>0.97513812154696133</v>
      </c>
      <c r="S64">
        <v>133</v>
      </c>
      <c r="T64" t="s">
        <v>483</v>
      </c>
      <c r="U64">
        <v>1602</v>
      </c>
      <c r="V64">
        <v>5.6179775280898903E-2</v>
      </c>
      <c r="W64">
        <v>2</v>
      </c>
    </row>
    <row r="65" spans="1:23" x14ac:dyDescent="0.3">
      <c r="A65" s="1">
        <v>44233</v>
      </c>
      <c r="B65" s="2" t="s">
        <v>5</v>
      </c>
      <c r="C65">
        <v>52</v>
      </c>
      <c r="D65">
        <v>153</v>
      </c>
      <c r="E65">
        <v>88</v>
      </c>
      <c r="F65">
        <v>1765</v>
      </c>
      <c r="G65">
        <v>5289</v>
      </c>
      <c r="H65">
        <v>160</v>
      </c>
      <c r="I65">
        <v>25</v>
      </c>
      <c r="J65">
        <v>101825</v>
      </c>
      <c r="K65">
        <v>35215</v>
      </c>
      <c r="L65">
        <v>151</v>
      </c>
      <c r="M65">
        <v>-71</v>
      </c>
      <c r="N65">
        <v>150</v>
      </c>
      <c r="O65">
        <v>24</v>
      </c>
      <c r="P65">
        <v>752</v>
      </c>
      <c r="Q65">
        <v>487</v>
      </c>
      <c r="R65">
        <v>0.95977337110481586</v>
      </c>
      <c r="S65">
        <v>121</v>
      </c>
      <c r="T65" t="s">
        <v>484</v>
      </c>
      <c r="U65">
        <v>1239</v>
      </c>
      <c r="V65">
        <v>4.1969330104923298E-2</v>
      </c>
      <c r="W65">
        <v>2</v>
      </c>
    </row>
    <row r="66" spans="1:23" x14ac:dyDescent="0.3">
      <c r="A66" s="1">
        <v>44234</v>
      </c>
      <c r="B66" s="2" t="s">
        <v>5</v>
      </c>
      <c r="C66">
        <v>50</v>
      </c>
      <c r="D66">
        <v>154</v>
      </c>
      <c r="E66">
        <v>55</v>
      </c>
      <c r="F66">
        <v>1694</v>
      </c>
      <c r="G66">
        <v>5410</v>
      </c>
      <c r="H66">
        <v>150</v>
      </c>
      <c r="I66">
        <v>24</v>
      </c>
      <c r="J66">
        <v>102577</v>
      </c>
      <c r="K66">
        <v>35702</v>
      </c>
      <c r="L66">
        <v>153</v>
      </c>
      <c r="M66">
        <v>-33</v>
      </c>
      <c r="N66">
        <v>158</v>
      </c>
      <c r="O66">
        <v>23</v>
      </c>
      <c r="P66">
        <v>681</v>
      </c>
      <c r="Q66">
        <v>48</v>
      </c>
      <c r="R66">
        <v>0.98051948051948057</v>
      </c>
      <c r="S66">
        <v>82</v>
      </c>
      <c r="T66" t="s">
        <v>485</v>
      </c>
      <c r="U66">
        <v>729</v>
      </c>
      <c r="V66">
        <v>6.8587105624142705E-2</v>
      </c>
      <c r="W66">
        <v>1</v>
      </c>
    </row>
  </sheetData>
  <phoneticPr fontId="3" type="noConversion"/>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36E1D6-B31B-4BB9-B6F2-61A3B6C95368}">
  <sheetPr codeName="Sheet11"/>
  <dimension ref="A1:W66"/>
  <sheetViews>
    <sheetView topLeftCell="A70" workbookViewId="0">
      <selection sqref="A1:J90"/>
    </sheetView>
  </sheetViews>
  <sheetFormatPr defaultRowHeight="14.4" x14ac:dyDescent="0.3"/>
  <cols>
    <col min="1" max="1" width="10.5546875" bestFit="1" customWidth="1"/>
    <col min="2" max="2" width="31.664062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388</v>
      </c>
      <c r="B1" t="s">
        <v>1</v>
      </c>
      <c r="C1" t="s">
        <v>389</v>
      </c>
      <c r="D1" t="s">
        <v>423</v>
      </c>
      <c r="E1" t="s">
        <v>413</v>
      </c>
      <c r="F1" t="s">
        <v>414</v>
      </c>
      <c r="G1" t="s">
        <v>415</v>
      </c>
      <c r="H1" t="s">
        <v>416</v>
      </c>
      <c r="I1" t="s">
        <v>417</v>
      </c>
      <c r="J1" t="s">
        <v>418</v>
      </c>
      <c r="K1" t="s">
        <v>419</v>
      </c>
      <c r="L1" t="s">
        <v>424</v>
      </c>
      <c r="M1" t="s">
        <v>390</v>
      </c>
      <c r="N1" t="s">
        <v>361</v>
      </c>
      <c r="O1" t="s">
        <v>362</v>
      </c>
      <c r="P1" t="s">
        <v>391</v>
      </c>
      <c r="Q1" t="s">
        <v>392</v>
      </c>
      <c r="R1" t="s">
        <v>420</v>
      </c>
      <c r="S1" t="s">
        <v>443</v>
      </c>
      <c r="T1" t="s">
        <v>421</v>
      </c>
      <c r="U1" t="s">
        <v>393</v>
      </c>
      <c r="V1" t="s">
        <v>394</v>
      </c>
      <c r="W1" t="s">
        <v>428</v>
      </c>
    </row>
    <row r="2" spans="1:23" x14ac:dyDescent="0.3">
      <c r="A2" s="1">
        <v>44170</v>
      </c>
      <c r="B2" s="2" t="s">
        <v>8</v>
      </c>
      <c r="C2">
        <v>31</v>
      </c>
      <c r="D2">
        <v>132</v>
      </c>
      <c r="E2">
        <v>39</v>
      </c>
      <c r="F2">
        <v>829</v>
      </c>
      <c r="G2">
        <v>5464</v>
      </c>
      <c r="H2">
        <v>26</v>
      </c>
      <c r="I2">
        <v>1</v>
      </c>
      <c r="J2">
        <v>106206</v>
      </c>
      <c r="K2">
        <v>72531</v>
      </c>
      <c r="L2">
        <v>130</v>
      </c>
      <c r="M2">
        <v>-41</v>
      </c>
      <c r="N2">
        <v>31</v>
      </c>
      <c r="O2">
        <v>1</v>
      </c>
      <c r="P2">
        <v>463</v>
      </c>
      <c r="Q2">
        <v>51</v>
      </c>
      <c r="R2">
        <v>0.95054282267792523</v>
      </c>
      <c r="S2">
        <v>70</v>
      </c>
      <c r="T2" t="s">
        <v>369</v>
      </c>
      <c r="U2">
        <v>514</v>
      </c>
      <c r="V2">
        <v>6.0311284046692601E-2</v>
      </c>
      <c r="W2">
        <v>2</v>
      </c>
    </row>
    <row r="3" spans="1:23" x14ac:dyDescent="0.3">
      <c r="A3" s="1">
        <v>44171</v>
      </c>
      <c r="B3" s="2" t="s">
        <v>8</v>
      </c>
      <c r="C3">
        <v>29</v>
      </c>
      <c r="D3">
        <v>133</v>
      </c>
      <c r="E3">
        <v>29</v>
      </c>
      <c r="F3">
        <v>788</v>
      </c>
      <c r="G3">
        <v>5534</v>
      </c>
      <c r="H3">
        <v>31</v>
      </c>
      <c r="I3">
        <v>1</v>
      </c>
      <c r="J3">
        <v>106669</v>
      </c>
      <c r="K3">
        <v>72582</v>
      </c>
      <c r="L3">
        <v>132</v>
      </c>
      <c r="M3">
        <v>-17</v>
      </c>
      <c r="N3">
        <v>30</v>
      </c>
      <c r="O3">
        <v>1</v>
      </c>
      <c r="P3">
        <v>434</v>
      </c>
      <c r="Q3">
        <v>32</v>
      </c>
      <c r="R3">
        <v>0.97842639593908631</v>
      </c>
      <c r="S3">
        <v>45</v>
      </c>
      <c r="T3" t="s">
        <v>370</v>
      </c>
      <c r="U3">
        <v>466</v>
      </c>
      <c r="V3">
        <v>6.2231759656652397E-2</v>
      </c>
      <c r="W3">
        <v>1</v>
      </c>
    </row>
    <row r="4" spans="1:23" x14ac:dyDescent="0.3">
      <c r="A4" s="1">
        <v>44172</v>
      </c>
      <c r="B4" s="2" t="s">
        <v>8</v>
      </c>
      <c r="C4">
        <v>18</v>
      </c>
      <c r="D4">
        <v>136</v>
      </c>
      <c r="E4">
        <v>28</v>
      </c>
      <c r="F4">
        <v>771</v>
      </c>
      <c r="G4">
        <v>5579</v>
      </c>
      <c r="H4">
        <v>30</v>
      </c>
      <c r="I4">
        <v>1</v>
      </c>
      <c r="J4">
        <v>107103</v>
      </c>
      <c r="K4">
        <v>72614</v>
      </c>
      <c r="L4">
        <v>133</v>
      </c>
      <c r="M4">
        <v>-147</v>
      </c>
      <c r="N4">
        <v>23</v>
      </c>
      <c r="O4">
        <v>2</v>
      </c>
      <c r="P4">
        <v>454</v>
      </c>
      <c r="Q4">
        <v>87</v>
      </c>
      <c r="R4">
        <v>0.80933852140077822</v>
      </c>
      <c r="S4">
        <v>162</v>
      </c>
      <c r="T4" t="s">
        <v>371</v>
      </c>
      <c r="U4">
        <v>541</v>
      </c>
      <c r="V4">
        <v>3.3271719038817003E-2</v>
      </c>
      <c r="W4">
        <v>3</v>
      </c>
    </row>
    <row r="5" spans="1:23" x14ac:dyDescent="0.3">
      <c r="A5" s="1">
        <v>44173</v>
      </c>
      <c r="B5" s="2" t="s">
        <v>8</v>
      </c>
      <c r="C5">
        <v>30</v>
      </c>
      <c r="D5">
        <v>137</v>
      </c>
      <c r="E5">
        <v>16</v>
      </c>
      <c r="F5">
        <v>624</v>
      </c>
      <c r="G5">
        <v>5741</v>
      </c>
      <c r="H5">
        <v>23</v>
      </c>
      <c r="I5">
        <v>2</v>
      </c>
      <c r="J5">
        <v>107557</v>
      </c>
      <c r="K5">
        <v>72701</v>
      </c>
      <c r="L5">
        <v>136</v>
      </c>
      <c r="M5">
        <v>-18</v>
      </c>
      <c r="N5">
        <v>27</v>
      </c>
      <c r="O5">
        <v>3</v>
      </c>
      <c r="P5">
        <v>711</v>
      </c>
      <c r="Q5">
        <v>49</v>
      </c>
      <c r="R5">
        <v>0.97115384615384615</v>
      </c>
      <c r="S5">
        <v>47</v>
      </c>
      <c r="T5" t="s">
        <v>372</v>
      </c>
      <c r="U5">
        <v>760</v>
      </c>
      <c r="V5">
        <v>3.94736842105263E-2</v>
      </c>
      <c r="W5">
        <v>1</v>
      </c>
    </row>
    <row r="6" spans="1:23" x14ac:dyDescent="0.3">
      <c r="A6" s="1">
        <v>44174</v>
      </c>
      <c r="B6" s="2" t="s">
        <v>8</v>
      </c>
      <c r="C6">
        <v>20</v>
      </c>
      <c r="D6">
        <v>137</v>
      </c>
      <c r="E6">
        <v>31</v>
      </c>
      <c r="F6">
        <v>606</v>
      </c>
      <c r="G6">
        <v>5788</v>
      </c>
      <c r="H6">
        <v>27</v>
      </c>
      <c r="I6">
        <v>3</v>
      </c>
      <c r="J6">
        <v>108268</v>
      </c>
      <c r="K6">
        <v>72750</v>
      </c>
      <c r="L6">
        <v>137</v>
      </c>
      <c r="M6">
        <v>-15</v>
      </c>
      <c r="N6">
        <v>27</v>
      </c>
      <c r="O6">
        <v>4</v>
      </c>
      <c r="P6">
        <v>866</v>
      </c>
      <c r="Q6">
        <v>99</v>
      </c>
      <c r="R6">
        <v>0.97524752475247523</v>
      </c>
      <c r="S6">
        <v>35</v>
      </c>
      <c r="T6" t="s">
        <v>373</v>
      </c>
      <c r="U6">
        <v>965</v>
      </c>
      <c r="V6">
        <v>2.0725388601036301E-2</v>
      </c>
      <c r="W6">
        <v>0</v>
      </c>
    </row>
    <row r="7" spans="1:23" x14ac:dyDescent="0.3">
      <c r="A7" s="1">
        <v>44175</v>
      </c>
      <c r="B7" s="2" t="s">
        <v>8</v>
      </c>
      <c r="C7">
        <v>25</v>
      </c>
      <c r="D7">
        <v>139</v>
      </c>
      <c r="E7">
        <v>16</v>
      </c>
      <c r="F7">
        <v>591</v>
      </c>
      <c r="G7">
        <v>5823</v>
      </c>
      <c r="H7">
        <v>27</v>
      </c>
      <c r="I7">
        <v>4</v>
      </c>
      <c r="J7">
        <v>109134</v>
      </c>
      <c r="K7">
        <v>72849</v>
      </c>
      <c r="L7">
        <v>137</v>
      </c>
      <c r="M7">
        <v>-20</v>
      </c>
      <c r="N7">
        <v>23</v>
      </c>
      <c r="O7">
        <v>4</v>
      </c>
      <c r="P7">
        <v>964</v>
      </c>
      <c r="Q7">
        <v>108</v>
      </c>
      <c r="R7">
        <v>0.96615905245346867</v>
      </c>
      <c r="S7">
        <v>43</v>
      </c>
      <c r="T7" t="s">
        <v>374</v>
      </c>
      <c r="U7">
        <v>1072</v>
      </c>
      <c r="V7">
        <v>2.3320895522388099E-2</v>
      </c>
      <c r="W7">
        <v>2</v>
      </c>
    </row>
    <row r="8" spans="1:23" x14ac:dyDescent="0.3">
      <c r="A8" s="1">
        <v>44176</v>
      </c>
      <c r="B8" s="2" t="s">
        <v>8</v>
      </c>
      <c r="C8">
        <v>19</v>
      </c>
      <c r="D8">
        <v>139</v>
      </c>
      <c r="E8">
        <v>25</v>
      </c>
      <c r="F8">
        <v>571</v>
      </c>
      <c r="G8">
        <v>5866</v>
      </c>
      <c r="H8">
        <v>23</v>
      </c>
      <c r="I8">
        <v>4</v>
      </c>
      <c r="J8">
        <v>110098</v>
      </c>
      <c r="K8">
        <v>72957</v>
      </c>
      <c r="L8">
        <v>139</v>
      </c>
      <c r="M8">
        <v>-26</v>
      </c>
      <c r="N8">
        <v>25</v>
      </c>
      <c r="O8">
        <v>4</v>
      </c>
      <c r="P8">
        <v>1013</v>
      </c>
      <c r="Q8">
        <v>121</v>
      </c>
      <c r="R8">
        <v>0.95446584938704027</v>
      </c>
      <c r="S8">
        <v>45</v>
      </c>
      <c r="T8" t="s">
        <v>375</v>
      </c>
      <c r="U8">
        <v>1134</v>
      </c>
      <c r="V8">
        <v>1.67548500881834E-2</v>
      </c>
      <c r="W8">
        <v>0</v>
      </c>
    </row>
    <row r="9" spans="1:23" x14ac:dyDescent="0.3">
      <c r="A9" s="1">
        <v>44177</v>
      </c>
      <c r="B9" s="2" t="s">
        <v>8</v>
      </c>
      <c r="C9">
        <v>23</v>
      </c>
      <c r="D9">
        <v>139</v>
      </c>
      <c r="E9">
        <v>18</v>
      </c>
      <c r="F9">
        <v>545</v>
      </c>
      <c r="G9">
        <v>5911</v>
      </c>
      <c r="H9">
        <v>25</v>
      </c>
      <c r="I9">
        <v>4</v>
      </c>
      <c r="J9">
        <v>111111</v>
      </c>
      <c r="K9">
        <v>73078</v>
      </c>
      <c r="L9">
        <v>139</v>
      </c>
      <c r="M9">
        <v>-47</v>
      </c>
      <c r="N9">
        <v>22</v>
      </c>
      <c r="O9">
        <v>4</v>
      </c>
      <c r="P9">
        <v>924</v>
      </c>
      <c r="Q9">
        <v>46</v>
      </c>
      <c r="R9">
        <v>0.91376146788990831</v>
      </c>
      <c r="S9">
        <v>70</v>
      </c>
      <c r="T9" t="s">
        <v>376</v>
      </c>
      <c r="U9">
        <v>970</v>
      </c>
      <c r="V9">
        <v>2.3711340206185601E-2</v>
      </c>
      <c r="W9">
        <v>0</v>
      </c>
    </row>
    <row r="10" spans="1:23" x14ac:dyDescent="0.3">
      <c r="A10" s="1">
        <v>44178</v>
      </c>
      <c r="B10" s="2" t="s">
        <v>8</v>
      </c>
      <c r="C10">
        <v>20</v>
      </c>
      <c r="D10">
        <v>139</v>
      </c>
      <c r="E10">
        <v>24</v>
      </c>
      <c r="F10">
        <v>498</v>
      </c>
      <c r="G10">
        <v>5981</v>
      </c>
      <c r="H10">
        <v>22</v>
      </c>
      <c r="I10">
        <v>4</v>
      </c>
      <c r="J10">
        <v>112035</v>
      </c>
      <c r="K10">
        <v>73124</v>
      </c>
      <c r="L10">
        <v>139</v>
      </c>
      <c r="M10">
        <v>-12</v>
      </c>
      <c r="N10">
        <v>21</v>
      </c>
      <c r="O10">
        <v>6</v>
      </c>
      <c r="P10">
        <v>980</v>
      </c>
      <c r="Q10">
        <v>43</v>
      </c>
      <c r="R10">
        <v>0.97590361445783136</v>
      </c>
      <c r="S10">
        <v>32</v>
      </c>
      <c r="T10" t="s">
        <v>377</v>
      </c>
      <c r="U10">
        <v>1023</v>
      </c>
      <c r="V10">
        <v>1.9550342130987299E-2</v>
      </c>
      <c r="W10">
        <v>0</v>
      </c>
    </row>
    <row r="11" spans="1:23" x14ac:dyDescent="0.3">
      <c r="A11" s="1">
        <v>44179</v>
      </c>
      <c r="B11" s="2" t="s">
        <v>8</v>
      </c>
      <c r="C11">
        <v>13</v>
      </c>
      <c r="D11">
        <v>140</v>
      </c>
      <c r="E11">
        <v>18</v>
      </c>
      <c r="F11">
        <v>486</v>
      </c>
      <c r="G11">
        <v>6013</v>
      </c>
      <c r="H11">
        <v>21</v>
      </c>
      <c r="I11">
        <v>6</v>
      </c>
      <c r="J11">
        <v>113015</v>
      </c>
      <c r="K11">
        <v>73167</v>
      </c>
      <c r="L11">
        <v>139</v>
      </c>
      <c r="M11">
        <v>-16</v>
      </c>
      <c r="N11">
        <v>20</v>
      </c>
      <c r="O11">
        <v>6</v>
      </c>
      <c r="P11">
        <v>795</v>
      </c>
      <c r="Q11">
        <v>112</v>
      </c>
      <c r="R11">
        <v>0.96707818930041156</v>
      </c>
      <c r="S11">
        <v>28</v>
      </c>
      <c r="T11" t="s">
        <v>378</v>
      </c>
      <c r="U11">
        <v>907</v>
      </c>
      <c r="V11">
        <v>1.4332965821389199E-2</v>
      </c>
      <c r="W11">
        <v>1</v>
      </c>
    </row>
    <row r="12" spans="1:23" x14ac:dyDescent="0.3">
      <c r="A12" s="1">
        <v>44180</v>
      </c>
      <c r="B12" s="2" t="s">
        <v>8</v>
      </c>
      <c r="C12">
        <v>33</v>
      </c>
      <c r="D12">
        <v>140</v>
      </c>
      <c r="E12">
        <v>10</v>
      </c>
      <c r="F12">
        <v>470</v>
      </c>
      <c r="G12">
        <v>6041</v>
      </c>
      <c r="H12">
        <v>20</v>
      </c>
      <c r="I12">
        <v>6</v>
      </c>
      <c r="J12">
        <v>113810</v>
      </c>
      <c r="K12">
        <v>73279</v>
      </c>
      <c r="L12">
        <v>140</v>
      </c>
      <c r="M12">
        <v>-8</v>
      </c>
      <c r="N12">
        <v>18</v>
      </c>
      <c r="O12">
        <v>6</v>
      </c>
      <c r="P12">
        <v>804</v>
      </c>
      <c r="Q12">
        <v>116</v>
      </c>
      <c r="R12">
        <v>0.98297872340425529</v>
      </c>
      <c r="S12">
        <v>41</v>
      </c>
      <c r="T12" t="s">
        <v>379</v>
      </c>
      <c r="U12">
        <v>920</v>
      </c>
      <c r="V12">
        <v>3.5869565217391298E-2</v>
      </c>
      <c r="W12">
        <v>0</v>
      </c>
    </row>
    <row r="13" spans="1:23" x14ac:dyDescent="0.3">
      <c r="A13" s="1">
        <v>44181</v>
      </c>
      <c r="B13" s="2" t="s">
        <v>8</v>
      </c>
      <c r="C13">
        <v>23</v>
      </c>
      <c r="D13">
        <v>141</v>
      </c>
      <c r="E13">
        <v>34</v>
      </c>
      <c r="F13">
        <v>462</v>
      </c>
      <c r="G13">
        <v>6082</v>
      </c>
      <c r="H13">
        <v>18</v>
      </c>
      <c r="I13">
        <v>6</v>
      </c>
      <c r="J13">
        <v>114614</v>
      </c>
      <c r="K13">
        <v>73395</v>
      </c>
      <c r="L13">
        <v>140</v>
      </c>
      <c r="M13">
        <v>-29</v>
      </c>
      <c r="N13">
        <v>18</v>
      </c>
      <c r="O13">
        <v>5</v>
      </c>
      <c r="P13">
        <v>990</v>
      </c>
      <c r="Q13">
        <v>120</v>
      </c>
      <c r="R13">
        <v>0.93722943722943719</v>
      </c>
      <c r="S13">
        <v>51</v>
      </c>
      <c r="T13" t="s">
        <v>380</v>
      </c>
      <c r="U13">
        <v>1110</v>
      </c>
      <c r="V13">
        <v>2.07207207207207E-2</v>
      </c>
      <c r="W13">
        <v>1</v>
      </c>
    </row>
    <row r="14" spans="1:23" x14ac:dyDescent="0.3">
      <c r="A14" s="1">
        <v>44182</v>
      </c>
      <c r="B14" s="2" t="s">
        <v>8</v>
      </c>
      <c r="C14">
        <v>13</v>
      </c>
      <c r="D14">
        <v>141</v>
      </c>
      <c r="E14">
        <v>15</v>
      </c>
      <c r="F14">
        <v>433</v>
      </c>
      <c r="G14">
        <v>6133</v>
      </c>
      <c r="H14">
        <v>18</v>
      </c>
      <c r="I14">
        <v>5</v>
      </c>
      <c r="J14">
        <v>115604</v>
      </c>
      <c r="K14">
        <v>73515</v>
      </c>
      <c r="L14">
        <v>141</v>
      </c>
      <c r="M14">
        <v>-32</v>
      </c>
      <c r="N14">
        <v>17</v>
      </c>
      <c r="O14">
        <v>6</v>
      </c>
      <c r="P14">
        <v>616</v>
      </c>
      <c r="Q14">
        <v>125</v>
      </c>
      <c r="R14">
        <v>0.92609699769053122</v>
      </c>
      <c r="S14">
        <v>44</v>
      </c>
      <c r="T14" t="s">
        <v>381</v>
      </c>
      <c r="U14">
        <v>741</v>
      </c>
      <c r="V14">
        <v>1.7543859649122799E-2</v>
      </c>
      <c r="W14">
        <v>0</v>
      </c>
    </row>
    <row r="15" spans="1:23" x14ac:dyDescent="0.3">
      <c r="A15" s="1">
        <v>44183</v>
      </c>
      <c r="B15" s="2" t="s">
        <v>8</v>
      </c>
      <c r="C15">
        <v>31</v>
      </c>
      <c r="D15">
        <v>141</v>
      </c>
      <c r="E15">
        <v>7</v>
      </c>
      <c r="F15">
        <v>401</v>
      </c>
      <c r="G15">
        <v>6177</v>
      </c>
      <c r="H15">
        <v>17</v>
      </c>
      <c r="I15">
        <v>6</v>
      </c>
      <c r="J15">
        <v>116220</v>
      </c>
      <c r="K15">
        <v>73640</v>
      </c>
      <c r="L15">
        <v>141</v>
      </c>
      <c r="M15">
        <v>3</v>
      </c>
      <c r="N15">
        <v>12</v>
      </c>
      <c r="O15">
        <v>7</v>
      </c>
      <c r="P15">
        <v>778</v>
      </c>
      <c r="Q15">
        <v>132</v>
      </c>
      <c r="R15">
        <v>1.0074812967581048</v>
      </c>
      <c r="S15">
        <v>28</v>
      </c>
      <c r="T15" t="s">
        <v>382</v>
      </c>
      <c r="U15">
        <v>910</v>
      </c>
      <c r="V15">
        <v>3.4065934065934098E-2</v>
      </c>
      <c r="W15">
        <v>0</v>
      </c>
    </row>
    <row r="16" spans="1:23" x14ac:dyDescent="0.3">
      <c r="A16" s="1">
        <v>44184</v>
      </c>
      <c r="B16" s="2" t="s">
        <v>8</v>
      </c>
      <c r="C16">
        <v>29</v>
      </c>
      <c r="D16">
        <v>141</v>
      </c>
      <c r="E16">
        <v>32</v>
      </c>
      <c r="F16">
        <v>404</v>
      </c>
      <c r="G16">
        <v>6205</v>
      </c>
      <c r="H16">
        <v>12</v>
      </c>
      <c r="I16">
        <v>7</v>
      </c>
      <c r="J16">
        <v>116998</v>
      </c>
      <c r="K16">
        <v>73772</v>
      </c>
      <c r="L16">
        <v>141</v>
      </c>
      <c r="M16">
        <v>-33</v>
      </c>
      <c r="N16">
        <v>13</v>
      </c>
      <c r="O16">
        <v>6</v>
      </c>
      <c r="P16">
        <v>919</v>
      </c>
      <c r="Q16">
        <v>84</v>
      </c>
      <c r="R16">
        <v>0.91831683168316836</v>
      </c>
      <c r="S16">
        <v>62</v>
      </c>
      <c r="T16" t="s">
        <v>383</v>
      </c>
      <c r="U16">
        <v>1003</v>
      </c>
      <c r="V16">
        <v>2.8913260219341999E-2</v>
      </c>
      <c r="W16">
        <v>0</v>
      </c>
    </row>
    <row r="17" spans="1:23" x14ac:dyDescent="0.3">
      <c r="A17" s="1">
        <v>44185</v>
      </c>
      <c r="B17" s="2" t="s">
        <v>8</v>
      </c>
      <c r="C17">
        <v>17</v>
      </c>
      <c r="D17">
        <v>141</v>
      </c>
      <c r="E17">
        <v>26</v>
      </c>
      <c r="F17">
        <v>371</v>
      </c>
      <c r="G17">
        <v>6267</v>
      </c>
      <c r="H17">
        <v>13</v>
      </c>
      <c r="I17">
        <v>6</v>
      </c>
      <c r="J17">
        <v>117917</v>
      </c>
      <c r="K17">
        <v>73856</v>
      </c>
      <c r="L17">
        <v>141</v>
      </c>
      <c r="M17">
        <v>-2</v>
      </c>
      <c r="N17">
        <v>14</v>
      </c>
      <c r="O17">
        <v>6</v>
      </c>
      <c r="P17">
        <v>507</v>
      </c>
      <c r="Q17">
        <v>61</v>
      </c>
      <c r="R17">
        <v>0.99460916442048519</v>
      </c>
      <c r="S17">
        <v>19</v>
      </c>
      <c r="T17" t="s">
        <v>384</v>
      </c>
      <c r="U17">
        <v>568</v>
      </c>
      <c r="V17">
        <v>2.9929577464788699E-2</v>
      </c>
      <c r="W17">
        <v>0</v>
      </c>
    </row>
    <row r="18" spans="1:23" x14ac:dyDescent="0.3">
      <c r="A18" s="1">
        <v>44186</v>
      </c>
      <c r="B18" s="2" t="s">
        <v>8</v>
      </c>
      <c r="C18">
        <v>17</v>
      </c>
      <c r="D18">
        <v>143</v>
      </c>
      <c r="E18">
        <v>17</v>
      </c>
      <c r="F18">
        <v>369</v>
      </c>
      <c r="G18">
        <v>6286</v>
      </c>
      <c r="H18">
        <v>14</v>
      </c>
      <c r="I18">
        <v>6</v>
      </c>
      <c r="J18">
        <v>118424</v>
      </c>
      <c r="K18">
        <v>73917</v>
      </c>
      <c r="L18">
        <v>141</v>
      </c>
      <c r="M18">
        <v>-9</v>
      </c>
      <c r="N18">
        <v>14</v>
      </c>
      <c r="O18">
        <v>4</v>
      </c>
      <c r="P18">
        <v>318</v>
      </c>
      <c r="Q18">
        <v>110</v>
      </c>
      <c r="R18">
        <v>0.97560975609756095</v>
      </c>
      <c r="S18">
        <v>24</v>
      </c>
      <c r="T18" t="s">
        <v>385</v>
      </c>
      <c r="U18">
        <v>428</v>
      </c>
      <c r="V18">
        <v>3.9719626168224297E-2</v>
      </c>
      <c r="W18">
        <v>2</v>
      </c>
    </row>
    <row r="19" spans="1:23" x14ac:dyDescent="0.3">
      <c r="A19" s="1">
        <v>44187</v>
      </c>
      <c r="B19" s="2" t="s">
        <v>8</v>
      </c>
      <c r="C19">
        <v>26</v>
      </c>
      <c r="D19">
        <v>144</v>
      </c>
      <c r="E19">
        <v>14</v>
      </c>
      <c r="F19">
        <v>360</v>
      </c>
      <c r="G19">
        <v>6310</v>
      </c>
      <c r="H19">
        <v>14</v>
      </c>
      <c r="I19">
        <v>4</v>
      </c>
      <c r="J19">
        <v>118742</v>
      </c>
      <c r="K19">
        <v>74027</v>
      </c>
      <c r="L19">
        <v>143</v>
      </c>
      <c r="M19">
        <v>-4</v>
      </c>
      <c r="N19">
        <v>9</v>
      </c>
      <c r="O19">
        <v>4</v>
      </c>
      <c r="P19">
        <v>844</v>
      </c>
      <c r="Q19">
        <v>106</v>
      </c>
      <c r="R19">
        <v>0.98888888888888893</v>
      </c>
      <c r="S19">
        <v>29</v>
      </c>
      <c r="T19" t="s">
        <v>386</v>
      </c>
      <c r="U19">
        <v>950</v>
      </c>
      <c r="V19">
        <v>2.7368421052631601E-2</v>
      </c>
      <c r="W19">
        <v>1</v>
      </c>
    </row>
    <row r="20" spans="1:23" x14ac:dyDescent="0.3">
      <c r="A20" s="1">
        <v>44188</v>
      </c>
      <c r="B20" s="2" t="s">
        <v>8</v>
      </c>
      <c r="C20">
        <v>35</v>
      </c>
      <c r="D20">
        <v>144</v>
      </c>
      <c r="E20">
        <v>26</v>
      </c>
      <c r="F20">
        <v>356</v>
      </c>
      <c r="G20">
        <v>6339</v>
      </c>
      <c r="H20">
        <v>9</v>
      </c>
      <c r="I20">
        <v>4</v>
      </c>
      <c r="J20">
        <v>119586</v>
      </c>
      <c r="K20">
        <v>74133</v>
      </c>
      <c r="L20">
        <v>144</v>
      </c>
      <c r="M20">
        <v>14</v>
      </c>
      <c r="N20">
        <v>10</v>
      </c>
      <c r="O20">
        <v>3</v>
      </c>
      <c r="P20">
        <v>1206</v>
      </c>
      <c r="Q20">
        <v>95</v>
      </c>
      <c r="R20">
        <v>1.0393258426966292</v>
      </c>
      <c r="S20">
        <v>21</v>
      </c>
      <c r="T20" t="s">
        <v>367</v>
      </c>
      <c r="U20">
        <v>1301</v>
      </c>
      <c r="V20">
        <v>2.6902382782475E-2</v>
      </c>
      <c r="W20">
        <v>0</v>
      </c>
    </row>
    <row r="21" spans="1:23" x14ac:dyDescent="0.3">
      <c r="A21" s="1">
        <v>44189</v>
      </c>
      <c r="B21" s="2" t="s">
        <v>8</v>
      </c>
      <c r="C21">
        <v>28</v>
      </c>
      <c r="D21">
        <v>144</v>
      </c>
      <c r="E21">
        <v>34</v>
      </c>
      <c r="F21">
        <v>370</v>
      </c>
      <c r="G21">
        <v>6360</v>
      </c>
      <c r="H21">
        <v>10</v>
      </c>
      <c r="I21">
        <v>3</v>
      </c>
      <c r="J21">
        <v>120792</v>
      </c>
      <c r="K21">
        <v>74228</v>
      </c>
      <c r="L21">
        <v>144</v>
      </c>
      <c r="M21">
        <v>12</v>
      </c>
      <c r="N21">
        <v>10</v>
      </c>
      <c r="O21">
        <v>3</v>
      </c>
      <c r="P21">
        <v>948</v>
      </c>
      <c r="Q21">
        <v>128</v>
      </c>
      <c r="R21">
        <v>1.0324324324324323</v>
      </c>
      <c r="S21">
        <v>16</v>
      </c>
      <c r="T21" t="s">
        <v>343</v>
      </c>
      <c r="U21">
        <v>1076</v>
      </c>
      <c r="V21">
        <v>2.60223048327138E-2</v>
      </c>
      <c r="W21">
        <v>0</v>
      </c>
    </row>
    <row r="22" spans="1:23" x14ac:dyDescent="0.3">
      <c r="A22" s="1">
        <v>44190</v>
      </c>
      <c r="B22" s="2" t="s">
        <v>8</v>
      </c>
      <c r="C22">
        <v>35</v>
      </c>
      <c r="D22">
        <v>144</v>
      </c>
      <c r="E22">
        <v>23</v>
      </c>
      <c r="F22">
        <v>382</v>
      </c>
      <c r="G22">
        <v>6376</v>
      </c>
      <c r="H22">
        <v>10</v>
      </c>
      <c r="I22">
        <v>3</v>
      </c>
      <c r="J22">
        <v>121740</v>
      </c>
      <c r="K22">
        <v>74356</v>
      </c>
      <c r="L22">
        <v>144</v>
      </c>
      <c r="M22">
        <v>-1</v>
      </c>
      <c r="N22">
        <v>10</v>
      </c>
      <c r="O22">
        <v>4</v>
      </c>
      <c r="P22">
        <v>404</v>
      </c>
      <c r="Q22">
        <v>39</v>
      </c>
      <c r="R22">
        <v>0.99738219895287961</v>
      </c>
      <c r="S22">
        <v>36</v>
      </c>
      <c r="T22" t="s">
        <v>344</v>
      </c>
      <c r="U22">
        <v>443</v>
      </c>
      <c r="V22">
        <v>7.9006772009029405E-2</v>
      </c>
      <c r="W22">
        <v>0</v>
      </c>
    </row>
    <row r="23" spans="1:23" x14ac:dyDescent="0.3">
      <c r="A23" s="1">
        <v>44191</v>
      </c>
      <c r="B23" s="2" t="s">
        <v>8</v>
      </c>
      <c r="C23">
        <v>11</v>
      </c>
      <c r="D23">
        <v>145</v>
      </c>
      <c r="E23">
        <v>33</v>
      </c>
      <c r="F23">
        <v>381</v>
      </c>
      <c r="G23">
        <v>6412</v>
      </c>
      <c r="H23">
        <v>10</v>
      </c>
      <c r="I23">
        <v>4</v>
      </c>
      <c r="J23">
        <v>122144</v>
      </c>
      <c r="K23">
        <v>74395</v>
      </c>
      <c r="L23">
        <v>144</v>
      </c>
      <c r="M23">
        <v>-7</v>
      </c>
      <c r="N23">
        <v>9</v>
      </c>
      <c r="O23">
        <v>4</v>
      </c>
      <c r="P23">
        <v>316</v>
      </c>
      <c r="Q23">
        <v>60</v>
      </c>
      <c r="R23">
        <v>0.98162729658792647</v>
      </c>
      <c r="S23">
        <v>17</v>
      </c>
      <c r="T23" t="s">
        <v>345</v>
      </c>
      <c r="U23">
        <v>376</v>
      </c>
      <c r="V23">
        <v>2.9255319148936199E-2</v>
      </c>
      <c r="W23">
        <v>1</v>
      </c>
    </row>
    <row r="24" spans="1:23" x14ac:dyDescent="0.3">
      <c r="A24" s="1">
        <v>44192</v>
      </c>
      <c r="B24" s="2" t="s">
        <v>8</v>
      </c>
      <c r="C24">
        <v>43</v>
      </c>
      <c r="D24">
        <v>145</v>
      </c>
      <c r="E24">
        <v>7</v>
      </c>
      <c r="F24">
        <v>374</v>
      </c>
      <c r="G24">
        <v>6429</v>
      </c>
      <c r="H24">
        <v>9</v>
      </c>
      <c r="I24">
        <v>4</v>
      </c>
      <c r="J24">
        <v>122460</v>
      </c>
      <c r="K24">
        <v>74455</v>
      </c>
      <c r="L24">
        <v>145</v>
      </c>
      <c r="M24">
        <v>23</v>
      </c>
      <c r="N24">
        <v>11</v>
      </c>
      <c r="O24">
        <v>3</v>
      </c>
      <c r="P24">
        <v>611</v>
      </c>
      <c r="Q24">
        <v>64</v>
      </c>
      <c r="R24">
        <v>1.0614973262032086</v>
      </c>
      <c r="S24">
        <v>20</v>
      </c>
      <c r="T24" t="s">
        <v>346</v>
      </c>
      <c r="U24">
        <v>675</v>
      </c>
      <c r="V24">
        <v>6.3703703703703707E-2</v>
      </c>
      <c r="W24">
        <v>0</v>
      </c>
    </row>
    <row r="25" spans="1:23" x14ac:dyDescent="0.3">
      <c r="A25" s="1">
        <v>44193</v>
      </c>
      <c r="B25" s="2" t="s">
        <v>8</v>
      </c>
      <c r="C25">
        <v>16</v>
      </c>
      <c r="D25">
        <v>145</v>
      </c>
      <c r="E25">
        <v>41</v>
      </c>
      <c r="F25">
        <v>397</v>
      </c>
      <c r="G25">
        <v>6449</v>
      </c>
      <c r="H25">
        <v>11</v>
      </c>
      <c r="I25">
        <v>3</v>
      </c>
      <c r="J25">
        <v>123071</v>
      </c>
      <c r="K25">
        <v>74519</v>
      </c>
      <c r="L25">
        <v>145</v>
      </c>
      <c r="M25">
        <v>0</v>
      </c>
      <c r="N25">
        <v>10</v>
      </c>
      <c r="O25">
        <v>3</v>
      </c>
      <c r="P25">
        <v>389</v>
      </c>
      <c r="Q25">
        <v>107</v>
      </c>
      <c r="R25">
        <v>1</v>
      </c>
      <c r="S25">
        <v>16</v>
      </c>
      <c r="T25" t="s">
        <v>347</v>
      </c>
      <c r="U25">
        <v>496</v>
      </c>
      <c r="V25">
        <v>3.2258064516128997E-2</v>
      </c>
      <c r="W25">
        <v>0</v>
      </c>
    </row>
    <row r="26" spans="1:23" x14ac:dyDescent="0.3">
      <c r="A26" s="1">
        <v>44194</v>
      </c>
      <c r="B26" s="2" t="s">
        <v>8</v>
      </c>
      <c r="C26">
        <v>50</v>
      </c>
      <c r="D26">
        <v>145</v>
      </c>
      <c r="E26">
        <v>13</v>
      </c>
      <c r="F26">
        <v>397</v>
      </c>
      <c r="G26">
        <v>6465</v>
      </c>
      <c r="H26">
        <v>10</v>
      </c>
      <c r="I26">
        <v>3</v>
      </c>
      <c r="J26">
        <v>123460</v>
      </c>
      <c r="K26">
        <v>74626</v>
      </c>
      <c r="L26">
        <v>145</v>
      </c>
      <c r="M26">
        <v>33</v>
      </c>
      <c r="N26">
        <v>12</v>
      </c>
      <c r="O26">
        <v>2</v>
      </c>
      <c r="P26">
        <v>784</v>
      </c>
      <c r="Q26">
        <v>111</v>
      </c>
      <c r="R26">
        <v>1.0831234256926952</v>
      </c>
      <c r="S26">
        <v>17</v>
      </c>
      <c r="T26" t="s">
        <v>348</v>
      </c>
      <c r="U26">
        <v>895</v>
      </c>
      <c r="V26">
        <v>5.5865921787709501E-2</v>
      </c>
      <c r="W26">
        <v>0</v>
      </c>
    </row>
    <row r="27" spans="1:23" x14ac:dyDescent="0.3">
      <c r="A27" s="1">
        <v>44195</v>
      </c>
      <c r="B27" s="2" t="s">
        <v>8</v>
      </c>
      <c r="C27">
        <v>49</v>
      </c>
      <c r="D27">
        <v>145</v>
      </c>
      <c r="E27">
        <v>50</v>
      </c>
      <c r="F27">
        <v>430</v>
      </c>
      <c r="G27">
        <v>6482</v>
      </c>
      <c r="H27">
        <v>12</v>
      </c>
      <c r="I27">
        <v>2</v>
      </c>
      <c r="J27">
        <v>124244</v>
      </c>
      <c r="K27">
        <v>74737</v>
      </c>
      <c r="L27">
        <v>145</v>
      </c>
      <c r="M27">
        <v>14</v>
      </c>
      <c r="N27">
        <v>16</v>
      </c>
      <c r="O27">
        <v>2</v>
      </c>
      <c r="P27">
        <v>784</v>
      </c>
      <c r="Q27">
        <v>106</v>
      </c>
      <c r="R27">
        <v>1.0325581395348837</v>
      </c>
      <c r="S27">
        <v>35</v>
      </c>
      <c r="T27" t="s">
        <v>349</v>
      </c>
      <c r="U27">
        <v>890</v>
      </c>
      <c r="V27">
        <v>5.5056179775280899E-2</v>
      </c>
      <c r="W27">
        <v>0</v>
      </c>
    </row>
    <row r="28" spans="1:23" x14ac:dyDescent="0.3">
      <c r="A28" s="1">
        <v>44196</v>
      </c>
      <c r="B28" s="2" t="s">
        <v>8</v>
      </c>
      <c r="C28">
        <v>47</v>
      </c>
      <c r="D28">
        <v>145</v>
      </c>
      <c r="E28">
        <v>45</v>
      </c>
      <c r="F28">
        <v>444</v>
      </c>
      <c r="G28">
        <v>6517</v>
      </c>
      <c r="H28">
        <v>16</v>
      </c>
      <c r="I28">
        <v>2</v>
      </c>
      <c r="J28">
        <v>125028</v>
      </c>
      <c r="K28">
        <v>74843</v>
      </c>
      <c r="L28">
        <v>145</v>
      </c>
      <c r="M28">
        <v>19</v>
      </c>
      <c r="N28">
        <v>13</v>
      </c>
      <c r="O28">
        <v>2</v>
      </c>
      <c r="P28">
        <v>631</v>
      </c>
      <c r="Q28">
        <v>115</v>
      </c>
      <c r="R28">
        <v>1.0427927927927927</v>
      </c>
      <c r="S28">
        <v>28</v>
      </c>
      <c r="T28" t="s">
        <v>350</v>
      </c>
      <c r="U28">
        <v>746</v>
      </c>
      <c r="V28">
        <v>6.3002680965147398E-2</v>
      </c>
      <c r="W28">
        <v>0</v>
      </c>
    </row>
    <row r="29" spans="1:23" x14ac:dyDescent="0.3">
      <c r="A29" s="1">
        <v>44197</v>
      </c>
      <c r="B29" s="2" t="s">
        <v>8</v>
      </c>
      <c r="C29">
        <v>35</v>
      </c>
      <c r="D29">
        <v>145</v>
      </c>
      <c r="E29">
        <v>32</v>
      </c>
      <c r="F29">
        <v>463</v>
      </c>
      <c r="G29">
        <v>6545</v>
      </c>
      <c r="H29">
        <v>13</v>
      </c>
      <c r="I29">
        <v>2</v>
      </c>
      <c r="J29">
        <v>125659</v>
      </c>
      <c r="K29">
        <v>74958</v>
      </c>
      <c r="L29">
        <v>145</v>
      </c>
      <c r="M29">
        <v>12</v>
      </c>
      <c r="N29">
        <v>14</v>
      </c>
      <c r="O29">
        <v>2</v>
      </c>
      <c r="P29">
        <v>537</v>
      </c>
      <c r="Q29">
        <v>46</v>
      </c>
      <c r="R29">
        <v>1.0259179265658747</v>
      </c>
      <c r="S29">
        <v>23</v>
      </c>
      <c r="T29" t="s">
        <v>351</v>
      </c>
      <c r="U29">
        <v>583</v>
      </c>
      <c r="V29">
        <v>6.0034305317324198E-2</v>
      </c>
      <c r="W29">
        <v>0</v>
      </c>
    </row>
    <row r="30" spans="1:23" x14ac:dyDescent="0.3">
      <c r="A30" s="1">
        <v>44198</v>
      </c>
      <c r="B30" s="2" t="s">
        <v>8</v>
      </c>
      <c r="C30">
        <v>33</v>
      </c>
      <c r="D30">
        <v>145</v>
      </c>
      <c r="E30">
        <v>39</v>
      </c>
      <c r="F30">
        <v>475</v>
      </c>
      <c r="G30">
        <v>6568</v>
      </c>
      <c r="H30">
        <v>14</v>
      </c>
      <c r="I30">
        <v>2</v>
      </c>
      <c r="J30">
        <v>126196</v>
      </c>
      <c r="K30">
        <v>75004</v>
      </c>
      <c r="L30">
        <v>145</v>
      </c>
      <c r="M30">
        <v>8</v>
      </c>
      <c r="N30">
        <v>16</v>
      </c>
      <c r="O30">
        <v>2</v>
      </c>
      <c r="P30">
        <v>245</v>
      </c>
      <c r="Q30">
        <v>70</v>
      </c>
      <c r="R30">
        <v>1.016842105263158</v>
      </c>
      <c r="S30">
        <v>25</v>
      </c>
      <c r="T30" t="s">
        <v>352</v>
      </c>
      <c r="U30">
        <v>315</v>
      </c>
      <c r="V30">
        <v>0.104761904761905</v>
      </c>
      <c r="W30">
        <v>0</v>
      </c>
    </row>
    <row r="31" spans="1:23" x14ac:dyDescent="0.3">
      <c r="A31" s="1">
        <v>44199</v>
      </c>
      <c r="B31" s="2" t="s">
        <v>8</v>
      </c>
      <c r="C31">
        <v>60</v>
      </c>
      <c r="D31">
        <v>145</v>
      </c>
      <c r="E31">
        <v>29</v>
      </c>
      <c r="F31">
        <v>483</v>
      </c>
      <c r="G31">
        <v>6593</v>
      </c>
      <c r="H31">
        <v>16</v>
      </c>
      <c r="I31">
        <v>2</v>
      </c>
      <c r="J31">
        <v>126441</v>
      </c>
      <c r="K31">
        <v>75074</v>
      </c>
      <c r="L31">
        <v>145</v>
      </c>
      <c r="M31">
        <v>24</v>
      </c>
      <c r="N31">
        <v>17</v>
      </c>
      <c r="O31">
        <v>0</v>
      </c>
      <c r="P31">
        <v>884</v>
      </c>
      <c r="Q31">
        <v>84</v>
      </c>
      <c r="R31">
        <v>1.0496894409937889</v>
      </c>
      <c r="S31">
        <v>36</v>
      </c>
      <c r="T31" t="s">
        <v>353</v>
      </c>
      <c r="U31">
        <v>968</v>
      </c>
      <c r="V31">
        <v>6.1983471074380202E-2</v>
      </c>
      <c r="W31">
        <v>0</v>
      </c>
    </row>
    <row r="32" spans="1:23" x14ac:dyDescent="0.3">
      <c r="A32" s="1">
        <v>44200</v>
      </c>
      <c r="B32" s="2" t="s">
        <v>8</v>
      </c>
      <c r="C32">
        <v>45</v>
      </c>
      <c r="D32">
        <v>145</v>
      </c>
      <c r="E32">
        <v>57</v>
      </c>
      <c r="F32">
        <v>507</v>
      </c>
      <c r="G32">
        <v>6629</v>
      </c>
      <c r="H32">
        <v>17</v>
      </c>
      <c r="I32">
        <v>0</v>
      </c>
      <c r="J32">
        <v>127325</v>
      </c>
      <c r="K32">
        <v>75158</v>
      </c>
      <c r="L32">
        <v>145</v>
      </c>
      <c r="M32">
        <v>24</v>
      </c>
      <c r="N32">
        <v>17</v>
      </c>
      <c r="O32">
        <v>0</v>
      </c>
      <c r="P32">
        <v>987</v>
      </c>
      <c r="Q32">
        <v>164</v>
      </c>
      <c r="R32">
        <v>1.0473372781065089</v>
      </c>
      <c r="S32">
        <v>20</v>
      </c>
      <c r="T32" t="s">
        <v>354</v>
      </c>
      <c r="U32">
        <v>1151</v>
      </c>
      <c r="V32">
        <v>3.90964378801043E-2</v>
      </c>
      <c r="W32">
        <v>0</v>
      </c>
    </row>
    <row r="33" spans="1:23" x14ac:dyDescent="0.3">
      <c r="A33" s="1">
        <v>44201</v>
      </c>
      <c r="B33" s="2" t="s">
        <v>8</v>
      </c>
      <c r="C33">
        <v>63</v>
      </c>
      <c r="D33">
        <v>145</v>
      </c>
      <c r="E33">
        <v>46</v>
      </c>
      <c r="F33">
        <v>531</v>
      </c>
      <c r="G33">
        <v>6649</v>
      </c>
      <c r="H33">
        <v>17</v>
      </c>
      <c r="I33">
        <v>0</v>
      </c>
      <c r="J33">
        <v>128312</v>
      </c>
      <c r="K33">
        <v>75322</v>
      </c>
      <c r="L33">
        <v>145</v>
      </c>
      <c r="M33">
        <v>44</v>
      </c>
      <c r="N33">
        <v>18</v>
      </c>
      <c r="O33">
        <v>0</v>
      </c>
      <c r="P33">
        <v>1014</v>
      </c>
      <c r="Q33">
        <v>124</v>
      </c>
      <c r="R33">
        <v>1.0828625235404896</v>
      </c>
      <c r="S33">
        <v>19</v>
      </c>
      <c r="T33" t="s">
        <v>355</v>
      </c>
      <c r="U33">
        <v>1138</v>
      </c>
      <c r="V33">
        <v>5.5360281195079103E-2</v>
      </c>
      <c r="W33">
        <v>0</v>
      </c>
    </row>
    <row r="34" spans="1:23" x14ac:dyDescent="0.3">
      <c r="A34" s="1">
        <v>44202</v>
      </c>
      <c r="B34" s="2" t="s">
        <v>8</v>
      </c>
      <c r="C34">
        <v>69</v>
      </c>
      <c r="D34">
        <v>145</v>
      </c>
      <c r="E34">
        <v>53</v>
      </c>
      <c r="F34">
        <v>575</v>
      </c>
      <c r="G34">
        <v>6668</v>
      </c>
      <c r="H34">
        <v>18</v>
      </c>
      <c r="I34">
        <v>0</v>
      </c>
      <c r="J34">
        <v>129326</v>
      </c>
      <c r="K34">
        <v>75446</v>
      </c>
      <c r="L34">
        <v>145</v>
      </c>
      <c r="M34">
        <v>44</v>
      </c>
      <c r="N34">
        <v>19</v>
      </c>
      <c r="O34">
        <v>0</v>
      </c>
      <c r="P34">
        <v>1179</v>
      </c>
      <c r="Q34">
        <v>72</v>
      </c>
      <c r="R34">
        <v>1.0765217391304347</v>
      </c>
      <c r="S34">
        <v>25</v>
      </c>
      <c r="T34" t="s">
        <v>356</v>
      </c>
      <c r="U34">
        <v>1251</v>
      </c>
      <c r="V34">
        <v>5.5155875299760203E-2</v>
      </c>
      <c r="W34">
        <v>0</v>
      </c>
    </row>
    <row r="35" spans="1:23" x14ac:dyDescent="0.3">
      <c r="A35" s="1">
        <v>44203</v>
      </c>
      <c r="B35" s="2" t="s">
        <v>8</v>
      </c>
      <c r="C35">
        <v>42</v>
      </c>
      <c r="D35">
        <v>145</v>
      </c>
      <c r="E35">
        <v>63</v>
      </c>
      <c r="F35">
        <v>619</v>
      </c>
      <c r="G35">
        <v>6693</v>
      </c>
      <c r="H35">
        <v>19</v>
      </c>
      <c r="I35">
        <v>0</v>
      </c>
      <c r="J35">
        <v>130505</v>
      </c>
      <c r="K35">
        <v>75518</v>
      </c>
      <c r="L35">
        <v>145</v>
      </c>
      <c r="M35">
        <v>7</v>
      </c>
      <c r="N35">
        <v>17</v>
      </c>
      <c r="O35">
        <v>0</v>
      </c>
      <c r="P35">
        <v>535</v>
      </c>
      <c r="Q35">
        <v>176</v>
      </c>
      <c r="R35">
        <v>1.0113085621970921</v>
      </c>
      <c r="S35">
        <v>35</v>
      </c>
      <c r="T35" t="s">
        <v>387</v>
      </c>
      <c r="U35">
        <v>711</v>
      </c>
      <c r="V35">
        <v>5.90717299578059E-2</v>
      </c>
      <c r="W35">
        <v>0</v>
      </c>
    </row>
    <row r="36" spans="1:23" x14ac:dyDescent="0.3">
      <c r="A36" s="1">
        <v>44204</v>
      </c>
      <c r="B36" s="2" t="s">
        <v>8</v>
      </c>
      <c r="C36">
        <v>96</v>
      </c>
      <c r="D36">
        <v>146</v>
      </c>
      <c r="E36">
        <v>34</v>
      </c>
      <c r="F36">
        <v>626</v>
      </c>
      <c r="G36">
        <v>6728</v>
      </c>
      <c r="H36">
        <v>17</v>
      </c>
      <c r="I36">
        <v>0</v>
      </c>
      <c r="J36">
        <v>131040</v>
      </c>
      <c r="K36">
        <v>75694</v>
      </c>
      <c r="L36">
        <v>145</v>
      </c>
      <c r="M36">
        <v>73</v>
      </c>
      <c r="N36">
        <v>18</v>
      </c>
      <c r="O36">
        <v>0</v>
      </c>
      <c r="P36">
        <v>791</v>
      </c>
      <c r="Q36">
        <v>281</v>
      </c>
      <c r="R36">
        <v>1.1166134185303513</v>
      </c>
      <c r="S36">
        <v>22</v>
      </c>
      <c r="T36" t="s">
        <v>398</v>
      </c>
      <c r="U36">
        <v>1072</v>
      </c>
      <c r="V36">
        <v>8.9552238805970102E-2</v>
      </c>
      <c r="W36">
        <v>1</v>
      </c>
    </row>
    <row r="37" spans="1:23" x14ac:dyDescent="0.3">
      <c r="A37" s="1">
        <v>44205</v>
      </c>
      <c r="B37" s="2" t="s">
        <v>8</v>
      </c>
      <c r="C37">
        <v>75</v>
      </c>
      <c r="D37">
        <v>146</v>
      </c>
      <c r="E37">
        <v>87</v>
      </c>
      <c r="F37">
        <v>699</v>
      </c>
      <c r="G37">
        <v>6750</v>
      </c>
      <c r="H37">
        <v>18</v>
      </c>
      <c r="I37">
        <v>0</v>
      </c>
      <c r="J37">
        <v>131831</v>
      </c>
      <c r="K37">
        <v>75975</v>
      </c>
      <c r="L37">
        <v>146</v>
      </c>
      <c r="M37">
        <v>52</v>
      </c>
      <c r="N37">
        <v>20</v>
      </c>
      <c r="O37">
        <v>2</v>
      </c>
      <c r="P37">
        <v>899</v>
      </c>
      <c r="Q37">
        <v>76</v>
      </c>
      <c r="R37">
        <v>1.0743919885550788</v>
      </c>
      <c r="S37">
        <v>23</v>
      </c>
      <c r="T37" t="s">
        <v>399</v>
      </c>
      <c r="U37">
        <v>975</v>
      </c>
      <c r="V37">
        <v>7.69230769230769E-2</v>
      </c>
      <c r="W37">
        <v>0</v>
      </c>
    </row>
    <row r="38" spans="1:23" x14ac:dyDescent="0.3">
      <c r="A38" s="1">
        <v>44206</v>
      </c>
      <c r="B38" s="2" t="s">
        <v>8</v>
      </c>
      <c r="C38">
        <v>57</v>
      </c>
      <c r="D38">
        <v>147</v>
      </c>
      <c r="E38">
        <v>71</v>
      </c>
      <c r="F38">
        <v>751</v>
      </c>
      <c r="G38">
        <v>6773</v>
      </c>
      <c r="H38">
        <v>20</v>
      </c>
      <c r="I38">
        <v>2</v>
      </c>
      <c r="J38">
        <v>132730</v>
      </c>
      <c r="K38">
        <v>76051</v>
      </c>
      <c r="L38">
        <v>146</v>
      </c>
      <c r="M38">
        <v>27</v>
      </c>
      <c r="N38">
        <v>21</v>
      </c>
      <c r="O38">
        <v>3</v>
      </c>
      <c r="P38">
        <v>922</v>
      </c>
      <c r="Q38">
        <v>59</v>
      </c>
      <c r="R38">
        <v>1.0359520639147803</v>
      </c>
      <c r="S38">
        <v>29</v>
      </c>
      <c r="T38" t="s">
        <v>400</v>
      </c>
      <c r="U38">
        <v>981</v>
      </c>
      <c r="V38">
        <v>5.8103975535168197E-2</v>
      </c>
      <c r="W38">
        <v>1</v>
      </c>
    </row>
    <row r="39" spans="1:23" x14ac:dyDescent="0.3">
      <c r="A39" s="1">
        <v>44207</v>
      </c>
      <c r="B39" s="2" t="s">
        <v>8</v>
      </c>
      <c r="C39">
        <v>47</v>
      </c>
      <c r="D39">
        <v>148</v>
      </c>
      <c r="E39">
        <v>50</v>
      </c>
      <c r="F39">
        <v>778</v>
      </c>
      <c r="G39">
        <v>6802</v>
      </c>
      <c r="H39">
        <v>21</v>
      </c>
      <c r="I39">
        <v>3</v>
      </c>
      <c r="J39">
        <v>133652</v>
      </c>
      <c r="K39">
        <v>76110</v>
      </c>
      <c r="L39">
        <v>147</v>
      </c>
      <c r="M39">
        <v>32</v>
      </c>
      <c r="N39">
        <v>25</v>
      </c>
      <c r="O39">
        <v>2</v>
      </c>
      <c r="P39">
        <v>1052</v>
      </c>
      <c r="Q39">
        <v>240</v>
      </c>
      <c r="R39">
        <v>1.0411311053984575</v>
      </c>
      <c r="S39">
        <v>13</v>
      </c>
      <c r="T39" t="s">
        <v>401</v>
      </c>
      <c r="U39">
        <v>1292</v>
      </c>
      <c r="V39">
        <v>3.6377708978328198E-2</v>
      </c>
      <c r="W39">
        <v>1</v>
      </c>
    </row>
    <row r="40" spans="1:23" x14ac:dyDescent="0.3">
      <c r="A40" s="1">
        <v>44208</v>
      </c>
      <c r="B40" s="2" t="s">
        <v>8</v>
      </c>
      <c r="C40">
        <v>104</v>
      </c>
      <c r="D40">
        <v>148</v>
      </c>
      <c r="E40">
        <v>38</v>
      </c>
      <c r="F40">
        <v>810</v>
      </c>
      <c r="G40">
        <v>6815</v>
      </c>
      <c r="H40">
        <v>25</v>
      </c>
      <c r="I40">
        <v>2</v>
      </c>
      <c r="J40">
        <v>134704</v>
      </c>
      <c r="K40">
        <v>76350</v>
      </c>
      <c r="L40">
        <v>148</v>
      </c>
      <c r="M40">
        <v>80</v>
      </c>
      <c r="N40">
        <v>28</v>
      </c>
      <c r="O40">
        <v>4</v>
      </c>
      <c r="P40">
        <v>1313</v>
      </c>
      <c r="Q40">
        <v>340</v>
      </c>
      <c r="R40">
        <v>1.0987654320987654</v>
      </c>
      <c r="S40">
        <v>23</v>
      </c>
      <c r="T40" t="s">
        <v>403</v>
      </c>
      <c r="U40">
        <v>1653</v>
      </c>
      <c r="V40">
        <v>6.2915910465819694E-2</v>
      </c>
      <c r="W40">
        <v>0</v>
      </c>
    </row>
    <row r="41" spans="1:23" x14ac:dyDescent="0.3">
      <c r="A41" s="1">
        <v>44209</v>
      </c>
      <c r="B41" s="2" t="s">
        <v>8</v>
      </c>
      <c r="C41">
        <v>99</v>
      </c>
      <c r="D41">
        <v>149</v>
      </c>
      <c r="E41">
        <v>90</v>
      </c>
      <c r="F41">
        <v>890</v>
      </c>
      <c r="G41">
        <v>6838</v>
      </c>
      <c r="H41">
        <v>28</v>
      </c>
      <c r="I41">
        <v>4</v>
      </c>
      <c r="J41">
        <v>136017</v>
      </c>
      <c r="K41">
        <v>76690</v>
      </c>
      <c r="L41">
        <v>148</v>
      </c>
      <c r="M41">
        <v>55</v>
      </c>
      <c r="N41">
        <v>31</v>
      </c>
      <c r="O41">
        <v>3</v>
      </c>
      <c r="P41">
        <v>1130</v>
      </c>
      <c r="Q41">
        <v>200</v>
      </c>
      <c r="R41">
        <v>1.0617977528089888</v>
      </c>
      <c r="S41">
        <v>43</v>
      </c>
      <c r="T41" t="s">
        <v>404</v>
      </c>
      <c r="U41">
        <v>1330</v>
      </c>
      <c r="V41">
        <v>7.4436090225563897E-2</v>
      </c>
      <c r="W41">
        <v>1</v>
      </c>
    </row>
    <row r="42" spans="1:23" x14ac:dyDescent="0.3">
      <c r="A42" s="1">
        <v>44210</v>
      </c>
      <c r="B42" s="2" t="s">
        <v>8</v>
      </c>
      <c r="C42">
        <v>85</v>
      </c>
      <c r="D42">
        <v>150</v>
      </c>
      <c r="E42">
        <v>97</v>
      </c>
      <c r="F42">
        <v>945</v>
      </c>
      <c r="G42">
        <v>6881</v>
      </c>
      <c r="H42">
        <v>31</v>
      </c>
      <c r="I42">
        <v>3</v>
      </c>
      <c r="J42">
        <v>137147</v>
      </c>
      <c r="K42">
        <v>76890</v>
      </c>
      <c r="L42">
        <v>149</v>
      </c>
      <c r="M42">
        <v>47</v>
      </c>
      <c r="N42">
        <v>32</v>
      </c>
      <c r="O42">
        <v>3</v>
      </c>
      <c r="P42">
        <v>963</v>
      </c>
      <c r="Q42">
        <v>178</v>
      </c>
      <c r="R42">
        <v>1.0497354497354496</v>
      </c>
      <c r="S42">
        <v>37</v>
      </c>
      <c r="T42" t="s">
        <v>405</v>
      </c>
      <c r="U42">
        <v>1141</v>
      </c>
      <c r="V42">
        <v>7.4496056091148094E-2</v>
      </c>
      <c r="W42">
        <v>1</v>
      </c>
    </row>
    <row r="43" spans="1:23" x14ac:dyDescent="0.3">
      <c r="A43" s="1">
        <v>44211</v>
      </c>
      <c r="B43" s="2" t="s">
        <v>8</v>
      </c>
      <c r="C43">
        <v>91</v>
      </c>
      <c r="D43">
        <v>151</v>
      </c>
      <c r="E43">
        <v>75</v>
      </c>
      <c r="F43">
        <v>992</v>
      </c>
      <c r="G43">
        <v>6918</v>
      </c>
      <c r="H43">
        <v>32</v>
      </c>
      <c r="I43">
        <v>3</v>
      </c>
      <c r="J43">
        <v>138110</v>
      </c>
      <c r="K43">
        <v>77068</v>
      </c>
      <c r="L43">
        <v>150</v>
      </c>
      <c r="M43">
        <v>39</v>
      </c>
      <c r="N43">
        <v>35</v>
      </c>
      <c r="O43">
        <v>4</v>
      </c>
      <c r="P43">
        <v>1001</v>
      </c>
      <c r="Q43">
        <v>361</v>
      </c>
      <c r="R43">
        <v>1.0393145161290323</v>
      </c>
      <c r="S43">
        <v>50</v>
      </c>
      <c r="T43" t="s">
        <v>406</v>
      </c>
      <c r="U43">
        <v>1362</v>
      </c>
      <c r="V43">
        <v>6.6813509544787097E-2</v>
      </c>
      <c r="W43">
        <v>1</v>
      </c>
    </row>
    <row r="44" spans="1:23" x14ac:dyDescent="0.3">
      <c r="A44" s="1">
        <v>44212</v>
      </c>
      <c r="B44" s="2" t="s">
        <v>8</v>
      </c>
      <c r="C44">
        <v>108</v>
      </c>
      <c r="D44">
        <v>151</v>
      </c>
      <c r="E44">
        <v>84</v>
      </c>
      <c r="F44">
        <v>1031</v>
      </c>
      <c r="G44">
        <v>6968</v>
      </c>
      <c r="H44">
        <v>35</v>
      </c>
      <c r="I44">
        <v>4</v>
      </c>
      <c r="J44">
        <v>139111</v>
      </c>
      <c r="K44">
        <v>77429</v>
      </c>
      <c r="L44">
        <v>151</v>
      </c>
      <c r="M44">
        <v>67</v>
      </c>
      <c r="N44">
        <v>37</v>
      </c>
      <c r="O44">
        <v>6</v>
      </c>
      <c r="P44">
        <v>1035</v>
      </c>
      <c r="Q44">
        <v>183</v>
      </c>
      <c r="R44">
        <v>1.0649854510184287</v>
      </c>
      <c r="S44">
        <v>41</v>
      </c>
      <c r="T44" t="s">
        <v>407</v>
      </c>
      <c r="U44">
        <v>1218</v>
      </c>
      <c r="V44">
        <v>8.8669950738916301E-2</v>
      </c>
      <c r="W44">
        <v>0</v>
      </c>
    </row>
    <row r="45" spans="1:23" x14ac:dyDescent="0.3">
      <c r="A45" s="1">
        <v>44213</v>
      </c>
      <c r="B45" s="2" t="s">
        <v>8</v>
      </c>
      <c r="C45">
        <v>93</v>
      </c>
      <c r="D45">
        <v>151</v>
      </c>
      <c r="E45">
        <v>88</v>
      </c>
      <c r="F45">
        <v>1098</v>
      </c>
      <c r="G45">
        <v>7009</v>
      </c>
      <c r="H45">
        <v>37</v>
      </c>
      <c r="I45">
        <v>6</v>
      </c>
      <c r="J45">
        <v>140146</v>
      </c>
      <c r="K45">
        <v>77612</v>
      </c>
      <c r="L45">
        <v>151</v>
      </c>
      <c r="M45">
        <v>48</v>
      </c>
      <c r="N45">
        <v>43</v>
      </c>
      <c r="O45">
        <v>7</v>
      </c>
      <c r="P45">
        <v>1163</v>
      </c>
      <c r="Q45">
        <v>138</v>
      </c>
      <c r="R45">
        <v>1.0437158469945356</v>
      </c>
      <c r="S45">
        <v>45</v>
      </c>
      <c r="T45" t="s">
        <v>408</v>
      </c>
      <c r="U45">
        <v>1301</v>
      </c>
      <c r="V45">
        <v>7.1483474250576495E-2</v>
      </c>
      <c r="W45">
        <v>0</v>
      </c>
    </row>
    <row r="46" spans="1:23" x14ac:dyDescent="0.3">
      <c r="A46" s="1">
        <v>44214</v>
      </c>
      <c r="B46" s="2" t="s">
        <v>8</v>
      </c>
      <c r="C46">
        <v>102</v>
      </c>
      <c r="D46">
        <v>152</v>
      </c>
      <c r="E46">
        <v>82</v>
      </c>
      <c r="F46">
        <v>1146</v>
      </c>
      <c r="G46">
        <v>7054</v>
      </c>
      <c r="H46">
        <v>43</v>
      </c>
      <c r="I46">
        <v>7</v>
      </c>
      <c r="J46">
        <v>141309</v>
      </c>
      <c r="K46">
        <v>77750</v>
      </c>
      <c r="L46">
        <v>151</v>
      </c>
      <c r="M46">
        <v>64</v>
      </c>
      <c r="N46">
        <v>39</v>
      </c>
      <c r="O46">
        <v>7</v>
      </c>
      <c r="P46">
        <v>683</v>
      </c>
      <c r="Q46">
        <v>327</v>
      </c>
      <c r="R46">
        <v>1.0558464223385688</v>
      </c>
      <c r="S46">
        <v>36</v>
      </c>
      <c r="T46" t="s">
        <v>409</v>
      </c>
      <c r="U46">
        <v>1010</v>
      </c>
      <c r="V46">
        <v>0.100990099009901</v>
      </c>
      <c r="W46">
        <v>1</v>
      </c>
    </row>
    <row r="47" spans="1:23" x14ac:dyDescent="0.3">
      <c r="A47" s="1">
        <v>44215</v>
      </c>
      <c r="B47" s="2" t="s">
        <v>8</v>
      </c>
      <c r="C47">
        <v>117</v>
      </c>
      <c r="D47">
        <v>157</v>
      </c>
      <c r="E47">
        <v>86</v>
      </c>
      <c r="F47">
        <v>1210</v>
      </c>
      <c r="G47">
        <v>7090</v>
      </c>
      <c r="H47">
        <v>39</v>
      </c>
      <c r="I47">
        <v>7</v>
      </c>
      <c r="J47">
        <v>141992</v>
      </c>
      <c r="K47">
        <v>78077</v>
      </c>
      <c r="L47">
        <v>152</v>
      </c>
      <c r="M47">
        <v>63</v>
      </c>
      <c r="N47">
        <v>37</v>
      </c>
      <c r="O47">
        <v>8</v>
      </c>
      <c r="P47">
        <v>1203</v>
      </c>
      <c r="Q47">
        <v>505</v>
      </c>
      <c r="R47">
        <v>1.0520661157024793</v>
      </c>
      <c r="S47">
        <v>48</v>
      </c>
      <c r="T47" t="s">
        <v>410</v>
      </c>
      <c r="U47">
        <v>1708</v>
      </c>
      <c r="V47">
        <v>6.8501170960187402E-2</v>
      </c>
      <c r="W47">
        <v>5</v>
      </c>
    </row>
    <row r="48" spans="1:23" x14ac:dyDescent="0.3">
      <c r="A48" s="1">
        <v>44216</v>
      </c>
      <c r="B48" s="2" t="s">
        <v>8</v>
      </c>
      <c r="C48">
        <v>132</v>
      </c>
      <c r="D48">
        <v>158</v>
      </c>
      <c r="E48">
        <v>104</v>
      </c>
      <c r="F48">
        <v>1273</v>
      </c>
      <c r="G48">
        <v>7138</v>
      </c>
      <c r="H48">
        <v>37</v>
      </c>
      <c r="I48">
        <v>8</v>
      </c>
      <c r="J48">
        <v>143195</v>
      </c>
      <c r="K48">
        <v>78582</v>
      </c>
      <c r="L48">
        <v>157</v>
      </c>
      <c r="M48">
        <v>88</v>
      </c>
      <c r="N48">
        <v>39</v>
      </c>
      <c r="O48">
        <v>9</v>
      </c>
      <c r="P48">
        <v>1168</v>
      </c>
      <c r="Q48">
        <v>238</v>
      </c>
      <c r="R48">
        <v>1.0691280439905735</v>
      </c>
      <c r="S48">
        <v>43</v>
      </c>
      <c r="T48" t="s">
        <v>411</v>
      </c>
      <c r="U48">
        <v>1406</v>
      </c>
      <c r="V48">
        <v>9.3883357041251794E-2</v>
      </c>
      <c r="W48">
        <v>1</v>
      </c>
    </row>
    <row r="49" spans="1:23" x14ac:dyDescent="0.3">
      <c r="A49" s="1">
        <v>44217</v>
      </c>
      <c r="B49" s="2" t="s">
        <v>8</v>
      </c>
      <c r="C49">
        <v>163</v>
      </c>
      <c r="D49">
        <v>158</v>
      </c>
      <c r="E49">
        <v>109</v>
      </c>
      <c r="F49">
        <v>1361</v>
      </c>
      <c r="G49">
        <v>7181</v>
      </c>
      <c r="H49">
        <v>39</v>
      </c>
      <c r="I49">
        <v>9</v>
      </c>
      <c r="J49">
        <v>144363</v>
      </c>
      <c r="K49">
        <v>78820</v>
      </c>
      <c r="L49">
        <v>158</v>
      </c>
      <c r="M49">
        <v>88</v>
      </c>
      <c r="N49">
        <v>36</v>
      </c>
      <c r="O49">
        <v>10</v>
      </c>
      <c r="P49">
        <v>1616</v>
      </c>
      <c r="Q49">
        <v>293</v>
      </c>
      <c r="R49">
        <v>1.0646583394562821</v>
      </c>
      <c r="S49">
        <v>75</v>
      </c>
      <c r="T49" t="s">
        <v>422</v>
      </c>
      <c r="U49">
        <v>1909</v>
      </c>
      <c r="V49">
        <v>8.5385018334206406E-2</v>
      </c>
      <c r="W49">
        <v>0</v>
      </c>
    </row>
    <row r="50" spans="1:23" x14ac:dyDescent="0.3">
      <c r="A50" s="1">
        <v>44218</v>
      </c>
      <c r="B50" s="2" t="s">
        <v>8</v>
      </c>
      <c r="C50">
        <v>188</v>
      </c>
      <c r="D50">
        <v>158</v>
      </c>
      <c r="E50">
        <v>151</v>
      </c>
      <c r="F50">
        <v>1449</v>
      </c>
      <c r="G50">
        <v>7256</v>
      </c>
      <c r="H50">
        <v>36</v>
      </c>
      <c r="I50">
        <v>10</v>
      </c>
      <c r="J50">
        <v>145979</v>
      </c>
      <c r="K50">
        <v>79113</v>
      </c>
      <c r="L50">
        <v>158</v>
      </c>
      <c r="M50">
        <v>96</v>
      </c>
      <c r="N50">
        <v>41</v>
      </c>
      <c r="O50">
        <v>11</v>
      </c>
      <c r="P50">
        <v>1495</v>
      </c>
      <c r="Q50">
        <v>371</v>
      </c>
      <c r="R50">
        <v>1.0662525879917184</v>
      </c>
      <c r="S50">
        <v>92</v>
      </c>
      <c r="T50" t="s">
        <v>441</v>
      </c>
      <c r="U50">
        <v>1866</v>
      </c>
      <c r="V50">
        <v>0.10075026795284001</v>
      </c>
      <c r="W50">
        <v>0</v>
      </c>
    </row>
    <row r="51" spans="1:23" x14ac:dyDescent="0.3">
      <c r="A51" s="1">
        <v>44219</v>
      </c>
      <c r="B51" s="2" t="s">
        <v>8</v>
      </c>
      <c r="C51">
        <v>173</v>
      </c>
      <c r="D51">
        <v>160</v>
      </c>
      <c r="E51">
        <v>170</v>
      </c>
      <c r="F51">
        <v>1545</v>
      </c>
      <c r="G51">
        <v>7348</v>
      </c>
      <c r="H51">
        <v>41</v>
      </c>
      <c r="I51">
        <v>11</v>
      </c>
      <c r="J51">
        <v>147474</v>
      </c>
      <c r="K51">
        <v>79484</v>
      </c>
      <c r="L51">
        <v>158</v>
      </c>
      <c r="M51">
        <v>121</v>
      </c>
      <c r="N51">
        <v>48</v>
      </c>
      <c r="O51">
        <v>11</v>
      </c>
      <c r="P51">
        <v>1488</v>
      </c>
      <c r="Q51">
        <v>141</v>
      </c>
      <c r="R51">
        <v>1.0783171521035599</v>
      </c>
      <c r="S51">
        <v>50</v>
      </c>
      <c r="T51" t="s">
        <v>442</v>
      </c>
      <c r="U51">
        <v>1629</v>
      </c>
      <c r="V51">
        <v>0.106200122774708</v>
      </c>
      <c r="W51">
        <v>2</v>
      </c>
    </row>
    <row r="52" spans="1:23" x14ac:dyDescent="0.3">
      <c r="A52" s="1">
        <v>44220</v>
      </c>
      <c r="B52" s="2" t="s">
        <v>8</v>
      </c>
      <c r="C52">
        <v>121</v>
      </c>
      <c r="D52">
        <v>160</v>
      </c>
      <c r="E52">
        <v>157</v>
      </c>
      <c r="F52">
        <v>1666</v>
      </c>
      <c r="G52">
        <v>7398</v>
      </c>
      <c r="H52">
        <v>48</v>
      </c>
      <c r="I52">
        <v>11</v>
      </c>
      <c r="J52">
        <v>148962</v>
      </c>
      <c r="K52">
        <v>79625</v>
      </c>
      <c r="L52">
        <v>160</v>
      </c>
      <c r="M52">
        <v>65</v>
      </c>
      <c r="N52">
        <v>51</v>
      </c>
      <c r="O52">
        <v>15</v>
      </c>
      <c r="P52">
        <v>1052</v>
      </c>
      <c r="Q52">
        <v>222</v>
      </c>
      <c r="R52">
        <v>1.0390156062424969</v>
      </c>
      <c r="S52">
        <v>56</v>
      </c>
      <c r="T52" t="s">
        <v>461</v>
      </c>
      <c r="U52">
        <v>1274</v>
      </c>
      <c r="V52">
        <v>9.4976452119309301E-2</v>
      </c>
      <c r="W52">
        <v>0</v>
      </c>
    </row>
    <row r="53" spans="1:23" x14ac:dyDescent="0.3">
      <c r="A53" s="1">
        <v>44221</v>
      </c>
      <c r="B53" s="2" t="s">
        <v>8</v>
      </c>
      <c r="C53">
        <v>116</v>
      </c>
      <c r="D53">
        <v>162</v>
      </c>
      <c r="E53">
        <v>111</v>
      </c>
      <c r="F53">
        <v>1731</v>
      </c>
      <c r="G53">
        <v>7454</v>
      </c>
      <c r="H53">
        <v>51</v>
      </c>
      <c r="I53">
        <v>15</v>
      </c>
      <c r="J53">
        <v>150014</v>
      </c>
      <c r="K53">
        <v>79847</v>
      </c>
      <c r="L53">
        <v>160</v>
      </c>
      <c r="M53">
        <v>67</v>
      </c>
      <c r="N53">
        <v>57</v>
      </c>
      <c r="O53">
        <v>15</v>
      </c>
      <c r="P53">
        <v>1177</v>
      </c>
      <c r="Q53">
        <v>472</v>
      </c>
      <c r="R53">
        <v>1.0387059503177354</v>
      </c>
      <c r="S53">
        <v>47</v>
      </c>
      <c r="T53" t="s">
        <v>462</v>
      </c>
      <c r="U53">
        <v>1649</v>
      </c>
      <c r="V53">
        <v>7.0345664038811401E-2</v>
      </c>
      <c r="W53">
        <v>2</v>
      </c>
    </row>
    <row r="54" spans="1:23" x14ac:dyDescent="0.3">
      <c r="A54" s="1">
        <v>44222</v>
      </c>
      <c r="B54" s="2" t="s">
        <v>8</v>
      </c>
      <c r="C54">
        <v>211</v>
      </c>
      <c r="D54">
        <v>162</v>
      </c>
      <c r="E54">
        <v>91</v>
      </c>
      <c r="F54">
        <v>1798</v>
      </c>
      <c r="G54">
        <v>7501</v>
      </c>
      <c r="H54">
        <v>57</v>
      </c>
      <c r="I54">
        <v>15</v>
      </c>
      <c r="J54">
        <v>151191</v>
      </c>
      <c r="K54">
        <v>80319</v>
      </c>
      <c r="L54">
        <v>162</v>
      </c>
      <c r="M54">
        <v>156</v>
      </c>
      <c r="N54">
        <v>58</v>
      </c>
      <c r="O54">
        <v>15</v>
      </c>
      <c r="P54">
        <v>1493</v>
      </c>
      <c r="Q54">
        <v>548</v>
      </c>
      <c r="R54">
        <v>1.0867630700778643</v>
      </c>
      <c r="S54">
        <v>55</v>
      </c>
      <c r="T54" t="s">
        <v>463</v>
      </c>
      <c r="U54">
        <v>2041</v>
      </c>
      <c r="V54">
        <v>0.103380695737384</v>
      </c>
      <c r="W54">
        <v>0</v>
      </c>
    </row>
    <row r="55" spans="1:23" x14ac:dyDescent="0.3">
      <c r="A55" s="1">
        <v>44223</v>
      </c>
      <c r="B55" s="2" t="s">
        <v>8</v>
      </c>
      <c r="C55">
        <v>134</v>
      </c>
      <c r="D55">
        <v>163</v>
      </c>
      <c r="E55">
        <v>184</v>
      </c>
      <c r="F55">
        <v>1954</v>
      </c>
      <c r="G55">
        <v>7556</v>
      </c>
      <c r="H55">
        <v>58</v>
      </c>
      <c r="I55">
        <v>15</v>
      </c>
      <c r="J55">
        <v>152684</v>
      </c>
      <c r="K55">
        <v>80867</v>
      </c>
      <c r="L55">
        <v>162</v>
      </c>
      <c r="M55">
        <v>24</v>
      </c>
      <c r="N55">
        <v>57</v>
      </c>
      <c r="O55">
        <v>15</v>
      </c>
      <c r="P55">
        <v>1518</v>
      </c>
      <c r="Q55">
        <v>381</v>
      </c>
      <c r="R55">
        <v>1.0122824974411464</v>
      </c>
      <c r="S55">
        <v>109</v>
      </c>
      <c r="T55" t="s">
        <v>470</v>
      </c>
      <c r="U55">
        <v>1899</v>
      </c>
      <c r="V55">
        <v>7.0563454449710405E-2</v>
      </c>
      <c r="W55">
        <v>1</v>
      </c>
    </row>
    <row r="56" spans="1:23" x14ac:dyDescent="0.3">
      <c r="A56" s="1">
        <v>44224</v>
      </c>
      <c r="B56" s="2" t="s">
        <v>8</v>
      </c>
      <c r="C56">
        <v>123</v>
      </c>
      <c r="D56">
        <v>168</v>
      </c>
      <c r="E56">
        <v>130</v>
      </c>
      <c r="F56">
        <v>1978</v>
      </c>
      <c r="G56">
        <v>7665</v>
      </c>
      <c r="H56">
        <v>57</v>
      </c>
      <c r="I56">
        <v>15</v>
      </c>
      <c r="J56">
        <v>154202</v>
      </c>
      <c r="K56">
        <v>81248</v>
      </c>
      <c r="L56">
        <v>163</v>
      </c>
      <c r="M56">
        <v>31</v>
      </c>
      <c r="N56">
        <v>56</v>
      </c>
      <c r="O56">
        <v>16</v>
      </c>
      <c r="P56">
        <v>1504</v>
      </c>
      <c r="Q56">
        <v>295</v>
      </c>
      <c r="R56">
        <v>1.0156723963599597</v>
      </c>
      <c r="S56">
        <v>87</v>
      </c>
      <c r="T56" t="s">
        <v>472</v>
      </c>
      <c r="U56">
        <v>1799</v>
      </c>
      <c r="V56">
        <v>6.8371317398554801E-2</v>
      </c>
      <c r="W56">
        <v>5</v>
      </c>
    </row>
    <row r="57" spans="1:23" x14ac:dyDescent="0.3">
      <c r="A57" s="1">
        <v>44225</v>
      </c>
      <c r="B57" s="2" t="s">
        <v>8</v>
      </c>
      <c r="C57">
        <v>179</v>
      </c>
      <c r="D57">
        <v>170</v>
      </c>
      <c r="E57">
        <v>114</v>
      </c>
      <c r="F57">
        <v>2009</v>
      </c>
      <c r="G57">
        <v>7752</v>
      </c>
      <c r="H57">
        <v>56</v>
      </c>
      <c r="I57">
        <v>16</v>
      </c>
      <c r="J57">
        <v>155706</v>
      </c>
      <c r="K57">
        <v>81543</v>
      </c>
      <c r="L57">
        <v>168</v>
      </c>
      <c r="M57">
        <v>112</v>
      </c>
      <c r="N57">
        <v>57</v>
      </c>
      <c r="O57">
        <v>21</v>
      </c>
      <c r="P57">
        <v>1399</v>
      </c>
      <c r="Q57">
        <v>617</v>
      </c>
      <c r="R57">
        <v>1.0557491289198606</v>
      </c>
      <c r="S57">
        <v>66</v>
      </c>
      <c r="T57" t="s">
        <v>473</v>
      </c>
      <c r="U57">
        <v>2016</v>
      </c>
      <c r="V57">
        <v>8.8789682539682599E-2</v>
      </c>
      <c r="W57">
        <v>2</v>
      </c>
    </row>
    <row r="58" spans="1:23" x14ac:dyDescent="0.3">
      <c r="A58" s="1">
        <v>44226</v>
      </c>
      <c r="B58" s="2" t="s">
        <v>8</v>
      </c>
      <c r="C58">
        <v>124</v>
      </c>
      <c r="D58">
        <v>171</v>
      </c>
      <c r="E58">
        <v>169</v>
      </c>
      <c r="F58">
        <v>2121</v>
      </c>
      <c r="G58">
        <v>7818</v>
      </c>
      <c r="H58">
        <v>57</v>
      </c>
      <c r="I58">
        <v>21</v>
      </c>
      <c r="J58">
        <v>157105</v>
      </c>
      <c r="K58">
        <v>82160</v>
      </c>
      <c r="L58">
        <v>170</v>
      </c>
      <c r="M58">
        <v>8</v>
      </c>
      <c r="N58">
        <v>54</v>
      </c>
      <c r="O58">
        <v>19</v>
      </c>
      <c r="P58">
        <v>1513</v>
      </c>
      <c r="Q58">
        <v>418</v>
      </c>
      <c r="R58">
        <v>1.0037718057520038</v>
      </c>
      <c r="S58">
        <v>115</v>
      </c>
      <c r="T58" t="s">
        <v>474</v>
      </c>
      <c r="U58">
        <v>1931</v>
      </c>
      <c r="V58">
        <v>6.4215432418435997E-2</v>
      </c>
      <c r="W58">
        <v>1</v>
      </c>
    </row>
    <row r="59" spans="1:23" x14ac:dyDescent="0.3">
      <c r="A59" s="1">
        <v>44227</v>
      </c>
      <c r="B59" s="2" t="s">
        <v>8</v>
      </c>
      <c r="C59">
        <v>97</v>
      </c>
      <c r="D59">
        <v>172</v>
      </c>
      <c r="E59">
        <v>116</v>
      </c>
      <c r="F59">
        <v>2129</v>
      </c>
      <c r="G59">
        <v>7933</v>
      </c>
      <c r="H59">
        <v>54</v>
      </c>
      <c r="I59">
        <v>19</v>
      </c>
      <c r="J59">
        <v>158618</v>
      </c>
      <c r="K59">
        <v>82578</v>
      </c>
      <c r="L59">
        <v>171</v>
      </c>
      <c r="M59">
        <v>1</v>
      </c>
      <c r="N59">
        <v>67</v>
      </c>
      <c r="O59">
        <v>20</v>
      </c>
      <c r="P59">
        <v>1175</v>
      </c>
      <c r="Q59">
        <v>116</v>
      </c>
      <c r="R59">
        <v>1.0004697040864257</v>
      </c>
      <c r="S59">
        <v>95</v>
      </c>
      <c r="T59" t="s">
        <v>475</v>
      </c>
      <c r="U59">
        <v>1291</v>
      </c>
      <c r="V59">
        <v>7.5135553834237007E-2</v>
      </c>
      <c r="W59">
        <v>1</v>
      </c>
    </row>
    <row r="60" spans="1:23" x14ac:dyDescent="0.3">
      <c r="A60" s="1">
        <v>44228</v>
      </c>
      <c r="B60" s="2" t="s">
        <v>8</v>
      </c>
      <c r="C60">
        <v>78</v>
      </c>
      <c r="D60">
        <v>172</v>
      </c>
      <c r="E60">
        <v>92</v>
      </c>
      <c r="F60">
        <v>2130</v>
      </c>
      <c r="G60">
        <v>8028</v>
      </c>
      <c r="H60">
        <v>67</v>
      </c>
      <c r="I60">
        <v>20</v>
      </c>
      <c r="J60">
        <v>159793</v>
      </c>
      <c r="K60">
        <v>82694</v>
      </c>
      <c r="L60">
        <v>172</v>
      </c>
      <c r="M60">
        <v>5</v>
      </c>
      <c r="N60">
        <v>70</v>
      </c>
      <c r="O60">
        <v>22</v>
      </c>
      <c r="P60">
        <v>1025</v>
      </c>
      <c r="Q60">
        <v>609</v>
      </c>
      <c r="R60">
        <v>1.0023474178403755</v>
      </c>
      <c r="S60">
        <v>73</v>
      </c>
      <c r="T60" t="s">
        <v>479</v>
      </c>
      <c r="U60">
        <v>1634</v>
      </c>
      <c r="V60">
        <v>4.7735618115055098E-2</v>
      </c>
      <c r="W60">
        <v>0</v>
      </c>
    </row>
    <row r="61" spans="1:23" x14ac:dyDescent="0.3">
      <c r="A61" s="1">
        <v>44229</v>
      </c>
      <c r="B61" s="2" t="s">
        <v>8</v>
      </c>
      <c r="C61">
        <v>77</v>
      </c>
      <c r="D61">
        <v>174</v>
      </c>
      <c r="E61">
        <v>64</v>
      </c>
      <c r="F61">
        <v>2135</v>
      </c>
      <c r="G61">
        <v>8101</v>
      </c>
      <c r="H61">
        <v>70</v>
      </c>
      <c r="I61">
        <v>22</v>
      </c>
      <c r="J61">
        <v>160818</v>
      </c>
      <c r="K61">
        <v>83303</v>
      </c>
      <c r="L61">
        <v>172</v>
      </c>
      <c r="M61">
        <v>-42</v>
      </c>
      <c r="N61">
        <v>70</v>
      </c>
      <c r="O61">
        <v>25</v>
      </c>
      <c r="P61">
        <v>1327</v>
      </c>
      <c r="Q61">
        <v>600</v>
      </c>
      <c r="R61">
        <v>0.98032786885245904</v>
      </c>
      <c r="S61">
        <v>118</v>
      </c>
      <c r="T61" t="s">
        <v>480</v>
      </c>
      <c r="U61">
        <v>1927</v>
      </c>
      <c r="V61">
        <v>3.9958484691229902E-2</v>
      </c>
      <c r="W61">
        <v>2</v>
      </c>
    </row>
    <row r="62" spans="1:23" x14ac:dyDescent="0.3">
      <c r="A62" s="1">
        <v>44230</v>
      </c>
      <c r="B62" s="2" t="s">
        <v>8</v>
      </c>
      <c r="C62">
        <v>107</v>
      </c>
      <c r="D62">
        <v>177</v>
      </c>
      <c r="E62">
        <v>80</v>
      </c>
      <c r="F62">
        <v>2093</v>
      </c>
      <c r="G62">
        <v>8219</v>
      </c>
      <c r="H62">
        <v>70</v>
      </c>
      <c r="I62">
        <v>25</v>
      </c>
      <c r="J62">
        <v>162145</v>
      </c>
      <c r="K62">
        <v>83903</v>
      </c>
      <c r="L62">
        <v>174</v>
      </c>
      <c r="M62">
        <v>12</v>
      </c>
      <c r="N62">
        <v>65</v>
      </c>
      <c r="O62">
        <v>26</v>
      </c>
      <c r="P62">
        <v>1329</v>
      </c>
      <c r="Q62">
        <v>623</v>
      </c>
      <c r="R62">
        <v>1.0057333970377449</v>
      </c>
      <c r="S62">
        <v>92</v>
      </c>
      <c r="T62" t="s">
        <v>481</v>
      </c>
      <c r="U62">
        <v>1952</v>
      </c>
      <c r="V62">
        <v>5.4815573770491802E-2</v>
      </c>
      <c r="W62">
        <v>3</v>
      </c>
    </row>
    <row r="63" spans="1:23" x14ac:dyDescent="0.3">
      <c r="A63" s="1">
        <v>44231</v>
      </c>
      <c r="B63" s="2" t="s">
        <v>8</v>
      </c>
      <c r="C63">
        <v>82</v>
      </c>
      <c r="D63">
        <v>178</v>
      </c>
      <c r="E63">
        <v>102</v>
      </c>
      <c r="F63">
        <v>2105</v>
      </c>
      <c r="G63">
        <v>8311</v>
      </c>
      <c r="H63">
        <v>65</v>
      </c>
      <c r="I63">
        <v>26</v>
      </c>
      <c r="J63">
        <v>163474</v>
      </c>
      <c r="K63">
        <v>84526</v>
      </c>
      <c r="L63">
        <v>177</v>
      </c>
      <c r="M63">
        <v>-82</v>
      </c>
      <c r="N63">
        <v>64</v>
      </c>
      <c r="O63">
        <v>27</v>
      </c>
      <c r="P63">
        <v>1437</v>
      </c>
      <c r="Q63">
        <v>596</v>
      </c>
      <c r="R63">
        <v>0.96104513064133013</v>
      </c>
      <c r="S63">
        <v>163</v>
      </c>
      <c r="T63" t="s">
        <v>482</v>
      </c>
      <c r="U63">
        <v>2033</v>
      </c>
      <c r="V63">
        <v>4.0334481062469299E-2</v>
      </c>
      <c r="W63">
        <v>1</v>
      </c>
    </row>
    <row r="64" spans="1:23" x14ac:dyDescent="0.3">
      <c r="A64" s="1">
        <v>44232</v>
      </c>
      <c r="B64" s="2" t="s">
        <v>8</v>
      </c>
      <c r="C64">
        <v>91</v>
      </c>
      <c r="D64">
        <v>178</v>
      </c>
      <c r="E64">
        <v>73</v>
      </c>
      <c r="F64">
        <v>2023</v>
      </c>
      <c r="G64">
        <v>8474</v>
      </c>
      <c r="H64">
        <v>64</v>
      </c>
      <c r="I64">
        <v>27</v>
      </c>
      <c r="J64">
        <v>164911</v>
      </c>
      <c r="K64">
        <v>85122</v>
      </c>
      <c r="L64">
        <v>178</v>
      </c>
      <c r="M64">
        <v>-66</v>
      </c>
      <c r="N64">
        <v>67</v>
      </c>
      <c r="O64">
        <v>30</v>
      </c>
      <c r="P64">
        <v>1302</v>
      </c>
      <c r="Q64">
        <v>681</v>
      </c>
      <c r="R64">
        <v>0.96737518536826494</v>
      </c>
      <c r="S64">
        <v>157</v>
      </c>
      <c r="T64" t="s">
        <v>483</v>
      </c>
      <c r="U64">
        <v>1983</v>
      </c>
      <c r="V64">
        <v>4.5890065557236501E-2</v>
      </c>
      <c r="W64">
        <v>0</v>
      </c>
    </row>
    <row r="65" spans="1:23" x14ac:dyDescent="0.3">
      <c r="A65" s="1">
        <v>44233</v>
      </c>
      <c r="B65" s="2" t="s">
        <v>8</v>
      </c>
      <c r="C65">
        <v>92</v>
      </c>
      <c r="D65">
        <v>180</v>
      </c>
      <c r="E65">
        <v>81</v>
      </c>
      <c r="F65">
        <v>1957</v>
      </c>
      <c r="G65">
        <v>8631</v>
      </c>
      <c r="H65">
        <v>67</v>
      </c>
      <c r="I65">
        <v>30</v>
      </c>
      <c r="J65">
        <v>166213</v>
      </c>
      <c r="K65">
        <v>85803</v>
      </c>
      <c r="L65">
        <v>178</v>
      </c>
      <c r="M65">
        <v>-94</v>
      </c>
      <c r="N65">
        <v>67</v>
      </c>
      <c r="O65">
        <v>28</v>
      </c>
      <c r="P65">
        <v>1346</v>
      </c>
      <c r="Q65">
        <v>341</v>
      </c>
      <c r="R65">
        <v>0.9519672968829842</v>
      </c>
      <c r="S65">
        <v>184</v>
      </c>
      <c r="T65" t="s">
        <v>484</v>
      </c>
      <c r="U65">
        <v>1687</v>
      </c>
      <c r="V65">
        <v>5.4534676941315897E-2</v>
      </c>
      <c r="W65">
        <v>2</v>
      </c>
    </row>
    <row r="66" spans="1:23" x14ac:dyDescent="0.3">
      <c r="A66" s="1">
        <v>44234</v>
      </c>
      <c r="B66" s="2" t="s">
        <v>8</v>
      </c>
      <c r="C66">
        <v>51</v>
      </c>
      <c r="D66">
        <v>182</v>
      </c>
      <c r="E66">
        <v>88</v>
      </c>
      <c r="F66">
        <v>1863</v>
      </c>
      <c r="G66">
        <v>8815</v>
      </c>
      <c r="H66">
        <v>67</v>
      </c>
      <c r="I66">
        <v>28</v>
      </c>
      <c r="J66">
        <v>167559</v>
      </c>
      <c r="K66">
        <v>86144</v>
      </c>
      <c r="L66">
        <v>180</v>
      </c>
      <c r="M66">
        <v>-96</v>
      </c>
      <c r="N66">
        <v>68</v>
      </c>
      <c r="O66">
        <v>29</v>
      </c>
      <c r="P66">
        <v>1287</v>
      </c>
      <c r="Q66">
        <v>120</v>
      </c>
      <c r="R66">
        <v>0.94847020933977455</v>
      </c>
      <c r="S66">
        <v>145</v>
      </c>
      <c r="T66" t="s">
        <v>485</v>
      </c>
      <c r="U66">
        <v>1407</v>
      </c>
      <c r="V66">
        <v>3.6247334754797397E-2</v>
      </c>
      <c r="W66">
        <v>2</v>
      </c>
    </row>
  </sheetData>
  <phoneticPr fontId="3" type="noConversion"/>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CBDB63-57DB-499A-BF26-3EF080E1652D}">
  <sheetPr codeName="Sheet12"/>
  <dimension ref="A1:W66"/>
  <sheetViews>
    <sheetView topLeftCell="A2" workbookViewId="0">
      <selection sqref="A1:J90"/>
    </sheetView>
  </sheetViews>
  <sheetFormatPr defaultRowHeight="14.4" x14ac:dyDescent="0.3"/>
  <cols>
    <col min="1" max="1" width="10.5546875" bestFit="1" customWidth="1"/>
    <col min="2" max="2" width="29.3320312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388</v>
      </c>
      <c r="B1" t="s">
        <v>1</v>
      </c>
      <c r="C1" t="s">
        <v>389</v>
      </c>
      <c r="D1" t="s">
        <v>423</v>
      </c>
      <c r="E1" t="s">
        <v>413</v>
      </c>
      <c r="F1" t="s">
        <v>414</v>
      </c>
      <c r="G1" t="s">
        <v>415</v>
      </c>
      <c r="H1" t="s">
        <v>416</v>
      </c>
      <c r="I1" t="s">
        <v>417</v>
      </c>
      <c r="J1" t="s">
        <v>418</v>
      </c>
      <c r="K1" t="s">
        <v>419</v>
      </c>
      <c r="L1" t="s">
        <v>424</v>
      </c>
      <c r="M1" t="s">
        <v>390</v>
      </c>
      <c r="N1" t="s">
        <v>361</v>
      </c>
      <c r="O1" t="s">
        <v>362</v>
      </c>
      <c r="P1" t="s">
        <v>391</v>
      </c>
      <c r="Q1" t="s">
        <v>392</v>
      </c>
      <c r="R1" t="s">
        <v>420</v>
      </c>
      <c r="S1" t="s">
        <v>443</v>
      </c>
      <c r="T1" t="s">
        <v>421</v>
      </c>
      <c r="U1" t="s">
        <v>393</v>
      </c>
      <c r="V1" t="s">
        <v>394</v>
      </c>
      <c r="W1" t="s">
        <v>428</v>
      </c>
    </row>
    <row r="2" spans="1:23" x14ac:dyDescent="0.3">
      <c r="A2" s="1">
        <v>44170</v>
      </c>
      <c r="B2" s="2" t="s">
        <v>9</v>
      </c>
      <c r="C2">
        <v>22</v>
      </c>
      <c r="D2">
        <v>295</v>
      </c>
      <c r="E2">
        <v>13</v>
      </c>
      <c r="F2">
        <v>419</v>
      </c>
      <c r="G2">
        <v>6937</v>
      </c>
      <c r="H2">
        <v>36</v>
      </c>
      <c r="I2">
        <v>5</v>
      </c>
      <c r="J2">
        <v>117423</v>
      </c>
      <c r="K2">
        <v>65171</v>
      </c>
      <c r="L2">
        <v>294</v>
      </c>
      <c r="M2">
        <v>-17</v>
      </c>
      <c r="N2">
        <v>37</v>
      </c>
      <c r="O2">
        <v>5</v>
      </c>
      <c r="P2">
        <v>754</v>
      </c>
      <c r="Q2">
        <v>60</v>
      </c>
      <c r="R2">
        <v>0.95942720763723155</v>
      </c>
      <c r="S2">
        <v>38</v>
      </c>
      <c r="T2" t="s">
        <v>369</v>
      </c>
      <c r="U2">
        <v>814</v>
      </c>
      <c r="V2">
        <v>2.7027027027027001E-2</v>
      </c>
      <c r="W2">
        <v>1</v>
      </c>
    </row>
    <row r="3" spans="1:23" x14ac:dyDescent="0.3">
      <c r="A3" s="1">
        <v>44171</v>
      </c>
      <c r="B3" s="2" t="s">
        <v>9</v>
      </c>
      <c r="C3">
        <v>23</v>
      </c>
      <c r="D3">
        <v>296</v>
      </c>
      <c r="E3">
        <v>18</v>
      </c>
      <c r="F3">
        <v>402</v>
      </c>
      <c r="G3">
        <v>6975</v>
      </c>
      <c r="H3">
        <v>37</v>
      </c>
      <c r="I3">
        <v>5</v>
      </c>
      <c r="J3">
        <v>118177</v>
      </c>
      <c r="K3">
        <v>65231</v>
      </c>
      <c r="L3">
        <v>295</v>
      </c>
      <c r="M3">
        <v>-2</v>
      </c>
      <c r="N3">
        <v>39</v>
      </c>
      <c r="O3">
        <v>5</v>
      </c>
      <c r="P3">
        <v>721</v>
      </c>
      <c r="Q3">
        <v>44</v>
      </c>
      <c r="R3">
        <v>0.99502487562189057</v>
      </c>
      <c r="S3">
        <v>24</v>
      </c>
      <c r="T3" t="s">
        <v>370</v>
      </c>
      <c r="U3">
        <v>765</v>
      </c>
      <c r="V3">
        <v>3.0065359477124201E-2</v>
      </c>
      <c r="W3">
        <v>1</v>
      </c>
    </row>
    <row r="4" spans="1:23" x14ac:dyDescent="0.3">
      <c r="A4" s="1">
        <v>44172</v>
      </c>
      <c r="B4" s="2" t="s">
        <v>9</v>
      </c>
      <c r="C4">
        <v>22</v>
      </c>
      <c r="D4">
        <v>296</v>
      </c>
      <c r="E4">
        <v>19</v>
      </c>
      <c r="F4">
        <v>400</v>
      </c>
      <c r="G4">
        <v>6999</v>
      </c>
      <c r="H4">
        <v>39</v>
      </c>
      <c r="I4">
        <v>5</v>
      </c>
      <c r="J4">
        <v>118898</v>
      </c>
      <c r="K4">
        <v>65275</v>
      </c>
      <c r="L4">
        <v>296</v>
      </c>
      <c r="M4">
        <v>-23</v>
      </c>
      <c r="N4">
        <v>33</v>
      </c>
      <c r="O4">
        <v>3</v>
      </c>
      <c r="P4">
        <v>700</v>
      </c>
      <c r="Q4">
        <v>79</v>
      </c>
      <c r="R4">
        <v>0.9425</v>
      </c>
      <c r="S4">
        <v>45</v>
      </c>
      <c r="T4" t="s">
        <v>371</v>
      </c>
      <c r="U4">
        <v>779</v>
      </c>
      <c r="V4">
        <v>2.82413350449294E-2</v>
      </c>
      <c r="W4">
        <v>0</v>
      </c>
    </row>
    <row r="5" spans="1:23" x14ac:dyDescent="0.3">
      <c r="A5" s="1">
        <v>44173</v>
      </c>
      <c r="B5" s="2" t="s">
        <v>9</v>
      </c>
      <c r="C5">
        <v>34</v>
      </c>
      <c r="D5">
        <v>297</v>
      </c>
      <c r="E5">
        <v>20</v>
      </c>
      <c r="F5">
        <v>377</v>
      </c>
      <c r="G5">
        <v>7044</v>
      </c>
      <c r="H5">
        <v>33</v>
      </c>
      <c r="I5">
        <v>3</v>
      </c>
      <c r="J5">
        <v>119598</v>
      </c>
      <c r="K5">
        <v>65354</v>
      </c>
      <c r="L5">
        <v>296</v>
      </c>
      <c r="M5">
        <v>0</v>
      </c>
      <c r="N5">
        <v>33</v>
      </c>
      <c r="O5">
        <v>3</v>
      </c>
      <c r="P5">
        <v>659</v>
      </c>
      <c r="Q5">
        <v>46</v>
      </c>
      <c r="R5">
        <v>1</v>
      </c>
      <c r="S5">
        <v>33</v>
      </c>
      <c r="T5" t="s">
        <v>372</v>
      </c>
      <c r="U5">
        <v>705</v>
      </c>
      <c r="V5">
        <v>4.8226950354609902E-2</v>
      </c>
      <c r="W5">
        <v>1</v>
      </c>
    </row>
    <row r="6" spans="1:23" x14ac:dyDescent="0.3">
      <c r="A6" s="1">
        <v>44174</v>
      </c>
      <c r="B6" s="2" t="s">
        <v>9</v>
      </c>
      <c r="C6">
        <v>31</v>
      </c>
      <c r="D6">
        <v>300</v>
      </c>
      <c r="E6">
        <v>34</v>
      </c>
      <c r="F6">
        <v>377</v>
      </c>
      <c r="G6">
        <v>7077</v>
      </c>
      <c r="H6">
        <v>33</v>
      </c>
      <c r="I6">
        <v>3</v>
      </c>
      <c r="J6">
        <v>120257</v>
      </c>
      <c r="K6">
        <v>65400</v>
      </c>
      <c r="L6">
        <v>297</v>
      </c>
      <c r="M6">
        <v>-13</v>
      </c>
      <c r="N6">
        <v>34</v>
      </c>
      <c r="O6">
        <v>3</v>
      </c>
      <c r="P6">
        <v>923</v>
      </c>
      <c r="Q6">
        <v>80</v>
      </c>
      <c r="R6">
        <v>0.96551724137931039</v>
      </c>
      <c r="S6">
        <v>41</v>
      </c>
      <c r="T6" t="s">
        <v>373</v>
      </c>
      <c r="U6">
        <v>1003</v>
      </c>
      <c r="V6">
        <v>3.09072781655035E-2</v>
      </c>
      <c r="W6">
        <v>3</v>
      </c>
    </row>
    <row r="7" spans="1:23" x14ac:dyDescent="0.3">
      <c r="A7" s="1">
        <v>44175</v>
      </c>
      <c r="B7" s="2" t="s">
        <v>9</v>
      </c>
      <c r="C7">
        <v>37</v>
      </c>
      <c r="D7">
        <v>300</v>
      </c>
      <c r="E7">
        <v>30</v>
      </c>
      <c r="F7">
        <v>364</v>
      </c>
      <c r="G7">
        <v>7118</v>
      </c>
      <c r="H7">
        <v>34</v>
      </c>
      <c r="I7">
        <v>3</v>
      </c>
      <c r="J7">
        <v>121180</v>
      </c>
      <c r="K7">
        <v>65480</v>
      </c>
      <c r="L7">
        <v>300</v>
      </c>
      <c r="M7">
        <v>19</v>
      </c>
      <c r="N7">
        <v>26</v>
      </c>
      <c r="O7">
        <v>2</v>
      </c>
      <c r="P7">
        <v>890</v>
      </c>
      <c r="Q7">
        <v>141</v>
      </c>
      <c r="R7">
        <v>1.0521978021978022</v>
      </c>
      <c r="S7">
        <v>18</v>
      </c>
      <c r="T7" t="s">
        <v>374</v>
      </c>
      <c r="U7">
        <v>1031</v>
      </c>
      <c r="V7">
        <v>3.5887487875848702E-2</v>
      </c>
      <c r="W7">
        <v>0</v>
      </c>
    </row>
    <row r="8" spans="1:23" x14ac:dyDescent="0.3">
      <c r="A8" s="1">
        <v>44176</v>
      </c>
      <c r="B8" s="2" t="s">
        <v>9</v>
      </c>
      <c r="C8">
        <v>31</v>
      </c>
      <c r="D8">
        <v>301</v>
      </c>
      <c r="E8">
        <v>32</v>
      </c>
      <c r="F8">
        <v>383</v>
      </c>
      <c r="G8">
        <v>7136</v>
      </c>
      <c r="H8">
        <v>26</v>
      </c>
      <c r="I8">
        <v>2</v>
      </c>
      <c r="J8">
        <v>122070</v>
      </c>
      <c r="K8">
        <v>65621</v>
      </c>
      <c r="L8">
        <v>300</v>
      </c>
      <c r="M8">
        <v>20</v>
      </c>
      <c r="N8">
        <v>30</v>
      </c>
      <c r="O8">
        <v>2</v>
      </c>
      <c r="P8">
        <v>556</v>
      </c>
      <c r="Q8">
        <v>133</v>
      </c>
      <c r="R8">
        <v>1.0522193211488251</v>
      </c>
      <c r="S8">
        <v>9</v>
      </c>
      <c r="T8" t="s">
        <v>375</v>
      </c>
      <c r="U8">
        <v>689</v>
      </c>
      <c r="V8">
        <v>4.4992743105950597E-2</v>
      </c>
      <c r="W8">
        <v>1</v>
      </c>
    </row>
    <row r="9" spans="1:23" x14ac:dyDescent="0.3">
      <c r="A9" s="1">
        <v>44177</v>
      </c>
      <c r="B9" s="2" t="s">
        <v>9</v>
      </c>
      <c r="C9">
        <v>48</v>
      </c>
      <c r="D9">
        <v>301</v>
      </c>
      <c r="E9">
        <v>30</v>
      </c>
      <c r="F9">
        <v>403</v>
      </c>
      <c r="G9">
        <v>7145</v>
      </c>
      <c r="H9">
        <v>30</v>
      </c>
      <c r="I9">
        <v>2</v>
      </c>
      <c r="J9">
        <v>122626</v>
      </c>
      <c r="K9">
        <v>65754</v>
      </c>
      <c r="L9">
        <v>301</v>
      </c>
      <c r="M9">
        <v>21</v>
      </c>
      <c r="N9">
        <v>32</v>
      </c>
      <c r="O9">
        <v>2</v>
      </c>
      <c r="P9">
        <v>495</v>
      </c>
      <c r="Q9">
        <v>58</v>
      </c>
      <c r="R9">
        <v>1.0521091811414391</v>
      </c>
      <c r="S9">
        <v>27</v>
      </c>
      <c r="T9" t="s">
        <v>376</v>
      </c>
      <c r="U9">
        <v>553</v>
      </c>
      <c r="V9">
        <v>8.6799276672694395E-2</v>
      </c>
      <c r="W9">
        <v>0</v>
      </c>
    </row>
    <row r="10" spans="1:23" x14ac:dyDescent="0.3">
      <c r="A10" s="1">
        <v>44178</v>
      </c>
      <c r="B10" s="2" t="s">
        <v>9</v>
      </c>
      <c r="C10">
        <v>41</v>
      </c>
      <c r="D10">
        <v>302</v>
      </c>
      <c r="E10">
        <v>48</v>
      </c>
      <c r="F10">
        <v>424</v>
      </c>
      <c r="G10">
        <v>7172</v>
      </c>
      <c r="H10">
        <v>32</v>
      </c>
      <c r="I10">
        <v>2</v>
      </c>
      <c r="J10">
        <v>123121</v>
      </c>
      <c r="K10">
        <v>65812</v>
      </c>
      <c r="L10">
        <v>301</v>
      </c>
      <c r="M10">
        <v>28</v>
      </c>
      <c r="N10">
        <v>36</v>
      </c>
      <c r="O10">
        <v>1</v>
      </c>
      <c r="P10">
        <v>578</v>
      </c>
      <c r="Q10">
        <v>64</v>
      </c>
      <c r="R10">
        <v>1.0660377358490567</v>
      </c>
      <c r="S10">
        <v>12</v>
      </c>
      <c r="T10" t="s">
        <v>377</v>
      </c>
      <c r="U10">
        <v>642</v>
      </c>
      <c r="V10">
        <v>6.3862928348909595E-2</v>
      </c>
      <c r="W10">
        <v>1</v>
      </c>
    </row>
    <row r="11" spans="1:23" x14ac:dyDescent="0.3">
      <c r="A11" s="1">
        <v>44179</v>
      </c>
      <c r="B11" s="2" t="s">
        <v>9</v>
      </c>
      <c r="C11">
        <v>12</v>
      </c>
      <c r="D11">
        <v>303</v>
      </c>
      <c r="E11">
        <v>36</v>
      </c>
      <c r="F11">
        <v>452</v>
      </c>
      <c r="G11">
        <v>7184</v>
      </c>
      <c r="H11">
        <v>36</v>
      </c>
      <c r="I11">
        <v>1</v>
      </c>
      <c r="J11">
        <v>123699</v>
      </c>
      <c r="K11">
        <v>65876</v>
      </c>
      <c r="L11">
        <v>302</v>
      </c>
      <c r="M11">
        <v>-16</v>
      </c>
      <c r="N11">
        <v>38</v>
      </c>
      <c r="O11">
        <v>1</v>
      </c>
      <c r="P11">
        <v>1137</v>
      </c>
      <c r="Q11">
        <v>82</v>
      </c>
      <c r="R11">
        <v>0.96460176991150437</v>
      </c>
      <c r="S11">
        <v>27</v>
      </c>
      <c r="T11" t="s">
        <v>378</v>
      </c>
      <c r="U11">
        <v>1219</v>
      </c>
      <c r="V11">
        <v>9.8441345365053307E-3</v>
      </c>
      <c r="W11">
        <v>1</v>
      </c>
    </row>
    <row r="12" spans="1:23" x14ac:dyDescent="0.3">
      <c r="A12" s="1">
        <v>44180</v>
      </c>
      <c r="B12" s="2" t="s">
        <v>9</v>
      </c>
      <c r="C12">
        <v>28</v>
      </c>
      <c r="D12">
        <v>303</v>
      </c>
      <c r="E12">
        <v>9</v>
      </c>
      <c r="F12">
        <v>436</v>
      </c>
      <c r="G12">
        <v>7211</v>
      </c>
      <c r="H12">
        <v>38</v>
      </c>
      <c r="I12">
        <v>1</v>
      </c>
      <c r="J12">
        <v>124836</v>
      </c>
      <c r="K12">
        <v>65958</v>
      </c>
      <c r="L12">
        <v>303</v>
      </c>
      <c r="M12">
        <v>12</v>
      </c>
      <c r="N12">
        <v>35</v>
      </c>
      <c r="O12">
        <v>2</v>
      </c>
      <c r="P12">
        <v>962</v>
      </c>
      <c r="Q12">
        <v>119</v>
      </c>
      <c r="R12">
        <v>1.0275229357798166</v>
      </c>
      <c r="S12">
        <v>16</v>
      </c>
      <c r="T12" t="s">
        <v>379</v>
      </c>
      <c r="U12">
        <v>1081</v>
      </c>
      <c r="V12">
        <v>2.5901942645698402E-2</v>
      </c>
      <c r="W12">
        <v>0</v>
      </c>
    </row>
    <row r="13" spans="1:23" x14ac:dyDescent="0.3">
      <c r="A13" s="1">
        <v>44181</v>
      </c>
      <c r="B13" s="2" t="s">
        <v>9</v>
      </c>
      <c r="C13">
        <v>41</v>
      </c>
      <c r="D13">
        <v>303</v>
      </c>
      <c r="E13">
        <v>28</v>
      </c>
      <c r="F13">
        <v>448</v>
      </c>
      <c r="G13">
        <v>7227</v>
      </c>
      <c r="H13">
        <v>35</v>
      </c>
      <c r="I13">
        <v>2</v>
      </c>
      <c r="J13">
        <v>125798</v>
      </c>
      <c r="K13">
        <v>66077</v>
      </c>
      <c r="L13">
        <v>303</v>
      </c>
      <c r="M13">
        <v>10</v>
      </c>
      <c r="N13">
        <v>36</v>
      </c>
      <c r="O13">
        <v>1</v>
      </c>
      <c r="P13">
        <v>663</v>
      </c>
      <c r="Q13">
        <v>110</v>
      </c>
      <c r="R13">
        <v>1.0223214285714286</v>
      </c>
      <c r="S13">
        <v>32</v>
      </c>
      <c r="T13" t="s">
        <v>380</v>
      </c>
      <c r="U13">
        <v>773</v>
      </c>
      <c r="V13">
        <v>5.3040103492884898E-2</v>
      </c>
      <c r="W13">
        <v>0</v>
      </c>
    </row>
    <row r="14" spans="1:23" x14ac:dyDescent="0.3">
      <c r="A14" s="1">
        <v>44182</v>
      </c>
      <c r="B14" s="2" t="s">
        <v>9</v>
      </c>
      <c r="C14">
        <v>51</v>
      </c>
      <c r="D14">
        <v>304</v>
      </c>
      <c r="E14">
        <v>42</v>
      </c>
      <c r="F14">
        <v>458</v>
      </c>
      <c r="G14">
        <v>7259</v>
      </c>
      <c r="H14">
        <v>36</v>
      </c>
      <c r="I14">
        <v>1</v>
      </c>
      <c r="J14">
        <v>126461</v>
      </c>
      <c r="K14">
        <v>66187</v>
      </c>
      <c r="L14">
        <v>303</v>
      </c>
      <c r="M14">
        <v>22</v>
      </c>
      <c r="N14">
        <v>36</v>
      </c>
      <c r="O14">
        <v>2</v>
      </c>
      <c r="P14">
        <v>634</v>
      </c>
      <c r="Q14">
        <v>143</v>
      </c>
      <c r="R14">
        <v>1.0480349344978166</v>
      </c>
      <c r="S14">
        <v>28</v>
      </c>
      <c r="T14" t="s">
        <v>381</v>
      </c>
      <c r="U14">
        <v>777</v>
      </c>
      <c r="V14">
        <v>6.5637065637065603E-2</v>
      </c>
      <c r="W14">
        <v>1</v>
      </c>
    </row>
    <row r="15" spans="1:23" x14ac:dyDescent="0.3">
      <c r="A15" s="1">
        <v>44183</v>
      </c>
      <c r="B15" s="2" t="s">
        <v>9</v>
      </c>
      <c r="C15">
        <v>23</v>
      </c>
      <c r="D15">
        <v>306</v>
      </c>
      <c r="E15">
        <v>49</v>
      </c>
      <c r="F15">
        <v>480</v>
      </c>
      <c r="G15">
        <v>7287</v>
      </c>
      <c r="H15">
        <v>36</v>
      </c>
      <c r="I15">
        <v>2</v>
      </c>
      <c r="J15">
        <v>127095</v>
      </c>
      <c r="K15">
        <v>66330</v>
      </c>
      <c r="L15">
        <v>304</v>
      </c>
      <c r="M15">
        <v>-2</v>
      </c>
      <c r="N15">
        <v>32</v>
      </c>
      <c r="O15">
        <v>3</v>
      </c>
      <c r="P15">
        <v>732</v>
      </c>
      <c r="Q15">
        <v>115</v>
      </c>
      <c r="R15">
        <v>0.99583333333333335</v>
      </c>
      <c r="S15">
        <v>23</v>
      </c>
      <c r="T15" t="s">
        <v>382</v>
      </c>
      <c r="U15">
        <v>847</v>
      </c>
      <c r="V15">
        <v>2.7154663518299899E-2</v>
      </c>
      <c r="W15">
        <v>2</v>
      </c>
    </row>
    <row r="16" spans="1:23" x14ac:dyDescent="0.3">
      <c r="A16" s="1">
        <v>44184</v>
      </c>
      <c r="B16" s="2" t="s">
        <v>9</v>
      </c>
      <c r="C16">
        <v>15</v>
      </c>
      <c r="D16">
        <v>306</v>
      </c>
      <c r="E16">
        <v>18</v>
      </c>
      <c r="F16">
        <v>478</v>
      </c>
      <c r="G16">
        <v>7310</v>
      </c>
      <c r="H16">
        <v>32</v>
      </c>
      <c r="I16">
        <v>3</v>
      </c>
      <c r="J16">
        <v>127827</v>
      </c>
      <c r="K16">
        <v>66445</v>
      </c>
      <c r="L16">
        <v>306</v>
      </c>
      <c r="M16">
        <v>-8</v>
      </c>
      <c r="N16">
        <v>32</v>
      </c>
      <c r="O16">
        <v>3</v>
      </c>
      <c r="P16">
        <v>904</v>
      </c>
      <c r="Q16">
        <v>51</v>
      </c>
      <c r="R16">
        <v>0.98326359832635979</v>
      </c>
      <c r="S16">
        <v>23</v>
      </c>
      <c r="T16" t="s">
        <v>383</v>
      </c>
      <c r="U16">
        <v>955</v>
      </c>
      <c r="V16">
        <v>1.5706806282722498E-2</v>
      </c>
      <c r="W16">
        <v>0</v>
      </c>
    </row>
    <row r="17" spans="1:23" x14ac:dyDescent="0.3">
      <c r="A17" s="1">
        <v>44185</v>
      </c>
      <c r="B17" s="2" t="s">
        <v>9</v>
      </c>
      <c r="C17">
        <v>44</v>
      </c>
      <c r="D17">
        <v>307</v>
      </c>
      <c r="E17">
        <v>13</v>
      </c>
      <c r="F17">
        <v>470</v>
      </c>
      <c r="G17">
        <v>7333</v>
      </c>
      <c r="H17">
        <v>32</v>
      </c>
      <c r="I17">
        <v>3</v>
      </c>
      <c r="J17">
        <v>128731</v>
      </c>
      <c r="K17">
        <v>66496</v>
      </c>
      <c r="L17">
        <v>306</v>
      </c>
      <c r="M17">
        <v>19</v>
      </c>
      <c r="N17">
        <v>30</v>
      </c>
      <c r="O17">
        <v>4</v>
      </c>
      <c r="P17">
        <v>1098</v>
      </c>
      <c r="Q17">
        <v>49</v>
      </c>
      <c r="R17">
        <v>1.0404255319148936</v>
      </c>
      <c r="S17">
        <v>24</v>
      </c>
      <c r="T17" t="s">
        <v>384</v>
      </c>
      <c r="U17">
        <v>1147</v>
      </c>
      <c r="V17">
        <v>3.8360941586748E-2</v>
      </c>
      <c r="W17">
        <v>1</v>
      </c>
    </row>
    <row r="18" spans="1:23" x14ac:dyDescent="0.3">
      <c r="A18" s="1">
        <v>44186</v>
      </c>
      <c r="B18" s="2" t="s">
        <v>9</v>
      </c>
      <c r="C18">
        <v>51</v>
      </c>
      <c r="D18">
        <v>307</v>
      </c>
      <c r="E18">
        <v>42</v>
      </c>
      <c r="F18">
        <v>489</v>
      </c>
      <c r="G18">
        <v>7357</v>
      </c>
      <c r="H18">
        <v>30</v>
      </c>
      <c r="I18">
        <v>4</v>
      </c>
      <c r="J18">
        <v>129829</v>
      </c>
      <c r="K18">
        <v>66545</v>
      </c>
      <c r="L18">
        <v>307</v>
      </c>
      <c r="M18">
        <v>30</v>
      </c>
      <c r="N18">
        <v>30</v>
      </c>
      <c r="O18">
        <v>4</v>
      </c>
      <c r="P18">
        <v>873</v>
      </c>
      <c r="Q18">
        <v>142</v>
      </c>
      <c r="R18">
        <v>1.0613496932515338</v>
      </c>
      <c r="S18">
        <v>21</v>
      </c>
      <c r="T18" t="s">
        <v>385</v>
      </c>
      <c r="U18">
        <v>1015</v>
      </c>
      <c r="V18">
        <v>5.0246305418719203E-2</v>
      </c>
      <c r="W18">
        <v>0</v>
      </c>
    </row>
    <row r="19" spans="1:23" x14ac:dyDescent="0.3">
      <c r="A19" s="1">
        <v>44187</v>
      </c>
      <c r="B19" s="2" t="s">
        <v>9</v>
      </c>
      <c r="C19">
        <v>27</v>
      </c>
      <c r="D19">
        <v>307</v>
      </c>
      <c r="E19">
        <v>44</v>
      </c>
      <c r="F19">
        <v>519</v>
      </c>
      <c r="G19">
        <v>7378</v>
      </c>
      <c r="H19">
        <v>30</v>
      </c>
      <c r="I19">
        <v>4</v>
      </c>
      <c r="J19">
        <v>130702</v>
      </c>
      <c r="K19">
        <v>66687</v>
      </c>
      <c r="L19">
        <v>307</v>
      </c>
      <c r="M19">
        <v>-13</v>
      </c>
      <c r="N19">
        <v>24</v>
      </c>
      <c r="O19">
        <v>4</v>
      </c>
      <c r="P19">
        <v>657</v>
      </c>
      <c r="Q19">
        <v>110</v>
      </c>
      <c r="R19">
        <v>0.97495183044315992</v>
      </c>
      <c r="S19">
        <v>40</v>
      </c>
      <c r="T19" t="s">
        <v>386</v>
      </c>
      <c r="U19">
        <v>767</v>
      </c>
      <c r="V19">
        <v>3.5202086049543703E-2</v>
      </c>
      <c r="W19">
        <v>0</v>
      </c>
    </row>
    <row r="20" spans="1:23" x14ac:dyDescent="0.3">
      <c r="A20" s="1">
        <v>44188</v>
      </c>
      <c r="B20" s="2" t="s">
        <v>9</v>
      </c>
      <c r="C20">
        <v>45</v>
      </c>
      <c r="D20">
        <v>308</v>
      </c>
      <c r="E20">
        <v>22</v>
      </c>
      <c r="F20">
        <v>506</v>
      </c>
      <c r="G20">
        <v>7418</v>
      </c>
      <c r="H20">
        <v>24</v>
      </c>
      <c r="I20">
        <v>4</v>
      </c>
      <c r="J20">
        <v>131359</v>
      </c>
      <c r="K20">
        <v>66797</v>
      </c>
      <c r="L20">
        <v>307</v>
      </c>
      <c r="M20">
        <v>16</v>
      </c>
      <c r="N20">
        <v>27</v>
      </c>
      <c r="O20">
        <v>4</v>
      </c>
      <c r="P20">
        <v>692</v>
      </c>
      <c r="Q20">
        <v>123</v>
      </c>
      <c r="R20">
        <v>1.0316205533596838</v>
      </c>
      <c r="S20">
        <v>28</v>
      </c>
      <c r="T20" t="s">
        <v>367</v>
      </c>
      <c r="U20">
        <v>815</v>
      </c>
      <c r="V20">
        <v>5.5214723926380403E-2</v>
      </c>
      <c r="W20">
        <v>1</v>
      </c>
    </row>
    <row r="21" spans="1:23" x14ac:dyDescent="0.3">
      <c r="A21" s="1">
        <v>44189</v>
      </c>
      <c r="B21" s="2" t="s">
        <v>9</v>
      </c>
      <c r="C21">
        <v>52</v>
      </c>
      <c r="D21">
        <v>308</v>
      </c>
      <c r="E21">
        <v>34</v>
      </c>
      <c r="F21">
        <v>522</v>
      </c>
      <c r="G21">
        <v>7446</v>
      </c>
      <c r="H21">
        <v>27</v>
      </c>
      <c r="I21">
        <v>4</v>
      </c>
      <c r="J21">
        <v>132051</v>
      </c>
      <c r="K21">
        <v>66920</v>
      </c>
      <c r="L21">
        <v>308</v>
      </c>
      <c r="M21">
        <v>29</v>
      </c>
      <c r="N21">
        <v>18</v>
      </c>
      <c r="O21">
        <v>4</v>
      </c>
      <c r="P21">
        <v>780</v>
      </c>
      <c r="Q21">
        <v>157</v>
      </c>
      <c r="R21">
        <v>1.0555555555555556</v>
      </c>
      <c r="S21">
        <v>23</v>
      </c>
      <c r="T21" t="s">
        <v>343</v>
      </c>
      <c r="U21">
        <v>937</v>
      </c>
      <c r="V21">
        <v>5.5496264674493097E-2</v>
      </c>
      <c r="W21">
        <v>0</v>
      </c>
    </row>
    <row r="22" spans="1:23" x14ac:dyDescent="0.3">
      <c r="A22" s="1">
        <v>44190</v>
      </c>
      <c r="B22" s="2" t="s">
        <v>9</v>
      </c>
      <c r="C22">
        <v>42</v>
      </c>
      <c r="D22">
        <v>308</v>
      </c>
      <c r="E22">
        <v>38</v>
      </c>
      <c r="F22">
        <v>551</v>
      </c>
      <c r="G22">
        <v>7469</v>
      </c>
      <c r="H22">
        <v>18</v>
      </c>
      <c r="I22">
        <v>4</v>
      </c>
      <c r="J22">
        <v>132831</v>
      </c>
      <c r="K22">
        <v>67077</v>
      </c>
      <c r="L22">
        <v>308</v>
      </c>
      <c r="M22">
        <v>7</v>
      </c>
      <c r="N22">
        <v>20</v>
      </c>
      <c r="O22">
        <v>3</v>
      </c>
      <c r="P22">
        <v>537</v>
      </c>
      <c r="Q22">
        <v>40</v>
      </c>
      <c r="R22">
        <v>1.0127041742286751</v>
      </c>
      <c r="S22">
        <v>35</v>
      </c>
      <c r="T22" t="s">
        <v>344</v>
      </c>
      <c r="U22">
        <v>577</v>
      </c>
      <c r="V22">
        <v>7.2790294627382998E-2</v>
      </c>
      <c r="W22">
        <v>0</v>
      </c>
    </row>
    <row r="23" spans="1:23" x14ac:dyDescent="0.3">
      <c r="A23" s="1">
        <v>44191</v>
      </c>
      <c r="B23" s="2" t="s">
        <v>9</v>
      </c>
      <c r="C23">
        <v>16</v>
      </c>
      <c r="D23">
        <v>308</v>
      </c>
      <c r="E23">
        <v>39</v>
      </c>
      <c r="F23">
        <v>558</v>
      </c>
      <c r="G23">
        <v>7504</v>
      </c>
      <c r="H23">
        <v>20</v>
      </c>
      <c r="I23">
        <v>3</v>
      </c>
      <c r="J23">
        <v>133368</v>
      </c>
      <c r="K23">
        <v>67117</v>
      </c>
      <c r="L23">
        <v>308</v>
      </c>
      <c r="M23">
        <v>-18</v>
      </c>
      <c r="N23">
        <v>19</v>
      </c>
      <c r="O23">
        <v>4</v>
      </c>
      <c r="P23">
        <v>251</v>
      </c>
      <c r="Q23">
        <v>66</v>
      </c>
      <c r="R23">
        <v>0.967741935483871</v>
      </c>
      <c r="S23">
        <v>34</v>
      </c>
      <c r="T23" t="s">
        <v>345</v>
      </c>
      <c r="U23">
        <v>317</v>
      </c>
      <c r="V23">
        <v>5.0473186119873802E-2</v>
      </c>
      <c r="W23">
        <v>0</v>
      </c>
    </row>
    <row r="24" spans="1:23" x14ac:dyDescent="0.3">
      <c r="A24" s="1">
        <v>44192</v>
      </c>
      <c r="B24" s="2" t="s">
        <v>9</v>
      </c>
      <c r="C24">
        <v>21</v>
      </c>
      <c r="D24">
        <v>308</v>
      </c>
      <c r="E24">
        <v>13</v>
      </c>
      <c r="F24">
        <v>540</v>
      </c>
      <c r="G24">
        <v>7538</v>
      </c>
      <c r="H24">
        <v>19</v>
      </c>
      <c r="I24">
        <v>4</v>
      </c>
      <c r="J24">
        <v>133619</v>
      </c>
      <c r="K24">
        <v>67183</v>
      </c>
      <c r="L24">
        <v>308</v>
      </c>
      <c r="M24">
        <v>-15</v>
      </c>
      <c r="N24">
        <v>22</v>
      </c>
      <c r="O24">
        <v>4</v>
      </c>
      <c r="P24">
        <v>421</v>
      </c>
      <c r="Q24">
        <v>51</v>
      </c>
      <c r="R24">
        <v>0.97222222222222221</v>
      </c>
      <c r="S24">
        <v>36</v>
      </c>
      <c r="T24" t="s">
        <v>346</v>
      </c>
      <c r="U24">
        <v>472</v>
      </c>
      <c r="V24">
        <v>4.4491525423728799E-2</v>
      </c>
      <c r="W24">
        <v>0</v>
      </c>
    </row>
    <row r="25" spans="1:23" x14ac:dyDescent="0.3">
      <c r="A25" s="1">
        <v>44193</v>
      </c>
      <c r="B25" s="2" t="s">
        <v>9</v>
      </c>
      <c r="C25">
        <v>27</v>
      </c>
      <c r="D25">
        <v>308</v>
      </c>
      <c r="E25">
        <v>18</v>
      </c>
      <c r="F25">
        <v>525</v>
      </c>
      <c r="G25">
        <v>7574</v>
      </c>
      <c r="H25">
        <v>22</v>
      </c>
      <c r="I25">
        <v>4</v>
      </c>
      <c r="J25">
        <v>134040</v>
      </c>
      <c r="K25">
        <v>67234</v>
      </c>
      <c r="L25">
        <v>308</v>
      </c>
      <c r="M25">
        <v>0</v>
      </c>
      <c r="N25">
        <v>21</v>
      </c>
      <c r="O25">
        <v>4</v>
      </c>
      <c r="P25">
        <v>651</v>
      </c>
      <c r="Q25">
        <v>102</v>
      </c>
      <c r="R25">
        <v>1</v>
      </c>
      <c r="S25">
        <v>27</v>
      </c>
      <c r="T25" t="s">
        <v>347</v>
      </c>
      <c r="U25">
        <v>753</v>
      </c>
      <c r="V25">
        <v>3.58565737051793E-2</v>
      </c>
      <c r="W25">
        <v>0</v>
      </c>
    </row>
    <row r="26" spans="1:23" x14ac:dyDescent="0.3">
      <c r="A26" s="1">
        <v>44194</v>
      </c>
      <c r="B26" s="2" t="s">
        <v>9</v>
      </c>
      <c r="C26">
        <v>49</v>
      </c>
      <c r="D26">
        <v>308</v>
      </c>
      <c r="E26">
        <v>20</v>
      </c>
      <c r="F26">
        <v>525</v>
      </c>
      <c r="G26">
        <v>7601</v>
      </c>
      <c r="H26">
        <v>21</v>
      </c>
      <c r="I26">
        <v>4</v>
      </c>
      <c r="J26">
        <v>134691</v>
      </c>
      <c r="K26">
        <v>67336</v>
      </c>
      <c r="L26">
        <v>308</v>
      </c>
      <c r="M26">
        <v>20</v>
      </c>
      <c r="N26">
        <v>22</v>
      </c>
      <c r="O26">
        <v>3</v>
      </c>
      <c r="P26">
        <v>651</v>
      </c>
      <c r="Q26">
        <v>134</v>
      </c>
      <c r="R26">
        <v>1.0380952380952382</v>
      </c>
      <c r="S26">
        <v>29</v>
      </c>
      <c r="T26" t="s">
        <v>348</v>
      </c>
      <c r="U26">
        <v>785</v>
      </c>
      <c r="V26">
        <v>6.2420382165605102E-2</v>
      </c>
      <c r="W26">
        <v>0</v>
      </c>
    </row>
    <row r="27" spans="1:23" x14ac:dyDescent="0.3">
      <c r="A27" s="1">
        <v>44195</v>
      </c>
      <c r="B27" s="2" t="s">
        <v>9</v>
      </c>
      <c r="C27">
        <v>69</v>
      </c>
      <c r="D27">
        <v>308</v>
      </c>
      <c r="E27">
        <v>36</v>
      </c>
      <c r="F27">
        <v>545</v>
      </c>
      <c r="G27">
        <v>7630</v>
      </c>
      <c r="H27">
        <v>22</v>
      </c>
      <c r="I27">
        <v>3</v>
      </c>
      <c r="J27">
        <v>135342</v>
      </c>
      <c r="K27">
        <v>67470</v>
      </c>
      <c r="L27">
        <v>308</v>
      </c>
      <c r="M27">
        <v>28</v>
      </c>
      <c r="N27">
        <v>24</v>
      </c>
      <c r="O27">
        <v>3</v>
      </c>
      <c r="P27">
        <v>411</v>
      </c>
      <c r="Q27">
        <v>225</v>
      </c>
      <c r="R27">
        <v>1.0513761467889908</v>
      </c>
      <c r="S27">
        <v>41</v>
      </c>
      <c r="T27" t="s">
        <v>349</v>
      </c>
      <c r="U27">
        <v>636</v>
      </c>
      <c r="V27">
        <v>0.10849056603773601</v>
      </c>
      <c r="W27">
        <v>0</v>
      </c>
    </row>
    <row r="28" spans="1:23" x14ac:dyDescent="0.3">
      <c r="A28" s="1">
        <v>44196</v>
      </c>
      <c r="B28" s="2" t="s">
        <v>9</v>
      </c>
      <c r="C28">
        <v>69</v>
      </c>
      <c r="D28">
        <v>309</v>
      </c>
      <c r="E28">
        <v>60</v>
      </c>
      <c r="F28">
        <v>573</v>
      </c>
      <c r="G28">
        <v>7671</v>
      </c>
      <c r="H28">
        <v>24</v>
      </c>
      <c r="I28">
        <v>3</v>
      </c>
      <c r="J28">
        <v>135753</v>
      </c>
      <c r="K28">
        <v>67695</v>
      </c>
      <c r="L28">
        <v>308</v>
      </c>
      <c r="M28">
        <v>27</v>
      </c>
      <c r="N28">
        <v>21</v>
      </c>
      <c r="O28">
        <v>2</v>
      </c>
      <c r="P28">
        <v>764</v>
      </c>
      <c r="Q28">
        <v>157</v>
      </c>
      <c r="R28">
        <v>1.0471204188481675</v>
      </c>
      <c r="S28">
        <v>41</v>
      </c>
      <c r="T28" t="s">
        <v>350</v>
      </c>
      <c r="U28">
        <v>921</v>
      </c>
      <c r="V28">
        <v>7.4918566775244305E-2</v>
      </c>
      <c r="W28">
        <v>1</v>
      </c>
    </row>
    <row r="29" spans="1:23" x14ac:dyDescent="0.3">
      <c r="A29" s="1">
        <v>44197</v>
      </c>
      <c r="B29" s="2" t="s">
        <v>9</v>
      </c>
      <c r="C29">
        <v>31</v>
      </c>
      <c r="D29">
        <v>309</v>
      </c>
      <c r="E29">
        <v>52</v>
      </c>
      <c r="F29">
        <v>600</v>
      </c>
      <c r="G29">
        <v>7712</v>
      </c>
      <c r="H29">
        <v>21</v>
      </c>
      <c r="I29">
        <v>2</v>
      </c>
      <c r="J29">
        <v>136517</v>
      </c>
      <c r="K29">
        <v>67852</v>
      </c>
      <c r="L29">
        <v>309</v>
      </c>
      <c r="M29">
        <v>-5</v>
      </c>
      <c r="N29">
        <v>22</v>
      </c>
      <c r="O29">
        <v>2</v>
      </c>
      <c r="P29">
        <v>405</v>
      </c>
      <c r="Q29">
        <v>74</v>
      </c>
      <c r="R29">
        <v>0.9916666666666667</v>
      </c>
      <c r="S29">
        <v>36</v>
      </c>
      <c r="T29" t="s">
        <v>351</v>
      </c>
      <c r="U29">
        <v>479</v>
      </c>
      <c r="V29">
        <v>6.4718162839248403E-2</v>
      </c>
      <c r="W29">
        <v>0</v>
      </c>
    </row>
    <row r="30" spans="1:23" x14ac:dyDescent="0.3">
      <c r="A30" s="1">
        <v>44198</v>
      </c>
      <c r="B30" s="2" t="s">
        <v>9</v>
      </c>
      <c r="C30">
        <v>30</v>
      </c>
      <c r="D30">
        <v>309</v>
      </c>
      <c r="E30">
        <v>14</v>
      </c>
      <c r="F30">
        <v>595</v>
      </c>
      <c r="G30">
        <v>7748</v>
      </c>
      <c r="H30">
        <v>22</v>
      </c>
      <c r="I30">
        <v>2</v>
      </c>
      <c r="J30">
        <v>136922</v>
      </c>
      <c r="K30">
        <v>67926</v>
      </c>
      <c r="L30">
        <v>309</v>
      </c>
      <c r="M30">
        <v>10</v>
      </c>
      <c r="N30">
        <v>23</v>
      </c>
      <c r="O30">
        <v>3</v>
      </c>
      <c r="P30">
        <v>368</v>
      </c>
      <c r="Q30">
        <v>86</v>
      </c>
      <c r="R30">
        <v>1.0168067226890756</v>
      </c>
      <c r="S30">
        <v>20</v>
      </c>
      <c r="T30" t="s">
        <v>352</v>
      </c>
      <c r="U30">
        <v>454</v>
      </c>
      <c r="V30">
        <v>6.6079295154184994E-2</v>
      </c>
      <c r="W30">
        <v>0</v>
      </c>
    </row>
    <row r="31" spans="1:23" x14ac:dyDescent="0.3">
      <c r="A31" s="1">
        <v>44199</v>
      </c>
      <c r="B31" s="2" t="s">
        <v>9</v>
      </c>
      <c r="C31">
        <v>87</v>
      </c>
      <c r="D31">
        <v>309</v>
      </c>
      <c r="E31">
        <v>28</v>
      </c>
      <c r="F31">
        <v>605</v>
      </c>
      <c r="G31">
        <v>7768</v>
      </c>
      <c r="H31">
        <v>23</v>
      </c>
      <c r="I31">
        <v>3</v>
      </c>
      <c r="J31">
        <v>137290</v>
      </c>
      <c r="K31">
        <v>68012</v>
      </c>
      <c r="L31">
        <v>309</v>
      </c>
      <c r="M31">
        <v>65</v>
      </c>
      <c r="N31">
        <v>25</v>
      </c>
      <c r="O31">
        <v>3</v>
      </c>
      <c r="P31">
        <v>713</v>
      </c>
      <c r="Q31">
        <v>84</v>
      </c>
      <c r="R31">
        <v>1.1074380165289257</v>
      </c>
      <c r="S31">
        <v>22</v>
      </c>
      <c r="T31" t="s">
        <v>353</v>
      </c>
      <c r="U31">
        <v>797</v>
      </c>
      <c r="V31">
        <v>0.109159347553325</v>
      </c>
      <c r="W31">
        <v>0</v>
      </c>
    </row>
    <row r="32" spans="1:23" x14ac:dyDescent="0.3">
      <c r="A32" s="1">
        <v>44200</v>
      </c>
      <c r="B32" s="2" t="s">
        <v>9</v>
      </c>
      <c r="C32">
        <v>62</v>
      </c>
      <c r="D32">
        <v>310</v>
      </c>
      <c r="E32">
        <v>81</v>
      </c>
      <c r="F32">
        <v>670</v>
      </c>
      <c r="G32">
        <v>7790</v>
      </c>
      <c r="H32">
        <v>25</v>
      </c>
      <c r="I32">
        <v>3</v>
      </c>
      <c r="J32">
        <v>138003</v>
      </c>
      <c r="K32">
        <v>68096</v>
      </c>
      <c r="L32">
        <v>309</v>
      </c>
      <c r="M32">
        <v>18</v>
      </c>
      <c r="N32">
        <v>28</v>
      </c>
      <c r="O32">
        <v>2</v>
      </c>
      <c r="P32">
        <v>491</v>
      </c>
      <c r="Q32">
        <v>138</v>
      </c>
      <c r="R32">
        <v>1.026865671641791</v>
      </c>
      <c r="S32">
        <v>44</v>
      </c>
      <c r="T32" t="s">
        <v>354</v>
      </c>
      <c r="U32">
        <v>629</v>
      </c>
      <c r="V32">
        <v>9.8569157392686804E-2</v>
      </c>
      <c r="W32">
        <v>1</v>
      </c>
    </row>
    <row r="33" spans="1:23" x14ac:dyDescent="0.3">
      <c r="A33" s="1">
        <v>44201</v>
      </c>
      <c r="B33" s="2" t="s">
        <v>9</v>
      </c>
      <c r="C33">
        <v>95</v>
      </c>
      <c r="D33">
        <v>312</v>
      </c>
      <c r="E33">
        <v>52</v>
      </c>
      <c r="F33">
        <v>688</v>
      </c>
      <c r="G33">
        <v>7834</v>
      </c>
      <c r="H33">
        <v>28</v>
      </c>
      <c r="I33">
        <v>2</v>
      </c>
      <c r="J33">
        <v>138494</v>
      </c>
      <c r="K33">
        <v>68234</v>
      </c>
      <c r="L33">
        <v>310</v>
      </c>
      <c r="M33">
        <v>46</v>
      </c>
      <c r="N33">
        <v>31</v>
      </c>
      <c r="O33">
        <v>1</v>
      </c>
      <c r="P33">
        <v>821</v>
      </c>
      <c r="Q33">
        <v>306</v>
      </c>
      <c r="R33">
        <v>1.066860465116279</v>
      </c>
      <c r="S33">
        <v>47</v>
      </c>
      <c r="T33" t="s">
        <v>355</v>
      </c>
      <c r="U33">
        <v>1127</v>
      </c>
      <c r="V33">
        <v>8.4294587400177506E-2</v>
      </c>
      <c r="W33">
        <v>2</v>
      </c>
    </row>
    <row r="34" spans="1:23" x14ac:dyDescent="0.3">
      <c r="A34" s="1">
        <v>44202</v>
      </c>
      <c r="B34" s="2" t="s">
        <v>9</v>
      </c>
      <c r="C34">
        <v>80</v>
      </c>
      <c r="D34">
        <v>312</v>
      </c>
      <c r="E34">
        <v>67</v>
      </c>
      <c r="F34">
        <v>734</v>
      </c>
      <c r="G34">
        <v>7881</v>
      </c>
      <c r="H34">
        <v>31</v>
      </c>
      <c r="I34">
        <v>1</v>
      </c>
      <c r="J34">
        <v>139315</v>
      </c>
      <c r="K34">
        <v>68540</v>
      </c>
      <c r="L34">
        <v>312</v>
      </c>
      <c r="M34">
        <v>30</v>
      </c>
      <c r="N34">
        <v>32</v>
      </c>
      <c r="O34">
        <v>2</v>
      </c>
      <c r="P34">
        <v>845</v>
      </c>
      <c r="Q34">
        <v>93</v>
      </c>
      <c r="R34">
        <v>1.0408719346049047</v>
      </c>
      <c r="S34">
        <v>50</v>
      </c>
      <c r="T34" t="s">
        <v>356</v>
      </c>
      <c r="U34">
        <v>938</v>
      </c>
      <c r="V34">
        <v>8.5287846481876303E-2</v>
      </c>
      <c r="W34">
        <v>0</v>
      </c>
    </row>
    <row r="35" spans="1:23" x14ac:dyDescent="0.3">
      <c r="A35" s="1">
        <v>44203</v>
      </c>
      <c r="B35" s="2" t="s">
        <v>9</v>
      </c>
      <c r="C35">
        <v>102</v>
      </c>
      <c r="D35">
        <v>313</v>
      </c>
      <c r="E35">
        <v>71</v>
      </c>
      <c r="F35">
        <v>764</v>
      </c>
      <c r="G35">
        <v>7931</v>
      </c>
      <c r="H35">
        <v>32</v>
      </c>
      <c r="I35">
        <v>2</v>
      </c>
      <c r="J35">
        <v>140160</v>
      </c>
      <c r="K35">
        <v>68633</v>
      </c>
      <c r="L35">
        <v>312</v>
      </c>
      <c r="M35">
        <v>54</v>
      </c>
      <c r="N35">
        <v>32</v>
      </c>
      <c r="O35">
        <v>2</v>
      </c>
      <c r="P35">
        <v>762</v>
      </c>
      <c r="Q35">
        <v>254</v>
      </c>
      <c r="R35">
        <v>1.0706806282722514</v>
      </c>
      <c r="S35">
        <v>47</v>
      </c>
      <c r="T35" t="s">
        <v>387</v>
      </c>
      <c r="U35">
        <v>1016</v>
      </c>
      <c r="V35">
        <v>0.10039370078740199</v>
      </c>
      <c r="W35">
        <v>1</v>
      </c>
    </row>
    <row r="36" spans="1:23" x14ac:dyDescent="0.3">
      <c r="A36" s="1">
        <v>44204</v>
      </c>
      <c r="B36" s="2" t="s">
        <v>9</v>
      </c>
      <c r="C36">
        <v>100</v>
      </c>
      <c r="D36">
        <v>313</v>
      </c>
      <c r="E36">
        <v>75</v>
      </c>
      <c r="F36">
        <v>818</v>
      </c>
      <c r="G36">
        <v>7978</v>
      </c>
      <c r="H36">
        <v>32</v>
      </c>
      <c r="I36">
        <v>2</v>
      </c>
      <c r="J36">
        <v>140922</v>
      </c>
      <c r="K36">
        <v>68887</v>
      </c>
      <c r="L36">
        <v>313</v>
      </c>
      <c r="M36">
        <v>38</v>
      </c>
      <c r="N36">
        <v>30</v>
      </c>
      <c r="O36">
        <v>3</v>
      </c>
      <c r="P36">
        <v>1123</v>
      </c>
      <c r="Q36">
        <v>369</v>
      </c>
      <c r="R36">
        <v>1.0464547677261613</v>
      </c>
      <c r="S36">
        <v>62</v>
      </c>
      <c r="T36" t="s">
        <v>398</v>
      </c>
      <c r="U36">
        <v>1492</v>
      </c>
      <c r="V36">
        <v>6.7024128686327095E-2</v>
      </c>
      <c r="W36">
        <v>0</v>
      </c>
    </row>
    <row r="37" spans="1:23" x14ac:dyDescent="0.3">
      <c r="A37" s="1">
        <v>44205</v>
      </c>
      <c r="B37" s="2" t="s">
        <v>9</v>
      </c>
      <c r="C37">
        <v>110</v>
      </c>
      <c r="D37">
        <v>314</v>
      </c>
      <c r="E37">
        <v>79</v>
      </c>
      <c r="F37">
        <v>856</v>
      </c>
      <c r="G37">
        <v>8040</v>
      </c>
      <c r="H37">
        <v>30</v>
      </c>
      <c r="I37">
        <v>3</v>
      </c>
      <c r="J37">
        <v>142045</v>
      </c>
      <c r="K37">
        <v>69256</v>
      </c>
      <c r="L37">
        <v>313</v>
      </c>
      <c r="M37">
        <v>91</v>
      </c>
      <c r="N37">
        <v>37</v>
      </c>
      <c r="O37">
        <v>3</v>
      </c>
      <c r="P37">
        <v>1120</v>
      </c>
      <c r="Q37">
        <v>258</v>
      </c>
      <c r="R37">
        <v>1.1063084112149533</v>
      </c>
      <c r="S37">
        <v>18</v>
      </c>
      <c r="T37" t="s">
        <v>399</v>
      </c>
      <c r="U37">
        <v>1378</v>
      </c>
      <c r="V37">
        <v>7.9825834542815693E-2</v>
      </c>
      <c r="W37">
        <v>1</v>
      </c>
    </row>
    <row r="38" spans="1:23" x14ac:dyDescent="0.3">
      <c r="A38" s="1">
        <v>44206</v>
      </c>
      <c r="B38" s="2" t="s">
        <v>9</v>
      </c>
      <c r="C38">
        <v>114</v>
      </c>
      <c r="D38">
        <v>315</v>
      </c>
      <c r="E38">
        <v>88</v>
      </c>
      <c r="F38">
        <v>947</v>
      </c>
      <c r="G38">
        <v>8058</v>
      </c>
      <c r="H38">
        <v>37</v>
      </c>
      <c r="I38">
        <v>3</v>
      </c>
      <c r="J38">
        <v>143165</v>
      </c>
      <c r="K38">
        <v>69514</v>
      </c>
      <c r="L38">
        <v>314</v>
      </c>
      <c r="M38">
        <v>93</v>
      </c>
      <c r="N38">
        <v>42</v>
      </c>
      <c r="O38">
        <v>3</v>
      </c>
      <c r="P38">
        <v>1364</v>
      </c>
      <c r="Q38">
        <v>109</v>
      </c>
      <c r="R38">
        <v>1.0982048574445618</v>
      </c>
      <c r="S38">
        <v>20</v>
      </c>
      <c r="T38" t="s">
        <v>400</v>
      </c>
      <c r="U38">
        <v>1473</v>
      </c>
      <c r="V38">
        <v>7.73930753564155E-2</v>
      </c>
      <c r="W38">
        <v>1</v>
      </c>
    </row>
    <row r="39" spans="1:23" x14ac:dyDescent="0.3">
      <c r="A39" s="1">
        <v>44207</v>
      </c>
      <c r="B39" s="2" t="s">
        <v>9</v>
      </c>
      <c r="C39">
        <v>124</v>
      </c>
      <c r="D39">
        <v>316</v>
      </c>
      <c r="E39">
        <v>89</v>
      </c>
      <c r="F39">
        <v>1040</v>
      </c>
      <c r="G39">
        <v>8078</v>
      </c>
      <c r="H39">
        <v>42</v>
      </c>
      <c r="I39">
        <v>3</v>
      </c>
      <c r="J39">
        <v>144529</v>
      </c>
      <c r="K39">
        <v>69623</v>
      </c>
      <c r="L39">
        <v>315</v>
      </c>
      <c r="M39">
        <v>100</v>
      </c>
      <c r="N39">
        <v>44</v>
      </c>
      <c r="O39">
        <v>4</v>
      </c>
      <c r="P39">
        <v>1032</v>
      </c>
      <c r="Q39">
        <v>249</v>
      </c>
      <c r="R39">
        <v>1.0961538461538463</v>
      </c>
      <c r="S39">
        <v>23</v>
      </c>
      <c r="T39" t="s">
        <v>401</v>
      </c>
      <c r="U39">
        <v>1281</v>
      </c>
      <c r="V39">
        <v>9.6799375487900102E-2</v>
      </c>
      <c r="W39">
        <v>1</v>
      </c>
    </row>
    <row r="40" spans="1:23" x14ac:dyDescent="0.3">
      <c r="A40" s="1">
        <v>44208</v>
      </c>
      <c r="B40" s="2" t="s">
        <v>9</v>
      </c>
      <c r="C40">
        <v>135</v>
      </c>
      <c r="D40">
        <v>316</v>
      </c>
      <c r="E40">
        <v>98</v>
      </c>
      <c r="F40">
        <v>1140</v>
      </c>
      <c r="G40">
        <v>8101</v>
      </c>
      <c r="H40">
        <v>44</v>
      </c>
      <c r="I40">
        <v>4</v>
      </c>
      <c r="J40">
        <v>145561</v>
      </c>
      <c r="K40">
        <v>69872</v>
      </c>
      <c r="L40">
        <v>316</v>
      </c>
      <c r="M40">
        <v>92</v>
      </c>
      <c r="N40">
        <v>44</v>
      </c>
      <c r="O40">
        <v>4</v>
      </c>
      <c r="P40">
        <v>1368</v>
      </c>
      <c r="Q40">
        <v>300</v>
      </c>
      <c r="R40">
        <v>1.0807017543859649</v>
      </c>
      <c r="S40">
        <v>43</v>
      </c>
      <c r="T40" t="s">
        <v>403</v>
      </c>
      <c r="U40">
        <v>1668</v>
      </c>
      <c r="V40">
        <v>8.0935251798561106E-2</v>
      </c>
      <c r="W40">
        <v>0</v>
      </c>
    </row>
    <row r="41" spans="1:23" x14ac:dyDescent="0.3">
      <c r="A41" s="1">
        <v>44209</v>
      </c>
      <c r="B41" s="2" t="s">
        <v>9</v>
      </c>
      <c r="C41">
        <v>164</v>
      </c>
      <c r="D41">
        <v>317</v>
      </c>
      <c r="E41">
        <v>118</v>
      </c>
      <c r="F41">
        <v>1232</v>
      </c>
      <c r="G41">
        <v>8144</v>
      </c>
      <c r="H41">
        <v>44</v>
      </c>
      <c r="I41">
        <v>4</v>
      </c>
      <c r="J41">
        <v>146929</v>
      </c>
      <c r="K41">
        <v>70172</v>
      </c>
      <c r="L41">
        <v>316</v>
      </c>
      <c r="M41">
        <v>116</v>
      </c>
      <c r="N41">
        <v>46</v>
      </c>
      <c r="O41">
        <v>7</v>
      </c>
      <c r="P41">
        <v>1535</v>
      </c>
      <c r="Q41">
        <v>262</v>
      </c>
      <c r="R41">
        <v>1.0941558441558441</v>
      </c>
      <c r="S41">
        <v>47</v>
      </c>
      <c r="T41" t="s">
        <v>404</v>
      </c>
      <c r="U41">
        <v>1797</v>
      </c>
      <c r="V41">
        <v>9.1263216471897599E-2</v>
      </c>
      <c r="W41">
        <v>1</v>
      </c>
    </row>
    <row r="42" spans="1:23" x14ac:dyDescent="0.3">
      <c r="A42" s="1">
        <v>44210</v>
      </c>
      <c r="B42" s="2" t="s">
        <v>9</v>
      </c>
      <c r="C42">
        <v>194</v>
      </c>
      <c r="D42">
        <v>318</v>
      </c>
      <c r="E42">
        <v>125</v>
      </c>
      <c r="F42">
        <v>1348</v>
      </c>
      <c r="G42">
        <v>8191</v>
      </c>
      <c r="H42">
        <v>46</v>
      </c>
      <c r="I42">
        <v>7</v>
      </c>
      <c r="J42">
        <v>148464</v>
      </c>
      <c r="K42">
        <v>70434</v>
      </c>
      <c r="L42">
        <v>317</v>
      </c>
      <c r="M42">
        <v>111</v>
      </c>
      <c r="N42">
        <v>54</v>
      </c>
      <c r="O42">
        <v>9</v>
      </c>
      <c r="P42">
        <v>1704</v>
      </c>
      <c r="Q42">
        <v>373</v>
      </c>
      <c r="R42">
        <v>1.0823442136498516</v>
      </c>
      <c r="S42">
        <v>82</v>
      </c>
      <c r="T42" t="s">
        <v>405</v>
      </c>
      <c r="U42">
        <v>2077</v>
      </c>
      <c r="V42">
        <v>9.3403948001925793E-2</v>
      </c>
      <c r="W42">
        <v>1</v>
      </c>
    </row>
    <row r="43" spans="1:23" x14ac:dyDescent="0.3">
      <c r="A43" s="1">
        <v>44211</v>
      </c>
      <c r="B43" s="2" t="s">
        <v>9</v>
      </c>
      <c r="C43">
        <v>187</v>
      </c>
      <c r="D43">
        <v>319</v>
      </c>
      <c r="E43">
        <v>160</v>
      </c>
      <c r="F43">
        <v>1459</v>
      </c>
      <c r="G43">
        <v>8273</v>
      </c>
      <c r="H43">
        <v>54</v>
      </c>
      <c r="I43">
        <v>9</v>
      </c>
      <c r="J43">
        <v>150168</v>
      </c>
      <c r="K43">
        <v>70807</v>
      </c>
      <c r="L43">
        <v>318</v>
      </c>
      <c r="M43">
        <v>146</v>
      </c>
      <c r="N43">
        <v>60</v>
      </c>
      <c r="O43">
        <v>9</v>
      </c>
      <c r="P43">
        <v>1702</v>
      </c>
      <c r="Q43">
        <v>587</v>
      </c>
      <c r="R43">
        <v>1.1000685400959562</v>
      </c>
      <c r="S43">
        <v>40</v>
      </c>
      <c r="T43" t="s">
        <v>406</v>
      </c>
      <c r="U43">
        <v>2289</v>
      </c>
      <c r="V43">
        <v>8.16950633464395E-2</v>
      </c>
      <c r="W43">
        <v>1</v>
      </c>
    </row>
    <row r="44" spans="1:23" x14ac:dyDescent="0.3">
      <c r="A44" s="1">
        <v>44212</v>
      </c>
      <c r="B44" s="2" t="s">
        <v>9</v>
      </c>
      <c r="C44">
        <v>167</v>
      </c>
      <c r="D44">
        <v>320</v>
      </c>
      <c r="E44">
        <v>151</v>
      </c>
      <c r="F44">
        <v>1605</v>
      </c>
      <c r="G44">
        <v>8313</v>
      </c>
      <c r="H44">
        <v>60</v>
      </c>
      <c r="I44">
        <v>9</v>
      </c>
      <c r="J44">
        <v>151870</v>
      </c>
      <c r="K44">
        <v>71394</v>
      </c>
      <c r="L44">
        <v>319</v>
      </c>
      <c r="M44">
        <v>134</v>
      </c>
      <c r="N44">
        <v>75</v>
      </c>
      <c r="O44">
        <v>7</v>
      </c>
      <c r="P44">
        <v>1291</v>
      </c>
      <c r="Q44">
        <v>307</v>
      </c>
      <c r="R44">
        <v>1.0834890965732087</v>
      </c>
      <c r="S44">
        <v>32</v>
      </c>
      <c r="T44" t="s">
        <v>407</v>
      </c>
      <c r="U44">
        <v>1598</v>
      </c>
      <c r="V44">
        <v>0.10450563204005001</v>
      </c>
      <c r="W44">
        <v>1</v>
      </c>
    </row>
    <row r="45" spans="1:23" x14ac:dyDescent="0.3">
      <c r="A45" s="1">
        <v>44213</v>
      </c>
      <c r="B45" s="2" t="s">
        <v>9</v>
      </c>
      <c r="C45">
        <v>131</v>
      </c>
      <c r="D45">
        <v>320</v>
      </c>
      <c r="E45">
        <v>148</v>
      </c>
      <c r="F45">
        <v>1739</v>
      </c>
      <c r="G45">
        <v>8345</v>
      </c>
      <c r="H45">
        <v>75</v>
      </c>
      <c r="I45">
        <v>7</v>
      </c>
      <c r="J45">
        <v>153161</v>
      </c>
      <c r="K45">
        <v>71701</v>
      </c>
      <c r="L45">
        <v>320</v>
      </c>
      <c r="M45">
        <v>91</v>
      </c>
      <c r="N45">
        <v>92</v>
      </c>
      <c r="O45">
        <v>6</v>
      </c>
      <c r="P45">
        <v>1629</v>
      </c>
      <c r="Q45">
        <v>536</v>
      </c>
      <c r="R45">
        <v>1.0523289246693501</v>
      </c>
      <c r="S45">
        <v>40</v>
      </c>
      <c r="T45" t="s">
        <v>408</v>
      </c>
      <c r="U45">
        <v>2165</v>
      </c>
      <c r="V45">
        <v>6.0508083140877598E-2</v>
      </c>
      <c r="W45">
        <v>0</v>
      </c>
    </row>
    <row r="46" spans="1:23" x14ac:dyDescent="0.3">
      <c r="A46" s="1">
        <v>44214</v>
      </c>
      <c r="B46" s="2" t="s">
        <v>9</v>
      </c>
      <c r="C46">
        <v>207</v>
      </c>
      <c r="D46">
        <v>321</v>
      </c>
      <c r="E46">
        <v>110</v>
      </c>
      <c r="F46">
        <v>1830</v>
      </c>
      <c r="G46">
        <v>8385</v>
      </c>
      <c r="H46">
        <v>92</v>
      </c>
      <c r="I46">
        <v>6</v>
      </c>
      <c r="J46">
        <v>154790</v>
      </c>
      <c r="K46">
        <v>72237</v>
      </c>
      <c r="L46">
        <v>320</v>
      </c>
      <c r="M46">
        <v>130</v>
      </c>
      <c r="N46">
        <v>105</v>
      </c>
      <c r="O46">
        <v>8</v>
      </c>
      <c r="P46">
        <v>1970</v>
      </c>
      <c r="Q46">
        <v>502</v>
      </c>
      <c r="R46">
        <v>1.0710382513661203</v>
      </c>
      <c r="S46">
        <v>76</v>
      </c>
      <c r="T46" t="s">
        <v>409</v>
      </c>
      <c r="U46">
        <v>2472</v>
      </c>
      <c r="V46">
        <v>8.3737864077669893E-2</v>
      </c>
      <c r="W46">
        <v>1</v>
      </c>
    </row>
    <row r="47" spans="1:23" x14ac:dyDescent="0.3">
      <c r="A47" s="1">
        <v>44215</v>
      </c>
      <c r="B47" s="2" t="s">
        <v>9</v>
      </c>
      <c r="C47">
        <v>205</v>
      </c>
      <c r="D47">
        <v>321</v>
      </c>
      <c r="E47">
        <v>163</v>
      </c>
      <c r="F47">
        <v>1960</v>
      </c>
      <c r="G47">
        <v>8461</v>
      </c>
      <c r="H47">
        <v>105</v>
      </c>
      <c r="I47">
        <v>8</v>
      </c>
      <c r="J47">
        <v>156760</v>
      </c>
      <c r="K47">
        <v>72739</v>
      </c>
      <c r="L47">
        <v>321</v>
      </c>
      <c r="M47">
        <v>147</v>
      </c>
      <c r="N47">
        <v>103</v>
      </c>
      <c r="O47">
        <v>10</v>
      </c>
      <c r="P47">
        <v>1747</v>
      </c>
      <c r="Q47">
        <v>481</v>
      </c>
      <c r="R47">
        <v>1.075</v>
      </c>
      <c r="S47">
        <v>58</v>
      </c>
      <c r="T47" t="s">
        <v>410</v>
      </c>
      <c r="U47">
        <v>2228</v>
      </c>
      <c r="V47">
        <v>9.2010771992818693E-2</v>
      </c>
      <c r="W47">
        <v>0</v>
      </c>
    </row>
    <row r="48" spans="1:23" x14ac:dyDescent="0.3">
      <c r="A48" s="1">
        <v>44216</v>
      </c>
      <c r="B48" s="2" t="s">
        <v>9</v>
      </c>
      <c r="C48">
        <v>242</v>
      </c>
      <c r="D48">
        <v>325</v>
      </c>
      <c r="E48">
        <v>159</v>
      </c>
      <c r="F48">
        <v>2107</v>
      </c>
      <c r="G48">
        <v>8519</v>
      </c>
      <c r="H48">
        <v>103</v>
      </c>
      <c r="I48">
        <v>10</v>
      </c>
      <c r="J48">
        <v>158507</v>
      </c>
      <c r="K48">
        <v>73220</v>
      </c>
      <c r="L48">
        <v>321</v>
      </c>
      <c r="M48">
        <v>144</v>
      </c>
      <c r="N48">
        <v>114</v>
      </c>
      <c r="O48">
        <v>10</v>
      </c>
      <c r="P48">
        <v>1639</v>
      </c>
      <c r="Q48">
        <v>421</v>
      </c>
      <c r="R48">
        <v>1.068343616516374</v>
      </c>
      <c r="S48">
        <v>94</v>
      </c>
      <c r="T48" t="s">
        <v>411</v>
      </c>
      <c r="U48">
        <v>2060</v>
      </c>
      <c r="V48">
        <v>0.11747572815534001</v>
      </c>
      <c r="W48">
        <v>4</v>
      </c>
    </row>
    <row r="49" spans="1:23" x14ac:dyDescent="0.3">
      <c r="A49" s="1">
        <v>44217</v>
      </c>
      <c r="B49" s="2" t="s">
        <v>9</v>
      </c>
      <c r="C49">
        <v>253</v>
      </c>
      <c r="D49">
        <v>327</v>
      </c>
      <c r="E49">
        <v>182</v>
      </c>
      <c r="F49">
        <v>2251</v>
      </c>
      <c r="G49">
        <v>8613</v>
      </c>
      <c r="H49">
        <v>114</v>
      </c>
      <c r="I49">
        <v>10</v>
      </c>
      <c r="J49">
        <v>160146</v>
      </c>
      <c r="K49">
        <v>73641</v>
      </c>
      <c r="L49">
        <v>325</v>
      </c>
      <c r="M49">
        <v>162</v>
      </c>
      <c r="N49">
        <v>119</v>
      </c>
      <c r="O49">
        <v>10</v>
      </c>
      <c r="P49">
        <v>970</v>
      </c>
      <c r="Q49">
        <v>607</v>
      </c>
      <c r="R49">
        <v>1.071968014215904</v>
      </c>
      <c r="S49">
        <v>89</v>
      </c>
      <c r="T49" t="s">
        <v>422</v>
      </c>
      <c r="U49">
        <v>1577</v>
      </c>
      <c r="V49">
        <v>0.16043119847812301</v>
      </c>
      <c r="W49">
        <v>2</v>
      </c>
    </row>
    <row r="50" spans="1:23" x14ac:dyDescent="0.3">
      <c r="A50" s="1">
        <v>44218</v>
      </c>
      <c r="B50" s="2" t="s">
        <v>9</v>
      </c>
      <c r="C50">
        <v>264</v>
      </c>
      <c r="D50">
        <v>328</v>
      </c>
      <c r="E50">
        <v>193</v>
      </c>
      <c r="F50">
        <v>2413</v>
      </c>
      <c r="G50">
        <v>8702</v>
      </c>
      <c r="H50">
        <v>119</v>
      </c>
      <c r="I50">
        <v>10</v>
      </c>
      <c r="J50">
        <v>161116</v>
      </c>
      <c r="K50">
        <v>74248</v>
      </c>
      <c r="L50">
        <v>327</v>
      </c>
      <c r="M50">
        <v>155</v>
      </c>
      <c r="N50">
        <v>129</v>
      </c>
      <c r="O50">
        <v>12</v>
      </c>
      <c r="P50">
        <v>1595</v>
      </c>
      <c r="Q50">
        <v>803</v>
      </c>
      <c r="R50">
        <v>1.064235391628678</v>
      </c>
      <c r="S50">
        <v>108</v>
      </c>
      <c r="T50" t="s">
        <v>441</v>
      </c>
      <c r="U50">
        <v>2398</v>
      </c>
      <c r="V50">
        <v>0.11009174311926601</v>
      </c>
      <c r="W50">
        <v>1</v>
      </c>
    </row>
    <row r="51" spans="1:23" x14ac:dyDescent="0.3">
      <c r="A51" s="1">
        <v>44219</v>
      </c>
      <c r="B51" s="2" t="s">
        <v>9</v>
      </c>
      <c r="C51">
        <v>231</v>
      </c>
      <c r="D51">
        <v>328</v>
      </c>
      <c r="E51">
        <v>179</v>
      </c>
      <c r="F51">
        <v>2568</v>
      </c>
      <c r="G51">
        <v>8810</v>
      </c>
      <c r="H51">
        <v>129</v>
      </c>
      <c r="I51">
        <v>12</v>
      </c>
      <c r="J51">
        <v>162711</v>
      </c>
      <c r="K51">
        <v>75051</v>
      </c>
      <c r="L51">
        <v>328</v>
      </c>
      <c r="M51">
        <v>123</v>
      </c>
      <c r="N51">
        <v>143</v>
      </c>
      <c r="O51">
        <v>12</v>
      </c>
      <c r="P51">
        <v>1712</v>
      </c>
      <c r="Q51">
        <v>469</v>
      </c>
      <c r="R51">
        <v>1.0478971962616823</v>
      </c>
      <c r="S51">
        <v>108</v>
      </c>
      <c r="T51" t="s">
        <v>442</v>
      </c>
      <c r="U51">
        <v>2181</v>
      </c>
      <c r="V51">
        <v>0.105914718019257</v>
      </c>
      <c r="W51">
        <v>0</v>
      </c>
    </row>
    <row r="52" spans="1:23" x14ac:dyDescent="0.3">
      <c r="A52" s="1">
        <v>44220</v>
      </c>
      <c r="B52" s="2" t="s">
        <v>9</v>
      </c>
      <c r="C52">
        <v>150</v>
      </c>
      <c r="D52">
        <v>330</v>
      </c>
      <c r="E52">
        <v>183</v>
      </c>
      <c r="F52">
        <v>2691</v>
      </c>
      <c r="G52">
        <v>8918</v>
      </c>
      <c r="H52">
        <v>143</v>
      </c>
      <c r="I52">
        <v>12</v>
      </c>
      <c r="J52">
        <v>164423</v>
      </c>
      <c r="K52">
        <v>75520</v>
      </c>
      <c r="L52">
        <v>328</v>
      </c>
      <c r="M52">
        <v>70</v>
      </c>
      <c r="N52">
        <v>156</v>
      </c>
      <c r="O52">
        <v>12</v>
      </c>
      <c r="P52">
        <v>2144</v>
      </c>
      <c r="Q52">
        <v>339</v>
      </c>
      <c r="R52">
        <v>1.026012634708287</v>
      </c>
      <c r="S52">
        <v>78</v>
      </c>
      <c r="T52" t="s">
        <v>461</v>
      </c>
      <c r="U52">
        <v>2483</v>
      </c>
      <c r="V52">
        <v>6.04107933950866E-2</v>
      </c>
      <c r="W52">
        <v>2</v>
      </c>
    </row>
    <row r="53" spans="1:23" x14ac:dyDescent="0.3">
      <c r="A53" s="1">
        <v>44221</v>
      </c>
      <c r="B53" s="2" t="s">
        <v>9</v>
      </c>
      <c r="C53">
        <v>211</v>
      </c>
      <c r="D53">
        <v>333</v>
      </c>
      <c r="E53">
        <v>116</v>
      </c>
      <c r="F53">
        <v>2761</v>
      </c>
      <c r="G53">
        <v>8996</v>
      </c>
      <c r="H53">
        <v>156</v>
      </c>
      <c r="I53">
        <v>12</v>
      </c>
      <c r="J53">
        <v>166567</v>
      </c>
      <c r="K53">
        <v>75859</v>
      </c>
      <c r="L53">
        <v>330</v>
      </c>
      <c r="M53">
        <v>105</v>
      </c>
      <c r="N53">
        <v>164</v>
      </c>
      <c r="O53">
        <v>12</v>
      </c>
      <c r="P53">
        <v>2193</v>
      </c>
      <c r="Q53">
        <v>1445</v>
      </c>
      <c r="R53">
        <v>1.038029699384281</v>
      </c>
      <c r="S53">
        <v>103</v>
      </c>
      <c r="T53" t="s">
        <v>462</v>
      </c>
      <c r="U53">
        <v>3638</v>
      </c>
      <c r="V53">
        <v>5.7998900494777399E-2</v>
      </c>
      <c r="W53">
        <v>3</v>
      </c>
    </row>
    <row r="54" spans="1:23" x14ac:dyDescent="0.3">
      <c r="A54" s="1">
        <v>44222</v>
      </c>
      <c r="B54" s="2" t="s">
        <v>9</v>
      </c>
      <c r="C54">
        <v>218</v>
      </c>
      <c r="D54">
        <v>335</v>
      </c>
      <c r="E54">
        <v>118</v>
      </c>
      <c r="F54">
        <v>2866</v>
      </c>
      <c r="G54">
        <v>9099</v>
      </c>
      <c r="H54">
        <v>164</v>
      </c>
      <c r="I54">
        <v>12</v>
      </c>
      <c r="J54">
        <v>168760</v>
      </c>
      <c r="K54">
        <v>77304</v>
      </c>
      <c r="L54">
        <v>333</v>
      </c>
      <c r="M54">
        <v>114</v>
      </c>
      <c r="N54">
        <v>172</v>
      </c>
      <c r="O54">
        <v>14</v>
      </c>
      <c r="P54">
        <v>1407</v>
      </c>
      <c r="Q54">
        <v>3020</v>
      </c>
      <c r="R54">
        <v>1.0397766922540126</v>
      </c>
      <c r="S54">
        <v>101</v>
      </c>
      <c r="T54" t="s">
        <v>463</v>
      </c>
      <c r="U54">
        <v>4427</v>
      </c>
      <c r="V54">
        <v>4.92432798735035E-2</v>
      </c>
      <c r="W54">
        <v>2</v>
      </c>
    </row>
    <row r="55" spans="1:23" x14ac:dyDescent="0.3">
      <c r="A55" s="1">
        <v>44223</v>
      </c>
      <c r="B55" s="2" t="s">
        <v>9</v>
      </c>
      <c r="C55">
        <v>171</v>
      </c>
      <c r="D55">
        <v>340</v>
      </c>
      <c r="E55">
        <v>160</v>
      </c>
      <c r="F55">
        <v>2980</v>
      </c>
      <c r="G55">
        <v>9200</v>
      </c>
      <c r="H55">
        <v>172</v>
      </c>
      <c r="I55">
        <v>14</v>
      </c>
      <c r="J55">
        <v>170167</v>
      </c>
      <c r="K55">
        <v>80324</v>
      </c>
      <c r="L55">
        <v>335</v>
      </c>
      <c r="M55">
        <v>-12</v>
      </c>
      <c r="N55">
        <v>177</v>
      </c>
      <c r="O55">
        <v>14</v>
      </c>
      <c r="P55">
        <v>1180</v>
      </c>
      <c r="Q55">
        <v>717</v>
      </c>
      <c r="R55">
        <v>0.99597315436241607</v>
      </c>
      <c r="S55">
        <v>178</v>
      </c>
      <c r="T55" t="s">
        <v>470</v>
      </c>
      <c r="U55">
        <v>1897</v>
      </c>
      <c r="V55">
        <v>9.0142329994728501E-2</v>
      </c>
      <c r="W55">
        <v>5</v>
      </c>
    </row>
    <row r="56" spans="1:23" x14ac:dyDescent="0.3">
      <c r="A56" s="1">
        <v>44224</v>
      </c>
      <c r="B56" s="2" t="s">
        <v>9</v>
      </c>
      <c r="C56">
        <v>190</v>
      </c>
      <c r="D56">
        <v>347</v>
      </c>
      <c r="E56">
        <v>137</v>
      </c>
      <c r="F56">
        <v>2968</v>
      </c>
      <c r="G56">
        <v>9378</v>
      </c>
      <c r="H56">
        <v>177</v>
      </c>
      <c r="I56">
        <v>14</v>
      </c>
      <c r="J56">
        <v>171347</v>
      </c>
      <c r="K56">
        <v>81041</v>
      </c>
      <c r="L56">
        <v>340</v>
      </c>
      <c r="M56">
        <v>21</v>
      </c>
      <c r="N56">
        <v>178</v>
      </c>
      <c r="O56">
        <v>12</v>
      </c>
      <c r="P56">
        <v>1715</v>
      </c>
      <c r="Q56">
        <v>1145</v>
      </c>
      <c r="R56">
        <v>1.0070754716981132</v>
      </c>
      <c r="S56">
        <v>162</v>
      </c>
      <c r="T56" t="s">
        <v>472</v>
      </c>
      <c r="U56">
        <v>2860</v>
      </c>
      <c r="V56">
        <v>6.6433566433566404E-2</v>
      </c>
      <c r="W56">
        <v>7</v>
      </c>
    </row>
    <row r="57" spans="1:23" x14ac:dyDescent="0.3">
      <c r="A57" s="1">
        <v>44225</v>
      </c>
      <c r="B57" s="2" t="s">
        <v>9</v>
      </c>
      <c r="C57">
        <v>136</v>
      </c>
      <c r="D57">
        <v>350</v>
      </c>
      <c r="E57">
        <v>160</v>
      </c>
      <c r="F57">
        <v>2989</v>
      </c>
      <c r="G57">
        <v>9540</v>
      </c>
      <c r="H57">
        <v>178</v>
      </c>
      <c r="I57">
        <v>12</v>
      </c>
      <c r="J57">
        <v>173062</v>
      </c>
      <c r="K57">
        <v>82186</v>
      </c>
      <c r="L57">
        <v>347</v>
      </c>
      <c r="M57">
        <v>-26</v>
      </c>
      <c r="N57">
        <v>168</v>
      </c>
      <c r="O57">
        <v>14</v>
      </c>
      <c r="P57">
        <v>1597</v>
      </c>
      <c r="Q57">
        <v>1249</v>
      </c>
      <c r="R57">
        <v>0.99130143860823017</v>
      </c>
      <c r="S57">
        <v>159</v>
      </c>
      <c r="T57" t="s">
        <v>473</v>
      </c>
      <c r="U57">
        <v>2846</v>
      </c>
      <c r="V57">
        <v>4.7786366830639498E-2</v>
      </c>
      <c r="W57">
        <v>3</v>
      </c>
    </row>
    <row r="58" spans="1:23" x14ac:dyDescent="0.3">
      <c r="A58" s="1">
        <v>44226</v>
      </c>
      <c r="B58" s="2" t="s">
        <v>9</v>
      </c>
      <c r="C58">
        <v>156</v>
      </c>
      <c r="D58">
        <v>351</v>
      </c>
      <c r="E58">
        <v>96</v>
      </c>
      <c r="F58">
        <v>2963</v>
      </c>
      <c r="G58">
        <v>9699</v>
      </c>
      <c r="H58">
        <v>168</v>
      </c>
      <c r="I58">
        <v>14</v>
      </c>
      <c r="J58">
        <v>174659</v>
      </c>
      <c r="K58">
        <v>83435</v>
      </c>
      <c r="L58">
        <v>350</v>
      </c>
      <c r="M58">
        <v>-14</v>
      </c>
      <c r="N58">
        <v>171</v>
      </c>
      <c r="O58">
        <v>13</v>
      </c>
      <c r="P58">
        <v>1509</v>
      </c>
      <c r="Q58">
        <v>381</v>
      </c>
      <c r="R58">
        <v>0.99527505906176172</v>
      </c>
      <c r="S58">
        <v>170</v>
      </c>
      <c r="T58" t="s">
        <v>474</v>
      </c>
      <c r="U58">
        <v>1890</v>
      </c>
      <c r="V58">
        <v>8.2539682539682496E-2</v>
      </c>
      <c r="W58">
        <v>1</v>
      </c>
    </row>
    <row r="59" spans="1:23" x14ac:dyDescent="0.3">
      <c r="A59" s="1">
        <v>44227</v>
      </c>
      <c r="B59" s="2" t="s">
        <v>9</v>
      </c>
      <c r="C59">
        <v>132</v>
      </c>
      <c r="D59">
        <v>353</v>
      </c>
      <c r="E59">
        <v>142</v>
      </c>
      <c r="F59">
        <v>2949</v>
      </c>
      <c r="G59">
        <v>9869</v>
      </c>
      <c r="H59">
        <v>171</v>
      </c>
      <c r="I59">
        <v>13</v>
      </c>
      <c r="J59">
        <v>176168</v>
      </c>
      <c r="K59">
        <v>83816</v>
      </c>
      <c r="L59">
        <v>351</v>
      </c>
      <c r="M59">
        <v>-66</v>
      </c>
      <c r="N59">
        <v>185</v>
      </c>
      <c r="O59">
        <v>13</v>
      </c>
      <c r="P59">
        <v>1318</v>
      </c>
      <c r="Q59">
        <v>407</v>
      </c>
      <c r="R59">
        <v>0.97761953204476093</v>
      </c>
      <c r="S59">
        <v>196</v>
      </c>
      <c r="T59" t="s">
        <v>475</v>
      </c>
      <c r="U59">
        <v>1725</v>
      </c>
      <c r="V59">
        <v>7.6521739130434793E-2</v>
      </c>
      <c r="W59">
        <v>2</v>
      </c>
    </row>
    <row r="60" spans="1:23" x14ac:dyDescent="0.3">
      <c r="A60" s="1">
        <v>44228</v>
      </c>
      <c r="B60" s="2" t="s">
        <v>9</v>
      </c>
      <c r="C60">
        <v>119</v>
      </c>
      <c r="D60">
        <v>357</v>
      </c>
      <c r="E60">
        <v>125</v>
      </c>
      <c r="F60">
        <v>2883</v>
      </c>
      <c r="G60">
        <v>10065</v>
      </c>
      <c r="H60">
        <v>185</v>
      </c>
      <c r="I60">
        <v>13</v>
      </c>
      <c r="J60">
        <v>177486</v>
      </c>
      <c r="K60">
        <v>84223</v>
      </c>
      <c r="L60">
        <v>353</v>
      </c>
      <c r="M60">
        <v>-9</v>
      </c>
      <c r="N60">
        <v>184</v>
      </c>
      <c r="O60">
        <v>13</v>
      </c>
      <c r="P60">
        <v>1654</v>
      </c>
      <c r="Q60">
        <v>609</v>
      </c>
      <c r="R60">
        <v>0.99687825182101975</v>
      </c>
      <c r="S60">
        <v>124</v>
      </c>
      <c r="T60" t="s">
        <v>479</v>
      </c>
      <c r="U60">
        <v>2263</v>
      </c>
      <c r="V60">
        <v>5.25850640742377E-2</v>
      </c>
      <c r="W60">
        <v>4</v>
      </c>
    </row>
    <row r="61" spans="1:23" x14ac:dyDescent="0.3">
      <c r="A61" s="1">
        <v>44229</v>
      </c>
      <c r="B61" s="2" t="s">
        <v>9</v>
      </c>
      <c r="C61">
        <v>114</v>
      </c>
      <c r="D61">
        <v>363</v>
      </c>
      <c r="E61">
        <v>93</v>
      </c>
      <c r="F61">
        <v>2874</v>
      </c>
      <c r="G61">
        <v>10189</v>
      </c>
      <c r="H61">
        <v>184</v>
      </c>
      <c r="I61">
        <v>13</v>
      </c>
      <c r="J61">
        <v>179140</v>
      </c>
      <c r="K61">
        <v>84832</v>
      </c>
      <c r="L61">
        <v>357</v>
      </c>
      <c r="M61">
        <v>-59</v>
      </c>
      <c r="N61">
        <v>176</v>
      </c>
      <c r="O61">
        <v>14</v>
      </c>
      <c r="P61">
        <v>1512</v>
      </c>
      <c r="Q61">
        <v>562</v>
      </c>
      <c r="R61">
        <v>0.97947112038970074</v>
      </c>
      <c r="S61">
        <v>169</v>
      </c>
      <c r="T61" t="s">
        <v>480</v>
      </c>
      <c r="U61">
        <v>2074</v>
      </c>
      <c r="V61">
        <v>5.4966248794599798E-2</v>
      </c>
      <c r="W61">
        <v>6</v>
      </c>
    </row>
    <row r="62" spans="1:23" x14ac:dyDescent="0.3">
      <c r="A62" s="1">
        <v>44230</v>
      </c>
      <c r="B62" s="2" t="s">
        <v>9</v>
      </c>
      <c r="C62">
        <v>121</v>
      </c>
      <c r="D62">
        <v>369</v>
      </c>
      <c r="E62">
        <v>96</v>
      </c>
      <c r="F62">
        <v>2815</v>
      </c>
      <c r="G62">
        <v>10358</v>
      </c>
      <c r="H62">
        <v>176</v>
      </c>
      <c r="I62">
        <v>14</v>
      </c>
      <c r="J62">
        <v>180652</v>
      </c>
      <c r="K62">
        <v>85394</v>
      </c>
      <c r="L62">
        <v>363</v>
      </c>
      <c r="M62">
        <v>-85</v>
      </c>
      <c r="N62">
        <v>156</v>
      </c>
      <c r="O62">
        <v>15</v>
      </c>
      <c r="P62">
        <v>1088</v>
      </c>
      <c r="Q62">
        <v>761</v>
      </c>
      <c r="R62">
        <v>0.96980461811722918</v>
      </c>
      <c r="S62">
        <v>200</v>
      </c>
      <c r="T62" t="s">
        <v>481</v>
      </c>
      <c r="U62">
        <v>1849</v>
      </c>
      <c r="V62">
        <v>6.5440778799350993E-2</v>
      </c>
      <c r="W62">
        <v>6</v>
      </c>
    </row>
    <row r="63" spans="1:23" x14ac:dyDescent="0.3">
      <c r="A63" s="1">
        <v>44231</v>
      </c>
      <c r="B63" s="2" t="s">
        <v>9</v>
      </c>
      <c r="C63">
        <v>112</v>
      </c>
      <c r="D63">
        <v>372</v>
      </c>
      <c r="E63">
        <v>102</v>
      </c>
      <c r="F63">
        <v>2730</v>
      </c>
      <c r="G63">
        <v>10558</v>
      </c>
      <c r="H63">
        <v>156</v>
      </c>
      <c r="I63">
        <v>15</v>
      </c>
      <c r="J63">
        <v>181740</v>
      </c>
      <c r="K63">
        <v>86155</v>
      </c>
      <c r="L63">
        <v>369</v>
      </c>
      <c r="M63">
        <v>-152</v>
      </c>
      <c r="N63">
        <v>154</v>
      </c>
      <c r="O63">
        <v>18</v>
      </c>
      <c r="P63">
        <v>1173</v>
      </c>
      <c r="Q63">
        <v>824</v>
      </c>
      <c r="R63">
        <v>0.9443223443223443</v>
      </c>
      <c r="S63">
        <v>261</v>
      </c>
      <c r="T63" t="s">
        <v>482</v>
      </c>
      <c r="U63">
        <v>1997</v>
      </c>
      <c r="V63">
        <v>5.6084126189283899E-2</v>
      </c>
      <c r="W63">
        <v>3</v>
      </c>
    </row>
    <row r="64" spans="1:23" x14ac:dyDescent="0.3">
      <c r="A64" s="1">
        <v>44232</v>
      </c>
      <c r="B64" s="2" t="s">
        <v>9</v>
      </c>
      <c r="C64">
        <v>77</v>
      </c>
      <c r="D64">
        <v>375</v>
      </c>
      <c r="E64">
        <v>96</v>
      </c>
      <c r="F64">
        <v>2578</v>
      </c>
      <c r="G64">
        <v>10819</v>
      </c>
      <c r="H64">
        <v>154</v>
      </c>
      <c r="I64">
        <v>18</v>
      </c>
      <c r="J64">
        <v>182913</v>
      </c>
      <c r="K64">
        <v>86979</v>
      </c>
      <c r="L64">
        <v>372</v>
      </c>
      <c r="M64">
        <v>-169</v>
      </c>
      <c r="N64">
        <v>145</v>
      </c>
      <c r="O64">
        <v>17</v>
      </c>
      <c r="P64">
        <v>1218</v>
      </c>
      <c r="Q64">
        <v>2084</v>
      </c>
      <c r="R64">
        <v>0.93444530643910007</v>
      </c>
      <c r="S64">
        <v>243</v>
      </c>
      <c r="T64" t="s">
        <v>483</v>
      </c>
      <c r="U64">
        <v>3302</v>
      </c>
      <c r="V64">
        <v>2.3319200484554801E-2</v>
      </c>
      <c r="W64">
        <v>3</v>
      </c>
    </row>
    <row r="65" spans="1:23" x14ac:dyDescent="0.3">
      <c r="A65" s="1">
        <v>44233</v>
      </c>
      <c r="B65" s="2" t="s">
        <v>9</v>
      </c>
      <c r="C65">
        <v>81</v>
      </c>
      <c r="D65">
        <v>378</v>
      </c>
      <c r="E65">
        <v>61</v>
      </c>
      <c r="F65">
        <v>2409</v>
      </c>
      <c r="G65">
        <v>11062</v>
      </c>
      <c r="H65">
        <v>145</v>
      </c>
      <c r="I65">
        <v>17</v>
      </c>
      <c r="J65">
        <v>184131</v>
      </c>
      <c r="K65">
        <v>89063</v>
      </c>
      <c r="L65">
        <v>375</v>
      </c>
      <c r="M65">
        <v>-169</v>
      </c>
      <c r="N65">
        <v>153</v>
      </c>
      <c r="O65">
        <v>18</v>
      </c>
      <c r="P65">
        <v>1298</v>
      </c>
      <c r="Q65">
        <v>1619</v>
      </c>
      <c r="R65">
        <v>0.92984640929846407</v>
      </c>
      <c r="S65">
        <v>247</v>
      </c>
      <c r="T65" t="s">
        <v>484</v>
      </c>
      <c r="U65">
        <v>2917</v>
      </c>
      <c r="V65">
        <v>2.7768255056565001E-2</v>
      </c>
      <c r="W65">
        <v>3</v>
      </c>
    </row>
    <row r="66" spans="1:23" x14ac:dyDescent="0.3">
      <c r="A66" s="1">
        <v>44234</v>
      </c>
      <c r="B66" s="2" t="s">
        <v>9</v>
      </c>
      <c r="C66">
        <v>44</v>
      </c>
      <c r="D66">
        <v>380</v>
      </c>
      <c r="E66">
        <v>84</v>
      </c>
      <c r="F66">
        <v>2240</v>
      </c>
      <c r="G66">
        <v>11309</v>
      </c>
      <c r="H66">
        <v>153</v>
      </c>
      <c r="I66">
        <v>18</v>
      </c>
      <c r="J66">
        <v>185429</v>
      </c>
      <c r="K66">
        <v>90682</v>
      </c>
      <c r="L66">
        <v>378</v>
      </c>
      <c r="M66">
        <v>-144</v>
      </c>
      <c r="N66">
        <v>161</v>
      </c>
      <c r="O66">
        <v>20</v>
      </c>
      <c r="P66">
        <v>1828</v>
      </c>
      <c r="Q66">
        <v>640</v>
      </c>
      <c r="R66">
        <v>0.93571428571428572</v>
      </c>
      <c r="S66">
        <v>186</v>
      </c>
      <c r="T66" t="s">
        <v>485</v>
      </c>
      <c r="U66">
        <v>2468</v>
      </c>
      <c r="V66">
        <v>1.7828200972447299E-2</v>
      </c>
      <c r="W66">
        <v>2</v>
      </c>
    </row>
  </sheetData>
  <phoneticPr fontId="3" type="noConversion"/>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00D0E8-9FA0-4B8F-BF4E-6602F637F839}">
  <sheetPr codeName="Sheet13"/>
  <dimension ref="A1:W66"/>
  <sheetViews>
    <sheetView topLeftCell="A2" workbookViewId="0">
      <selection sqref="A1:J90"/>
    </sheetView>
  </sheetViews>
  <sheetFormatPr defaultRowHeight="14.4" x14ac:dyDescent="0.3"/>
  <cols>
    <col min="1" max="1" width="10.5546875" bestFit="1" customWidth="1"/>
    <col min="2" max="2" width="26.8867187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388</v>
      </c>
      <c r="B1" t="s">
        <v>1</v>
      </c>
      <c r="C1" t="s">
        <v>389</v>
      </c>
      <c r="D1" t="s">
        <v>423</v>
      </c>
      <c r="E1" t="s">
        <v>413</v>
      </c>
      <c r="F1" t="s">
        <v>414</v>
      </c>
      <c r="G1" t="s">
        <v>415</v>
      </c>
      <c r="H1" t="s">
        <v>416</v>
      </c>
      <c r="I1" t="s">
        <v>417</v>
      </c>
      <c r="J1" t="s">
        <v>418</v>
      </c>
      <c r="K1" t="s">
        <v>419</v>
      </c>
      <c r="L1" t="s">
        <v>424</v>
      </c>
      <c r="M1" t="s">
        <v>390</v>
      </c>
      <c r="N1" t="s">
        <v>361</v>
      </c>
      <c r="O1" t="s">
        <v>362</v>
      </c>
      <c r="P1" t="s">
        <v>391</v>
      </c>
      <c r="Q1" t="s">
        <v>392</v>
      </c>
      <c r="R1" t="s">
        <v>420</v>
      </c>
      <c r="S1" t="s">
        <v>443</v>
      </c>
      <c r="T1" t="s">
        <v>421</v>
      </c>
      <c r="U1" t="s">
        <v>393</v>
      </c>
      <c r="V1" t="s">
        <v>394</v>
      </c>
      <c r="W1" t="s">
        <v>428</v>
      </c>
    </row>
    <row r="2" spans="1:23" x14ac:dyDescent="0.3">
      <c r="A2" s="1">
        <v>44170</v>
      </c>
      <c r="B2" s="2" t="s">
        <v>6</v>
      </c>
      <c r="C2">
        <v>37</v>
      </c>
      <c r="D2">
        <v>60</v>
      </c>
      <c r="E2">
        <v>38</v>
      </c>
      <c r="F2">
        <v>1025</v>
      </c>
      <c r="G2">
        <v>4585</v>
      </c>
      <c r="H2">
        <v>42</v>
      </c>
      <c r="I2">
        <v>9</v>
      </c>
      <c r="J2">
        <v>94462</v>
      </c>
      <c r="K2">
        <v>43668</v>
      </c>
      <c r="L2">
        <v>59</v>
      </c>
      <c r="M2">
        <v>-35</v>
      </c>
      <c r="N2">
        <v>42</v>
      </c>
      <c r="O2">
        <v>9</v>
      </c>
      <c r="P2">
        <v>852</v>
      </c>
      <c r="Q2">
        <v>51</v>
      </c>
      <c r="R2">
        <v>0.96585365853658534</v>
      </c>
      <c r="S2">
        <v>71</v>
      </c>
      <c r="T2" t="s">
        <v>369</v>
      </c>
      <c r="U2">
        <v>903</v>
      </c>
      <c r="V2">
        <v>4.09745293466224E-2</v>
      </c>
      <c r="W2">
        <v>1</v>
      </c>
    </row>
    <row r="3" spans="1:23" x14ac:dyDescent="0.3">
      <c r="A3" s="1">
        <v>44171</v>
      </c>
      <c r="B3" s="2" t="s">
        <v>6</v>
      </c>
      <c r="C3">
        <v>33</v>
      </c>
      <c r="D3">
        <v>60</v>
      </c>
      <c r="E3">
        <v>30</v>
      </c>
      <c r="F3">
        <v>990</v>
      </c>
      <c r="G3">
        <v>4656</v>
      </c>
      <c r="H3">
        <v>42</v>
      </c>
      <c r="I3">
        <v>9</v>
      </c>
      <c r="J3">
        <v>95314</v>
      </c>
      <c r="K3">
        <v>43719</v>
      </c>
      <c r="L3">
        <v>60</v>
      </c>
      <c r="M3">
        <v>-19</v>
      </c>
      <c r="N3">
        <v>44</v>
      </c>
      <c r="O3">
        <v>9</v>
      </c>
      <c r="P3">
        <v>657</v>
      </c>
      <c r="Q3">
        <v>35</v>
      </c>
      <c r="R3">
        <v>0.9808080808080808</v>
      </c>
      <c r="S3">
        <v>52</v>
      </c>
      <c r="T3" t="s">
        <v>370</v>
      </c>
      <c r="U3">
        <v>692</v>
      </c>
      <c r="V3">
        <v>4.7687861271676298E-2</v>
      </c>
      <c r="W3">
        <v>0</v>
      </c>
    </row>
    <row r="4" spans="1:23" x14ac:dyDescent="0.3">
      <c r="A4" s="1">
        <v>44172</v>
      </c>
      <c r="B4" s="2" t="s">
        <v>6</v>
      </c>
      <c r="C4">
        <v>44</v>
      </c>
      <c r="D4">
        <v>62</v>
      </c>
      <c r="E4">
        <v>29</v>
      </c>
      <c r="F4">
        <v>971</v>
      </c>
      <c r="G4">
        <v>4708</v>
      </c>
      <c r="H4">
        <v>44</v>
      </c>
      <c r="I4">
        <v>9</v>
      </c>
      <c r="J4">
        <v>95971</v>
      </c>
      <c r="K4">
        <v>43754</v>
      </c>
      <c r="L4">
        <v>60</v>
      </c>
      <c r="M4">
        <v>-72</v>
      </c>
      <c r="N4">
        <v>40</v>
      </c>
      <c r="O4">
        <v>9</v>
      </c>
      <c r="P4">
        <v>575</v>
      </c>
      <c r="Q4">
        <v>93</v>
      </c>
      <c r="R4">
        <v>0.92584963954685895</v>
      </c>
      <c r="S4">
        <v>114</v>
      </c>
      <c r="T4" t="s">
        <v>371</v>
      </c>
      <c r="U4">
        <v>668</v>
      </c>
      <c r="V4">
        <v>6.5868263473053898E-2</v>
      </c>
      <c r="W4">
        <v>2</v>
      </c>
    </row>
    <row r="5" spans="1:23" x14ac:dyDescent="0.3">
      <c r="A5" s="1">
        <v>44173</v>
      </c>
      <c r="B5" s="2" t="s">
        <v>6</v>
      </c>
      <c r="C5">
        <v>48</v>
      </c>
      <c r="D5">
        <v>65</v>
      </c>
      <c r="E5">
        <v>41</v>
      </c>
      <c r="F5">
        <v>899</v>
      </c>
      <c r="G5">
        <v>4822</v>
      </c>
      <c r="H5">
        <v>40</v>
      </c>
      <c r="I5">
        <v>9</v>
      </c>
      <c r="J5">
        <v>96546</v>
      </c>
      <c r="K5">
        <v>43847</v>
      </c>
      <c r="L5">
        <v>62</v>
      </c>
      <c r="M5">
        <v>-28</v>
      </c>
      <c r="N5">
        <v>41</v>
      </c>
      <c r="O5">
        <v>9</v>
      </c>
      <c r="P5">
        <v>795</v>
      </c>
      <c r="Q5">
        <v>75</v>
      </c>
      <c r="R5">
        <v>0.96885428253615125</v>
      </c>
      <c r="S5">
        <v>73</v>
      </c>
      <c r="T5" t="s">
        <v>372</v>
      </c>
      <c r="U5">
        <v>870</v>
      </c>
      <c r="V5">
        <v>5.5172413793103399E-2</v>
      </c>
      <c r="W5">
        <v>3</v>
      </c>
    </row>
    <row r="6" spans="1:23" x14ac:dyDescent="0.3">
      <c r="A6" s="1">
        <v>44174</v>
      </c>
      <c r="B6" s="2" t="s">
        <v>6</v>
      </c>
      <c r="C6">
        <v>39</v>
      </c>
      <c r="D6">
        <v>67</v>
      </c>
      <c r="E6">
        <v>43</v>
      </c>
      <c r="F6">
        <v>871</v>
      </c>
      <c r="G6">
        <v>4895</v>
      </c>
      <c r="H6">
        <v>41</v>
      </c>
      <c r="I6">
        <v>9</v>
      </c>
      <c r="J6">
        <v>97341</v>
      </c>
      <c r="K6">
        <v>43922</v>
      </c>
      <c r="L6">
        <v>65</v>
      </c>
      <c r="M6">
        <v>-15</v>
      </c>
      <c r="N6">
        <v>42</v>
      </c>
      <c r="O6">
        <v>9</v>
      </c>
      <c r="P6">
        <v>570</v>
      </c>
      <c r="Q6">
        <v>88</v>
      </c>
      <c r="R6">
        <v>0.98277841561423651</v>
      </c>
      <c r="S6">
        <v>53</v>
      </c>
      <c r="T6" t="s">
        <v>373</v>
      </c>
      <c r="U6">
        <v>658</v>
      </c>
      <c r="V6">
        <v>5.9270516717325201E-2</v>
      </c>
      <c r="W6">
        <v>2</v>
      </c>
    </row>
    <row r="7" spans="1:23" x14ac:dyDescent="0.3">
      <c r="A7" s="1">
        <v>44175</v>
      </c>
      <c r="B7" s="2" t="s">
        <v>6</v>
      </c>
      <c r="C7">
        <v>37</v>
      </c>
      <c r="D7">
        <v>68</v>
      </c>
      <c r="E7">
        <v>34</v>
      </c>
      <c r="F7">
        <v>856</v>
      </c>
      <c r="G7">
        <v>4948</v>
      </c>
      <c r="H7">
        <v>42</v>
      </c>
      <c r="I7">
        <v>9</v>
      </c>
      <c r="J7">
        <v>97911</v>
      </c>
      <c r="K7">
        <v>44010</v>
      </c>
      <c r="L7">
        <v>67</v>
      </c>
      <c r="M7">
        <v>-17</v>
      </c>
      <c r="N7">
        <v>42</v>
      </c>
      <c r="O7">
        <v>10</v>
      </c>
      <c r="P7">
        <v>851</v>
      </c>
      <c r="Q7">
        <v>89</v>
      </c>
      <c r="R7">
        <v>0.98014018691588789</v>
      </c>
      <c r="S7">
        <v>53</v>
      </c>
      <c r="T7" t="s">
        <v>374</v>
      </c>
      <c r="U7">
        <v>940</v>
      </c>
      <c r="V7">
        <v>3.9361702127659597E-2</v>
      </c>
      <c r="W7">
        <v>1</v>
      </c>
    </row>
    <row r="8" spans="1:23" x14ac:dyDescent="0.3">
      <c r="A8" s="1">
        <v>44176</v>
      </c>
      <c r="B8" s="2" t="s">
        <v>6</v>
      </c>
      <c r="C8">
        <v>64</v>
      </c>
      <c r="D8">
        <v>69</v>
      </c>
      <c r="E8">
        <v>39</v>
      </c>
      <c r="F8">
        <v>839</v>
      </c>
      <c r="G8">
        <v>5001</v>
      </c>
      <c r="H8">
        <v>42</v>
      </c>
      <c r="I8">
        <v>10</v>
      </c>
      <c r="J8">
        <v>98762</v>
      </c>
      <c r="K8">
        <v>44099</v>
      </c>
      <c r="L8">
        <v>68</v>
      </c>
      <c r="M8">
        <v>12</v>
      </c>
      <c r="N8">
        <v>39</v>
      </c>
      <c r="O8">
        <v>9</v>
      </c>
      <c r="P8">
        <v>1058</v>
      </c>
      <c r="Q8">
        <v>132</v>
      </c>
      <c r="R8">
        <v>1.0143027413587604</v>
      </c>
      <c r="S8">
        <v>51</v>
      </c>
      <c r="T8" t="s">
        <v>375</v>
      </c>
      <c r="U8">
        <v>1190</v>
      </c>
      <c r="V8">
        <v>5.3781512605041999E-2</v>
      </c>
      <c r="W8">
        <v>1</v>
      </c>
    </row>
    <row r="9" spans="1:23" x14ac:dyDescent="0.3">
      <c r="A9" s="1">
        <v>44177</v>
      </c>
      <c r="B9" s="2" t="s">
        <v>6</v>
      </c>
      <c r="C9">
        <v>68</v>
      </c>
      <c r="D9">
        <v>70</v>
      </c>
      <c r="E9">
        <v>58</v>
      </c>
      <c r="F9">
        <v>851</v>
      </c>
      <c r="G9">
        <v>5052</v>
      </c>
      <c r="H9">
        <v>39</v>
      </c>
      <c r="I9">
        <v>9</v>
      </c>
      <c r="J9">
        <v>99820</v>
      </c>
      <c r="K9">
        <v>44231</v>
      </c>
      <c r="L9">
        <v>69</v>
      </c>
      <c r="M9">
        <v>0</v>
      </c>
      <c r="N9">
        <v>38</v>
      </c>
      <c r="O9">
        <v>8</v>
      </c>
      <c r="P9">
        <v>982</v>
      </c>
      <c r="Q9">
        <v>65</v>
      </c>
      <c r="R9">
        <v>1</v>
      </c>
      <c r="S9">
        <v>67</v>
      </c>
      <c r="T9" t="s">
        <v>376</v>
      </c>
      <c r="U9">
        <v>1047</v>
      </c>
      <c r="V9">
        <v>6.4947468958930304E-2</v>
      </c>
      <c r="W9">
        <v>1</v>
      </c>
    </row>
    <row r="10" spans="1:23" x14ac:dyDescent="0.3">
      <c r="A10" s="1">
        <v>44178</v>
      </c>
      <c r="B10" s="2" t="s">
        <v>6</v>
      </c>
      <c r="C10">
        <v>52</v>
      </c>
      <c r="D10">
        <v>70</v>
      </c>
      <c r="E10">
        <v>63</v>
      </c>
      <c r="F10">
        <v>851</v>
      </c>
      <c r="G10">
        <v>5119</v>
      </c>
      <c r="H10">
        <v>38</v>
      </c>
      <c r="I10">
        <v>8</v>
      </c>
      <c r="J10">
        <v>100802</v>
      </c>
      <c r="K10">
        <v>44296</v>
      </c>
      <c r="L10">
        <v>70</v>
      </c>
      <c r="M10">
        <v>-3</v>
      </c>
      <c r="N10">
        <v>42</v>
      </c>
      <c r="O10">
        <v>8</v>
      </c>
      <c r="P10">
        <v>523</v>
      </c>
      <c r="Q10">
        <v>93</v>
      </c>
      <c r="R10">
        <v>0.99647473560517041</v>
      </c>
      <c r="S10">
        <v>55</v>
      </c>
      <c r="T10" t="s">
        <v>377</v>
      </c>
      <c r="U10">
        <v>616</v>
      </c>
      <c r="V10">
        <v>8.4415584415584402E-2</v>
      </c>
      <c r="W10">
        <v>0</v>
      </c>
    </row>
    <row r="11" spans="1:23" x14ac:dyDescent="0.3">
      <c r="A11" s="1">
        <v>44179</v>
      </c>
      <c r="B11" s="2" t="s">
        <v>6</v>
      </c>
      <c r="C11">
        <v>82</v>
      </c>
      <c r="D11">
        <v>71</v>
      </c>
      <c r="E11">
        <v>43</v>
      </c>
      <c r="F11">
        <v>848</v>
      </c>
      <c r="G11">
        <v>5174</v>
      </c>
      <c r="H11">
        <v>42</v>
      </c>
      <c r="I11">
        <v>8</v>
      </c>
      <c r="J11">
        <v>101325</v>
      </c>
      <c r="K11">
        <v>44389</v>
      </c>
      <c r="L11">
        <v>70</v>
      </c>
      <c r="M11">
        <v>19</v>
      </c>
      <c r="N11">
        <v>44</v>
      </c>
      <c r="O11">
        <v>8</v>
      </c>
      <c r="P11">
        <v>811</v>
      </c>
      <c r="Q11">
        <v>121</v>
      </c>
      <c r="R11">
        <v>1.0224056603773586</v>
      </c>
      <c r="S11">
        <v>63</v>
      </c>
      <c r="T11" t="s">
        <v>378</v>
      </c>
      <c r="U11">
        <v>932</v>
      </c>
      <c r="V11">
        <v>8.7982832618025794E-2</v>
      </c>
      <c r="W11">
        <v>1</v>
      </c>
    </row>
    <row r="12" spans="1:23" x14ac:dyDescent="0.3">
      <c r="A12" s="1">
        <v>44180</v>
      </c>
      <c r="B12" s="2" t="s">
        <v>6</v>
      </c>
      <c r="C12">
        <v>45</v>
      </c>
      <c r="D12">
        <v>72</v>
      </c>
      <c r="E12">
        <v>70</v>
      </c>
      <c r="F12">
        <v>867</v>
      </c>
      <c r="G12">
        <v>5237</v>
      </c>
      <c r="H12">
        <v>44</v>
      </c>
      <c r="I12">
        <v>8</v>
      </c>
      <c r="J12">
        <v>102136</v>
      </c>
      <c r="K12">
        <v>44510</v>
      </c>
      <c r="L12">
        <v>71</v>
      </c>
      <c r="M12">
        <v>2</v>
      </c>
      <c r="N12">
        <v>44</v>
      </c>
      <c r="O12">
        <v>8</v>
      </c>
      <c r="P12">
        <v>753</v>
      </c>
      <c r="Q12">
        <v>151</v>
      </c>
      <c r="R12">
        <v>1.0023068050749713</v>
      </c>
      <c r="S12">
        <v>42</v>
      </c>
      <c r="T12" t="s">
        <v>379</v>
      </c>
      <c r="U12">
        <v>904</v>
      </c>
      <c r="V12">
        <v>4.9778761061946897E-2</v>
      </c>
      <c r="W12">
        <v>1</v>
      </c>
    </row>
    <row r="13" spans="1:23" x14ac:dyDescent="0.3">
      <c r="A13" s="1">
        <v>44181</v>
      </c>
      <c r="B13" s="2" t="s">
        <v>6</v>
      </c>
      <c r="C13">
        <v>61</v>
      </c>
      <c r="D13">
        <v>72</v>
      </c>
      <c r="E13">
        <v>29</v>
      </c>
      <c r="F13">
        <v>869</v>
      </c>
      <c r="G13">
        <v>5279</v>
      </c>
      <c r="H13">
        <v>44</v>
      </c>
      <c r="I13">
        <v>8</v>
      </c>
      <c r="J13">
        <v>102889</v>
      </c>
      <c r="K13">
        <v>44661</v>
      </c>
      <c r="L13">
        <v>72</v>
      </c>
      <c r="M13">
        <v>-4</v>
      </c>
      <c r="N13">
        <v>44</v>
      </c>
      <c r="O13">
        <v>9</v>
      </c>
      <c r="P13">
        <v>893</v>
      </c>
      <c r="Q13">
        <v>121</v>
      </c>
      <c r="R13">
        <v>0.9953970080552359</v>
      </c>
      <c r="S13">
        <v>65</v>
      </c>
      <c r="T13" t="s">
        <v>380</v>
      </c>
      <c r="U13">
        <v>1014</v>
      </c>
      <c r="V13">
        <v>6.0157790927021698E-2</v>
      </c>
      <c r="W13">
        <v>0</v>
      </c>
    </row>
    <row r="14" spans="1:23" x14ac:dyDescent="0.3">
      <c r="A14" s="1">
        <v>44182</v>
      </c>
      <c r="B14" s="2" t="s">
        <v>6</v>
      </c>
      <c r="C14">
        <v>72</v>
      </c>
      <c r="D14">
        <v>72</v>
      </c>
      <c r="E14">
        <v>49</v>
      </c>
      <c r="F14">
        <v>865</v>
      </c>
      <c r="G14">
        <v>5344</v>
      </c>
      <c r="H14">
        <v>44</v>
      </c>
      <c r="I14">
        <v>9</v>
      </c>
      <c r="J14">
        <v>103782</v>
      </c>
      <c r="K14">
        <v>44782</v>
      </c>
      <c r="L14">
        <v>72</v>
      </c>
      <c r="M14">
        <v>32</v>
      </c>
      <c r="N14">
        <v>46</v>
      </c>
      <c r="O14">
        <v>9</v>
      </c>
      <c r="P14">
        <v>816</v>
      </c>
      <c r="Q14">
        <v>169</v>
      </c>
      <c r="R14">
        <v>1.0369942196531792</v>
      </c>
      <c r="S14">
        <v>40</v>
      </c>
      <c r="T14" t="s">
        <v>381</v>
      </c>
      <c r="U14">
        <v>985</v>
      </c>
      <c r="V14">
        <v>7.3096446700507606E-2</v>
      </c>
      <c r="W14">
        <v>0</v>
      </c>
    </row>
    <row r="15" spans="1:23" x14ac:dyDescent="0.3">
      <c r="A15" s="1">
        <v>44183</v>
      </c>
      <c r="B15" s="2" t="s">
        <v>6</v>
      </c>
      <c r="C15">
        <v>64</v>
      </c>
      <c r="D15">
        <v>73</v>
      </c>
      <c r="E15">
        <v>62</v>
      </c>
      <c r="F15">
        <v>897</v>
      </c>
      <c r="G15">
        <v>5384</v>
      </c>
      <c r="H15">
        <v>46</v>
      </c>
      <c r="I15">
        <v>9</v>
      </c>
      <c r="J15">
        <v>104598</v>
      </c>
      <c r="K15">
        <v>44951</v>
      </c>
      <c r="L15">
        <v>72</v>
      </c>
      <c r="M15">
        <v>28</v>
      </c>
      <c r="N15">
        <v>37</v>
      </c>
      <c r="O15">
        <v>8</v>
      </c>
      <c r="P15">
        <v>936</v>
      </c>
      <c r="Q15">
        <v>129</v>
      </c>
      <c r="R15">
        <v>1.0312151616499443</v>
      </c>
      <c r="S15">
        <v>35</v>
      </c>
      <c r="T15" t="s">
        <v>382</v>
      </c>
      <c r="U15">
        <v>1065</v>
      </c>
      <c r="V15">
        <v>6.0093896713615001E-2</v>
      </c>
      <c r="W15">
        <v>1</v>
      </c>
    </row>
    <row r="16" spans="1:23" x14ac:dyDescent="0.3">
      <c r="A16" s="1">
        <v>44184</v>
      </c>
      <c r="B16" s="2" t="s">
        <v>6</v>
      </c>
      <c r="C16">
        <v>58</v>
      </c>
      <c r="D16">
        <v>75</v>
      </c>
      <c r="E16">
        <v>62</v>
      </c>
      <c r="F16">
        <v>925</v>
      </c>
      <c r="G16">
        <v>5419</v>
      </c>
      <c r="H16">
        <v>37</v>
      </c>
      <c r="I16">
        <v>8</v>
      </c>
      <c r="J16">
        <v>105534</v>
      </c>
      <c r="K16">
        <v>45080</v>
      </c>
      <c r="L16">
        <v>73</v>
      </c>
      <c r="M16">
        <v>11</v>
      </c>
      <c r="N16">
        <v>40</v>
      </c>
      <c r="O16">
        <v>8</v>
      </c>
      <c r="P16">
        <v>719</v>
      </c>
      <c r="Q16">
        <v>77</v>
      </c>
      <c r="R16">
        <v>1.011891891891892</v>
      </c>
      <c r="S16">
        <v>45</v>
      </c>
      <c r="T16" t="s">
        <v>383</v>
      </c>
      <c r="U16">
        <v>796</v>
      </c>
      <c r="V16">
        <v>7.2864321608040197E-2</v>
      </c>
      <c r="W16">
        <v>2</v>
      </c>
    </row>
    <row r="17" spans="1:23" x14ac:dyDescent="0.3">
      <c r="A17" s="1">
        <v>44185</v>
      </c>
      <c r="B17" s="2" t="s">
        <v>6</v>
      </c>
      <c r="C17">
        <v>26</v>
      </c>
      <c r="D17">
        <v>76</v>
      </c>
      <c r="E17">
        <v>57</v>
      </c>
      <c r="F17">
        <v>936</v>
      </c>
      <c r="G17">
        <v>5464</v>
      </c>
      <c r="H17">
        <v>40</v>
      </c>
      <c r="I17">
        <v>8</v>
      </c>
      <c r="J17">
        <v>106253</v>
      </c>
      <c r="K17">
        <v>45157</v>
      </c>
      <c r="L17">
        <v>75</v>
      </c>
      <c r="M17">
        <v>-19</v>
      </c>
      <c r="N17">
        <v>42</v>
      </c>
      <c r="O17">
        <v>7</v>
      </c>
      <c r="P17">
        <v>469</v>
      </c>
      <c r="Q17">
        <v>61</v>
      </c>
      <c r="R17">
        <v>0.97970085470085466</v>
      </c>
      <c r="S17">
        <v>44</v>
      </c>
      <c r="T17" t="s">
        <v>384</v>
      </c>
      <c r="U17">
        <v>530</v>
      </c>
      <c r="V17">
        <v>4.9056603773584902E-2</v>
      </c>
      <c r="W17">
        <v>1</v>
      </c>
    </row>
    <row r="18" spans="1:23" x14ac:dyDescent="0.3">
      <c r="A18" s="1">
        <v>44186</v>
      </c>
      <c r="B18" s="2" t="s">
        <v>6</v>
      </c>
      <c r="C18">
        <v>45</v>
      </c>
      <c r="D18">
        <v>76</v>
      </c>
      <c r="E18">
        <v>21</v>
      </c>
      <c r="F18">
        <v>917</v>
      </c>
      <c r="G18">
        <v>5508</v>
      </c>
      <c r="H18">
        <v>42</v>
      </c>
      <c r="I18">
        <v>7</v>
      </c>
      <c r="J18">
        <v>106722</v>
      </c>
      <c r="K18">
        <v>45218</v>
      </c>
      <c r="L18">
        <v>76</v>
      </c>
      <c r="M18">
        <v>5</v>
      </c>
      <c r="N18">
        <v>42</v>
      </c>
      <c r="O18">
        <v>8</v>
      </c>
      <c r="P18">
        <v>609</v>
      </c>
      <c r="Q18">
        <v>139</v>
      </c>
      <c r="R18">
        <v>1.005452562704471</v>
      </c>
      <c r="S18">
        <v>40</v>
      </c>
      <c r="T18" t="s">
        <v>385</v>
      </c>
      <c r="U18">
        <v>748</v>
      </c>
      <c r="V18">
        <v>6.0160427807486601E-2</v>
      </c>
      <c r="W18">
        <v>0</v>
      </c>
    </row>
    <row r="19" spans="1:23" x14ac:dyDescent="0.3">
      <c r="A19" s="1">
        <v>44187</v>
      </c>
      <c r="B19" s="2" t="s">
        <v>6</v>
      </c>
      <c r="C19">
        <v>36</v>
      </c>
      <c r="D19">
        <v>76</v>
      </c>
      <c r="E19">
        <v>39</v>
      </c>
      <c r="F19">
        <v>922</v>
      </c>
      <c r="G19">
        <v>5548</v>
      </c>
      <c r="H19">
        <v>42</v>
      </c>
      <c r="I19">
        <v>8</v>
      </c>
      <c r="J19">
        <v>107331</v>
      </c>
      <c r="K19">
        <v>45357</v>
      </c>
      <c r="L19">
        <v>76</v>
      </c>
      <c r="M19">
        <v>-11</v>
      </c>
      <c r="N19">
        <v>42</v>
      </c>
      <c r="O19">
        <v>6</v>
      </c>
      <c r="P19">
        <v>881</v>
      </c>
      <c r="Q19">
        <v>120</v>
      </c>
      <c r="R19">
        <v>0.98806941431670281</v>
      </c>
      <c r="S19">
        <v>47</v>
      </c>
      <c r="T19" t="s">
        <v>386</v>
      </c>
      <c r="U19">
        <v>1001</v>
      </c>
      <c r="V19">
        <v>3.5964035964036002E-2</v>
      </c>
      <c r="W19">
        <v>0</v>
      </c>
    </row>
    <row r="20" spans="1:23" x14ac:dyDescent="0.3">
      <c r="A20" s="1">
        <v>44188</v>
      </c>
      <c r="B20" s="2" t="s">
        <v>6</v>
      </c>
      <c r="C20">
        <v>60</v>
      </c>
      <c r="D20">
        <v>76</v>
      </c>
      <c r="E20">
        <v>25</v>
      </c>
      <c r="F20">
        <v>911</v>
      </c>
      <c r="G20">
        <v>5595</v>
      </c>
      <c r="H20">
        <v>42</v>
      </c>
      <c r="I20">
        <v>6</v>
      </c>
      <c r="J20">
        <v>108212</v>
      </c>
      <c r="K20">
        <v>45477</v>
      </c>
      <c r="L20">
        <v>76</v>
      </c>
      <c r="M20">
        <v>-7</v>
      </c>
      <c r="N20">
        <v>40</v>
      </c>
      <c r="O20">
        <v>8</v>
      </c>
      <c r="P20">
        <v>972</v>
      </c>
      <c r="Q20">
        <v>130</v>
      </c>
      <c r="R20">
        <v>0.99231613611416025</v>
      </c>
      <c r="S20">
        <v>67</v>
      </c>
      <c r="T20" t="s">
        <v>367</v>
      </c>
      <c r="U20">
        <v>1102</v>
      </c>
      <c r="V20">
        <v>5.4446460980036297E-2</v>
      </c>
      <c r="W20">
        <v>0</v>
      </c>
    </row>
    <row r="21" spans="1:23" x14ac:dyDescent="0.3">
      <c r="A21" s="1">
        <v>44189</v>
      </c>
      <c r="B21" s="2" t="s">
        <v>6</v>
      </c>
      <c r="C21">
        <v>58</v>
      </c>
      <c r="D21">
        <v>76</v>
      </c>
      <c r="E21">
        <v>53</v>
      </c>
      <c r="F21">
        <v>904</v>
      </c>
      <c r="G21">
        <v>5662</v>
      </c>
      <c r="H21">
        <v>40</v>
      </c>
      <c r="I21">
        <v>8</v>
      </c>
      <c r="J21">
        <v>109184</v>
      </c>
      <c r="K21">
        <v>45607</v>
      </c>
      <c r="L21">
        <v>76</v>
      </c>
      <c r="M21">
        <v>18</v>
      </c>
      <c r="N21">
        <v>39</v>
      </c>
      <c r="O21">
        <v>9</v>
      </c>
      <c r="P21">
        <v>1017</v>
      </c>
      <c r="Q21">
        <v>115</v>
      </c>
      <c r="R21">
        <v>1.0199115044247788</v>
      </c>
      <c r="S21">
        <v>40</v>
      </c>
      <c r="T21" t="s">
        <v>343</v>
      </c>
      <c r="U21">
        <v>1132</v>
      </c>
      <c r="V21">
        <v>5.1236749116607798E-2</v>
      </c>
      <c r="W21">
        <v>0</v>
      </c>
    </row>
    <row r="22" spans="1:23" x14ac:dyDescent="0.3">
      <c r="A22" s="1">
        <v>44190</v>
      </c>
      <c r="B22" s="2" t="s">
        <v>6</v>
      </c>
      <c r="C22">
        <v>39</v>
      </c>
      <c r="D22">
        <v>77</v>
      </c>
      <c r="E22">
        <v>49</v>
      </c>
      <c r="F22">
        <v>922</v>
      </c>
      <c r="G22">
        <v>5702</v>
      </c>
      <c r="H22">
        <v>39</v>
      </c>
      <c r="I22">
        <v>9</v>
      </c>
      <c r="J22">
        <v>110201</v>
      </c>
      <c r="K22">
        <v>45722</v>
      </c>
      <c r="L22">
        <v>76</v>
      </c>
      <c r="M22">
        <v>-15</v>
      </c>
      <c r="N22">
        <v>45</v>
      </c>
      <c r="O22">
        <v>9</v>
      </c>
      <c r="P22">
        <v>488</v>
      </c>
      <c r="Q22">
        <v>64</v>
      </c>
      <c r="R22">
        <v>0.98373101952277653</v>
      </c>
      <c r="S22">
        <v>53</v>
      </c>
      <c r="T22" t="s">
        <v>344</v>
      </c>
      <c r="U22">
        <v>552</v>
      </c>
      <c r="V22">
        <v>7.0652173913043501E-2</v>
      </c>
      <c r="W22">
        <v>1</v>
      </c>
    </row>
    <row r="23" spans="1:23" x14ac:dyDescent="0.3">
      <c r="A23" s="1">
        <v>44191</v>
      </c>
      <c r="B23" s="2" t="s">
        <v>6</v>
      </c>
      <c r="C23">
        <v>46</v>
      </c>
      <c r="D23">
        <v>77</v>
      </c>
      <c r="E23">
        <v>38</v>
      </c>
      <c r="F23">
        <v>907</v>
      </c>
      <c r="G23">
        <v>5755</v>
      </c>
      <c r="H23">
        <v>45</v>
      </c>
      <c r="I23">
        <v>9</v>
      </c>
      <c r="J23">
        <v>110689</v>
      </c>
      <c r="K23">
        <v>45786</v>
      </c>
      <c r="L23">
        <v>77</v>
      </c>
      <c r="M23">
        <v>-11</v>
      </c>
      <c r="N23">
        <v>45</v>
      </c>
      <c r="O23">
        <v>11</v>
      </c>
      <c r="P23">
        <v>506</v>
      </c>
      <c r="Q23">
        <v>53</v>
      </c>
      <c r="R23">
        <v>0.98787210584343987</v>
      </c>
      <c r="S23">
        <v>57</v>
      </c>
      <c r="T23" t="s">
        <v>345</v>
      </c>
      <c r="U23">
        <v>559</v>
      </c>
      <c r="V23">
        <v>8.2289803220035804E-2</v>
      </c>
      <c r="W23">
        <v>0</v>
      </c>
    </row>
    <row r="24" spans="1:23" x14ac:dyDescent="0.3">
      <c r="A24" s="1">
        <v>44192</v>
      </c>
      <c r="B24" s="2" t="s">
        <v>6</v>
      </c>
      <c r="C24">
        <v>37</v>
      </c>
      <c r="D24">
        <v>77</v>
      </c>
      <c r="E24">
        <v>47</v>
      </c>
      <c r="F24">
        <v>896</v>
      </c>
      <c r="G24">
        <v>5812</v>
      </c>
      <c r="H24">
        <v>45</v>
      </c>
      <c r="I24">
        <v>11</v>
      </c>
      <c r="J24">
        <v>111195</v>
      </c>
      <c r="K24">
        <v>45839</v>
      </c>
      <c r="L24">
        <v>77</v>
      </c>
      <c r="M24">
        <v>-30</v>
      </c>
      <c r="N24">
        <v>50</v>
      </c>
      <c r="O24">
        <v>11</v>
      </c>
      <c r="P24">
        <v>742</v>
      </c>
      <c r="Q24">
        <v>66</v>
      </c>
      <c r="R24">
        <v>0.9665178571428571</v>
      </c>
      <c r="S24">
        <v>67</v>
      </c>
      <c r="T24" t="s">
        <v>346</v>
      </c>
      <c r="U24">
        <v>808</v>
      </c>
      <c r="V24">
        <v>4.5792079207920798E-2</v>
      </c>
      <c r="W24">
        <v>0</v>
      </c>
    </row>
    <row r="25" spans="1:23" x14ac:dyDescent="0.3">
      <c r="A25" s="1">
        <v>44193</v>
      </c>
      <c r="B25" s="2" t="s">
        <v>6</v>
      </c>
      <c r="C25">
        <v>39</v>
      </c>
      <c r="D25">
        <v>77</v>
      </c>
      <c r="E25">
        <v>33</v>
      </c>
      <c r="F25">
        <v>866</v>
      </c>
      <c r="G25">
        <v>5879</v>
      </c>
      <c r="H25">
        <v>50</v>
      </c>
      <c r="I25">
        <v>11</v>
      </c>
      <c r="J25">
        <v>111937</v>
      </c>
      <c r="K25">
        <v>45905</v>
      </c>
      <c r="L25">
        <v>77</v>
      </c>
      <c r="M25">
        <v>-14</v>
      </c>
      <c r="N25">
        <v>44</v>
      </c>
      <c r="O25">
        <v>10</v>
      </c>
      <c r="P25">
        <v>500</v>
      </c>
      <c r="Q25">
        <v>106</v>
      </c>
      <c r="R25">
        <v>0.9838337182448037</v>
      </c>
      <c r="S25">
        <v>53</v>
      </c>
      <c r="T25" t="s">
        <v>347</v>
      </c>
      <c r="U25">
        <v>606</v>
      </c>
      <c r="V25">
        <v>6.43564356435644E-2</v>
      </c>
      <c r="W25">
        <v>0</v>
      </c>
    </row>
    <row r="26" spans="1:23" x14ac:dyDescent="0.3">
      <c r="A26" s="1">
        <v>44194</v>
      </c>
      <c r="B26" s="2" t="s">
        <v>6</v>
      </c>
      <c r="C26">
        <v>53</v>
      </c>
      <c r="D26">
        <v>77</v>
      </c>
      <c r="E26">
        <v>32</v>
      </c>
      <c r="F26">
        <v>852</v>
      </c>
      <c r="G26">
        <v>5932</v>
      </c>
      <c r="H26">
        <v>44</v>
      </c>
      <c r="I26">
        <v>10</v>
      </c>
      <c r="J26">
        <v>112437</v>
      </c>
      <c r="K26">
        <v>46011</v>
      </c>
      <c r="L26">
        <v>77</v>
      </c>
      <c r="M26">
        <v>-31</v>
      </c>
      <c r="N26">
        <v>41</v>
      </c>
      <c r="O26">
        <v>11</v>
      </c>
      <c r="P26">
        <v>925</v>
      </c>
      <c r="Q26">
        <v>127</v>
      </c>
      <c r="R26">
        <v>0.96361502347417838</v>
      </c>
      <c r="S26">
        <v>84</v>
      </c>
      <c r="T26" t="s">
        <v>348</v>
      </c>
      <c r="U26">
        <v>1052</v>
      </c>
      <c r="V26">
        <v>5.0380228136882102E-2</v>
      </c>
      <c r="W26">
        <v>0</v>
      </c>
    </row>
    <row r="27" spans="1:23" x14ac:dyDescent="0.3">
      <c r="A27" s="1">
        <v>44195</v>
      </c>
      <c r="B27" s="2" t="s">
        <v>6</v>
      </c>
      <c r="C27">
        <v>30</v>
      </c>
      <c r="D27">
        <v>78</v>
      </c>
      <c r="E27">
        <v>48</v>
      </c>
      <c r="F27">
        <v>821</v>
      </c>
      <c r="G27">
        <v>6016</v>
      </c>
      <c r="H27">
        <v>41</v>
      </c>
      <c r="I27">
        <v>11</v>
      </c>
      <c r="J27">
        <v>113362</v>
      </c>
      <c r="K27">
        <v>46138</v>
      </c>
      <c r="L27">
        <v>77</v>
      </c>
      <c r="M27">
        <v>-5</v>
      </c>
      <c r="N27">
        <v>42</v>
      </c>
      <c r="O27">
        <v>10</v>
      </c>
      <c r="P27">
        <v>1073</v>
      </c>
      <c r="Q27">
        <v>91</v>
      </c>
      <c r="R27">
        <v>0.99390986601705233</v>
      </c>
      <c r="S27">
        <v>34</v>
      </c>
      <c r="T27" t="s">
        <v>349</v>
      </c>
      <c r="U27">
        <v>1164</v>
      </c>
      <c r="V27">
        <v>2.57731958762887E-2</v>
      </c>
      <c r="W27">
        <v>1</v>
      </c>
    </row>
    <row r="28" spans="1:23" x14ac:dyDescent="0.3">
      <c r="A28" s="1">
        <v>44196</v>
      </c>
      <c r="B28" s="2" t="s">
        <v>6</v>
      </c>
      <c r="C28">
        <v>51</v>
      </c>
      <c r="D28">
        <v>80</v>
      </c>
      <c r="E28">
        <v>25</v>
      </c>
      <c r="F28">
        <v>816</v>
      </c>
      <c r="G28">
        <v>6050</v>
      </c>
      <c r="H28">
        <v>42</v>
      </c>
      <c r="I28">
        <v>10</v>
      </c>
      <c r="J28">
        <v>114435</v>
      </c>
      <c r="K28">
        <v>46229</v>
      </c>
      <c r="L28">
        <v>78</v>
      </c>
      <c r="M28">
        <v>-27</v>
      </c>
      <c r="N28">
        <v>39</v>
      </c>
      <c r="O28">
        <v>12</v>
      </c>
      <c r="P28">
        <v>986</v>
      </c>
      <c r="Q28">
        <v>118</v>
      </c>
      <c r="R28">
        <v>0.96691176470588236</v>
      </c>
      <c r="S28">
        <v>76</v>
      </c>
      <c r="T28" t="s">
        <v>350</v>
      </c>
      <c r="U28">
        <v>1104</v>
      </c>
      <c r="V28">
        <v>4.6195652173912999E-2</v>
      </c>
      <c r="W28">
        <v>2</v>
      </c>
    </row>
    <row r="29" spans="1:23" x14ac:dyDescent="0.3">
      <c r="A29" s="1">
        <v>44197</v>
      </c>
      <c r="B29" s="2" t="s">
        <v>6</v>
      </c>
      <c r="C29">
        <v>46</v>
      </c>
      <c r="D29">
        <v>81</v>
      </c>
      <c r="E29">
        <v>48</v>
      </c>
      <c r="F29">
        <v>789</v>
      </c>
      <c r="G29">
        <v>6126</v>
      </c>
      <c r="H29">
        <v>39</v>
      </c>
      <c r="I29">
        <v>12</v>
      </c>
      <c r="J29">
        <v>115421</v>
      </c>
      <c r="K29">
        <v>46347</v>
      </c>
      <c r="L29">
        <v>80</v>
      </c>
      <c r="M29">
        <v>-16</v>
      </c>
      <c r="N29">
        <v>32</v>
      </c>
      <c r="O29">
        <v>12</v>
      </c>
      <c r="P29">
        <v>330</v>
      </c>
      <c r="Q29">
        <v>73</v>
      </c>
      <c r="R29">
        <v>0.97972116603295312</v>
      </c>
      <c r="S29">
        <v>62</v>
      </c>
      <c r="T29" t="s">
        <v>351</v>
      </c>
      <c r="U29">
        <v>403</v>
      </c>
      <c r="V29">
        <v>0.11414392059553401</v>
      </c>
      <c r="W29">
        <v>1</v>
      </c>
    </row>
    <row r="30" spans="1:23" x14ac:dyDescent="0.3">
      <c r="A30" s="1">
        <v>44198</v>
      </c>
      <c r="B30" s="2" t="s">
        <v>6</v>
      </c>
      <c r="C30">
        <v>26</v>
      </c>
      <c r="D30">
        <v>83</v>
      </c>
      <c r="E30">
        <v>42</v>
      </c>
      <c r="F30">
        <v>773</v>
      </c>
      <c r="G30">
        <v>6188</v>
      </c>
      <c r="H30">
        <v>32</v>
      </c>
      <c r="I30">
        <v>12</v>
      </c>
      <c r="J30">
        <v>115751</v>
      </c>
      <c r="K30">
        <v>46420</v>
      </c>
      <c r="L30">
        <v>81</v>
      </c>
      <c r="M30">
        <v>-63</v>
      </c>
      <c r="N30">
        <v>35</v>
      </c>
      <c r="O30">
        <v>9</v>
      </c>
      <c r="P30">
        <v>288</v>
      </c>
      <c r="Q30">
        <v>88</v>
      </c>
      <c r="R30">
        <v>0.91849935316946962</v>
      </c>
      <c r="S30">
        <v>86</v>
      </c>
      <c r="T30" t="s">
        <v>352</v>
      </c>
      <c r="U30">
        <v>376</v>
      </c>
      <c r="V30">
        <v>6.9148936170212796E-2</v>
      </c>
      <c r="W30">
        <v>2</v>
      </c>
    </row>
    <row r="31" spans="1:23" x14ac:dyDescent="0.3">
      <c r="A31" s="1">
        <v>44199</v>
      </c>
      <c r="B31" s="2" t="s">
        <v>6</v>
      </c>
      <c r="C31">
        <v>59</v>
      </c>
      <c r="D31">
        <v>83</v>
      </c>
      <c r="E31">
        <v>16</v>
      </c>
      <c r="F31">
        <v>710</v>
      </c>
      <c r="G31">
        <v>6274</v>
      </c>
      <c r="H31">
        <v>35</v>
      </c>
      <c r="I31">
        <v>9</v>
      </c>
      <c r="J31">
        <v>116039</v>
      </c>
      <c r="K31">
        <v>46508</v>
      </c>
      <c r="L31">
        <v>83</v>
      </c>
      <c r="M31">
        <v>21</v>
      </c>
      <c r="N31">
        <v>39</v>
      </c>
      <c r="O31">
        <v>8</v>
      </c>
      <c r="P31">
        <v>348</v>
      </c>
      <c r="Q31">
        <v>64</v>
      </c>
      <c r="R31">
        <v>1.0295774647887324</v>
      </c>
      <c r="S31">
        <v>38</v>
      </c>
      <c r="T31" t="s">
        <v>353</v>
      </c>
      <c r="U31">
        <v>412</v>
      </c>
      <c r="V31">
        <v>0.14320388349514601</v>
      </c>
      <c r="W31">
        <v>0</v>
      </c>
    </row>
    <row r="32" spans="1:23" x14ac:dyDescent="0.3">
      <c r="A32" s="1">
        <v>44200</v>
      </c>
      <c r="B32" s="2" t="s">
        <v>6</v>
      </c>
      <c r="C32">
        <v>44</v>
      </c>
      <c r="D32">
        <v>83</v>
      </c>
      <c r="E32">
        <v>56</v>
      </c>
      <c r="F32">
        <v>731</v>
      </c>
      <c r="G32">
        <v>6312</v>
      </c>
      <c r="H32">
        <v>39</v>
      </c>
      <c r="I32">
        <v>8</v>
      </c>
      <c r="J32">
        <v>116387</v>
      </c>
      <c r="K32">
        <v>46572</v>
      </c>
      <c r="L32">
        <v>83</v>
      </c>
      <c r="M32">
        <v>20</v>
      </c>
      <c r="N32">
        <v>37</v>
      </c>
      <c r="O32">
        <v>11</v>
      </c>
      <c r="P32">
        <v>600</v>
      </c>
      <c r="Q32">
        <v>110</v>
      </c>
      <c r="R32">
        <v>1.027359781121751</v>
      </c>
      <c r="S32">
        <v>24</v>
      </c>
      <c r="T32" t="s">
        <v>354</v>
      </c>
      <c r="U32">
        <v>710</v>
      </c>
      <c r="V32">
        <v>6.1971830985915501E-2</v>
      </c>
      <c r="W32">
        <v>0</v>
      </c>
    </row>
    <row r="33" spans="1:23" x14ac:dyDescent="0.3">
      <c r="A33" s="1">
        <v>44201</v>
      </c>
      <c r="B33" s="2" t="s">
        <v>6</v>
      </c>
      <c r="C33">
        <v>33</v>
      </c>
      <c r="D33">
        <v>83</v>
      </c>
      <c r="E33">
        <v>40</v>
      </c>
      <c r="F33">
        <v>751</v>
      </c>
      <c r="G33">
        <v>6336</v>
      </c>
      <c r="H33">
        <v>37</v>
      </c>
      <c r="I33">
        <v>11</v>
      </c>
      <c r="J33">
        <v>116987</v>
      </c>
      <c r="K33">
        <v>46682</v>
      </c>
      <c r="L33">
        <v>83</v>
      </c>
      <c r="M33">
        <v>-8</v>
      </c>
      <c r="N33">
        <v>44</v>
      </c>
      <c r="O33">
        <v>11</v>
      </c>
      <c r="P33">
        <v>766</v>
      </c>
      <c r="Q33">
        <v>119</v>
      </c>
      <c r="R33">
        <v>0.98934753661784292</v>
      </c>
      <c r="S33">
        <v>41</v>
      </c>
      <c r="T33" t="s">
        <v>355</v>
      </c>
      <c r="U33">
        <v>885</v>
      </c>
      <c r="V33">
        <v>3.7288135593220299E-2</v>
      </c>
      <c r="W33">
        <v>0</v>
      </c>
    </row>
    <row r="34" spans="1:23" x14ac:dyDescent="0.3">
      <c r="A34" s="1">
        <v>44202</v>
      </c>
      <c r="B34" s="2" t="s">
        <v>6</v>
      </c>
      <c r="C34">
        <v>50</v>
      </c>
      <c r="D34">
        <v>83</v>
      </c>
      <c r="E34">
        <v>29</v>
      </c>
      <c r="F34">
        <v>743</v>
      </c>
      <c r="G34">
        <v>6377</v>
      </c>
      <c r="H34">
        <v>44</v>
      </c>
      <c r="I34">
        <v>11</v>
      </c>
      <c r="J34">
        <v>117753</v>
      </c>
      <c r="K34">
        <v>46801</v>
      </c>
      <c r="L34">
        <v>83</v>
      </c>
      <c r="M34">
        <v>-8</v>
      </c>
      <c r="N34">
        <v>46</v>
      </c>
      <c r="O34">
        <v>10</v>
      </c>
      <c r="P34">
        <v>742</v>
      </c>
      <c r="Q34">
        <v>77</v>
      </c>
      <c r="R34">
        <v>0.98923283983849264</v>
      </c>
      <c r="S34">
        <v>58</v>
      </c>
      <c r="T34" t="s">
        <v>356</v>
      </c>
      <c r="U34">
        <v>819</v>
      </c>
      <c r="V34">
        <v>6.1050061050061E-2</v>
      </c>
      <c r="W34">
        <v>0</v>
      </c>
    </row>
    <row r="35" spans="1:23" x14ac:dyDescent="0.3">
      <c r="A35" s="1">
        <v>44203</v>
      </c>
      <c r="B35" s="2" t="s">
        <v>6</v>
      </c>
      <c r="C35">
        <v>55</v>
      </c>
      <c r="D35">
        <v>84</v>
      </c>
      <c r="E35">
        <v>45</v>
      </c>
      <c r="F35">
        <v>735</v>
      </c>
      <c r="G35">
        <v>6435</v>
      </c>
      <c r="H35">
        <v>46</v>
      </c>
      <c r="I35">
        <v>10</v>
      </c>
      <c r="J35">
        <v>118495</v>
      </c>
      <c r="K35">
        <v>46878</v>
      </c>
      <c r="L35">
        <v>83</v>
      </c>
      <c r="M35">
        <v>-18</v>
      </c>
      <c r="N35">
        <v>39</v>
      </c>
      <c r="O35">
        <v>12</v>
      </c>
      <c r="P35">
        <v>478</v>
      </c>
      <c r="Q35">
        <v>98</v>
      </c>
      <c r="R35">
        <v>0.97551020408163269</v>
      </c>
      <c r="S35">
        <v>72</v>
      </c>
      <c r="T35" t="s">
        <v>387</v>
      </c>
      <c r="U35">
        <v>576</v>
      </c>
      <c r="V35">
        <v>9.5486111111111105E-2</v>
      </c>
      <c r="W35">
        <v>1</v>
      </c>
    </row>
    <row r="36" spans="1:23" x14ac:dyDescent="0.3">
      <c r="A36" s="1">
        <v>44204</v>
      </c>
      <c r="B36" s="2" t="s">
        <v>6</v>
      </c>
      <c r="C36">
        <v>63</v>
      </c>
      <c r="D36">
        <v>84</v>
      </c>
      <c r="E36">
        <v>51</v>
      </c>
      <c r="F36">
        <v>717</v>
      </c>
      <c r="G36">
        <v>6507</v>
      </c>
      <c r="H36">
        <v>39</v>
      </c>
      <c r="I36">
        <v>12</v>
      </c>
      <c r="J36">
        <v>118973</v>
      </c>
      <c r="K36">
        <v>46976</v>
      </c>
      <c r="L36">
        <v>84</v>
      </c>
      <c r="M36">
        <v>7</v>
      </c>
      <c r="N36">
        <v>40</v>
      </c>
      <c r="O36">
        <v>12</v>
      </c>
      <c r="P36">
        <v>504</v>
      </c>
      <c r="Q36">
        <v>119</v>
      </c>
      <c r="R36">
        <v>1.0097629009762901</v>
      </c>
      <c r="S36">
        <v>56</v>
      </c>
      <c r="T36" t="s">
        <v>398</v>
      </c>
      <c r="U36">
        <v>623</v>
      </c>
      <c r="V36">
        <v>0.101123595505618</v>
      </c>
      <c r="W36">
        <v>0</v>
      </c>
    </row>
    <row r="37" spans="1:23" x14ac:dyDescent="0.3">
      <c r="A37" s="1">
        <v>44205</v>
      </c>
      <c r="B37" s="2" t="s">
        <v>6</v>
      </c>
      <c r="C37">
        <v>50</v>
      </c>
      <c r="D37">
        <v>86</v>
      </c>
      <c r="E37">
        <v>55</v>
      </c>
      <c r="F37">
        <v>724</v>
      </c>
      <c r="G37">
        <v>6563</v>
      </c>
      <c r="H37">
        <v>40</v>
      </c>
      <c r="I37">
        <v>12</v>
      </c>
      <c r="J37">
        <v>119477</v>
      </c>
      <c r="K37">
        <v>47095</v>
      </c>
      <c r="L37">
        <v>84</v>
      </c>
      <c r="M37">
        <v>12</v>
      </c>
      <c r="N37">
        <v>38</v>
      </c>
      <c r="O37">
        <v>12</v>
      </c>
      <c r="P37">
        <v>674</v>
      </c>
      <c r="Q37">
        <v>97</v>
      </c>
      <c r="R37">
        <v>1.0165745856353592</v>
      </c>
      <c r="S37">
        <v>36</v>
      </c>
      <c r="T37" t="s">
        <v>399</v>
      </c>
      <c r="U37">
        <v>771</v>
      </c>
      <c r="V37">
        <v>6.4850843060959798E-2</v>
      </c>
      <c r="W37">
        <v>2</v>
      </c>
    </row>
    <row r="38" spans="1:23" x14ac:dyDescent="0.3">
      <c r="A38" s="1">
        <v>44206</v>
      </c>
      <c r="B38" s="2" t="s">
        <v>6</v>
      </c>
      <c r="C38">
        <v>67</v>
      </c>
      <c r="D38">
        <v>87</v>
      </c>
      <c r="E38">
        <v>43</v>
      </c>
      <c r="F38">
        <v>736</v>
      </c>
      <c r="G38">
        <v>6599</v>
      </c>
      <c r="H38">
        <v>38</v>
      </c>
      <c r="I38">
        <v>12</v>
      </c>
      <c r="J38">
        <v>120151</v>
      </c>
      <c r="K38">
        <v>47192</v>
      </c>
      <c r="L38">
        <v>86</v>
      </c>
      <c r="M38">
        <v>22</v>
      </c>
      <c r="N38">
        <v>44</v>
      </c>
      <c r="O38">
        <v>11</v>
      </c>
      <c r="P38">
        <v>349</v>
      </c>
      <c r="Q38">
        <v>76</v>
      </c>
      <c r="R38">
        <v>1.0298913043478262</v>
      </c>
      <c r="S38">
        <v>45</v>
      </c>
      <c r="T38" t="s">
        <v>400</v>
      </c>
      <c r="U38">
        <v>425</v>
      </c>
      <c r="V38">
        <v>0.157647058823529</v>
      </c>
      <c r="W38">
        <v>1</v>
      </c>
    </row>
    <row r="39" spans="1:23" x14ac:dyDescent="0.3">
      <c r="A39" s="1">
        <v>44207</v>
      </c>
      <c r="B39" s="2" t="s">
        <v>6</v>
      </c>
      <c r="C39">
        <v>95</v>
      </c>
      <c r="D39">
        <v>88</v>
      </c>
      <c r="E39">
        <v>66</v>
      </c>
      <c r="F39">
        <v>758</v>
      </c>
      <c r="G39">
        <v>6644</v>
      </c>
      <c r="H39">
        <v>44</v>
      </c>
      <c r="I39">
        <v>11</v>
      </c>
      <c r="J39">
        <v>120500</v>
      </c>
      <c r="K39">
        <v>47268</v>
      </c>
      <c r="L39">
        <v>87</v>
      </c>
      <c r="M39">
        <v>51</v>
      </c>
      <c r="N39">
        <v>45</v>
      </c>
      <c r="O39">
        <v>10</v>
      </c>
      <c r="P39">
        <v>414</v>
      </c>
      <c r="Q39">
        <v>167</v>
      </c>
      <c r="R39">
        <v>1.067282321899736</v>
      </c>
      <c r="S39">
        <v>43</v>
      </c>
      <c r="T39" t="s">
        <v>401</v>
      </c>
      <c r="U39">
        <v>581</v>
      </c>
      <c r="V39">
        <v>0.16351118760757299</v>
      </c>
      <c r="W39">
        <v>1</v>
      </c>
    </row>
    <row r="40" spans="1:23" x14ac:dyDescent="0.3">
      <c r="A40" s="1">
        <v>44208</v>
      </c>
      <c r="B40" s="2" t="s">
        <v>6</v>
      </c>
      <c r="C40">
        <v>62</v>
      </c>
      <c r="D40">
        <v>88</v>
      </c>
      <c r="E40">
        <v>79</v>
      </c>
      <c r="F40">
        <v>809</v>
      </c>
      <c r="G40">
        <v>6687</v>
      </c>
      <c r="H40">
        <v>45</v>
      </c>
      <c r="I40">
        <v>10</v>
      </c>
      <c r="J40">
        <v>120914</v>
      </c>
      <c r="K40">
        <v>47435</v>
      </c>
      <c r="L40">
        <v>88</v>
      </c>
      <c r="M40">
        <v>23</v>
      </c>
      <c r="N40">
        <v>47</v>
      </c>
      <c r="O40">
        <v>10</v>
      </c>
      <c r="P40">
        <v>632</v>
      </c>
      <c r="Q40">
        <v>135</v>
      </c>
      <c r="R40">
        <v>1.0284301606922126</v>
      </c>
      <c r="S40">
        <v>39</v>
      </c>
      <c r="T40" t="s">
        <v>403</v>
      </c>
      <c r="U40">
        <v>767</v>
      </c>
      <c r="V40">
        <v>8.0834419817470707E-2</v>
      </c>
      <c r="W40">
        <v>0</v>
      </c>
    </row>
    <row r="41" spans="1:23" x14ac:dyDescent="0.3">
      <c r="A41" s="1">
        <v>44209</v>
      </c>
      <c r="B41" s="2" t="s">
        <v>6</v>
      </c>
      <c r="C41">
        <v>85</v>
      </c>
      <c r="D41">
        <v>89</v>
      </c>
      <c r="E41">
        <v>61</v>
      </c>
      <c r="F41">
        <v>832</v>
      </c>
      <c r="G41">
        <v>6726</v>
      </c>
      <c r="H41">
        <v>47</v>
      </c>
      <c r="I41">
        <v>10</v>
      </c>
      <c r="J41">
        <v>121546</v>
      </c>
      <c r="K41">
        <v>47570</v>
      </c>
      <c r="L41">
        <v>88</v>
      </c>
      <c r="M41">
        <v>35</v>
      </c>
      <c r="N41">
        <v>51</v>
      </c>
      <c r="O41">
        <v>9</v>
      </c>
      <c r="P41">
        <v>776</v>
      </c>
      <c r="Q41">
        <v>135</v>
      </c>
      <c r="R41">
        <v>1.0420673076923077</v>
      </c>
      <c r="S41">
        <v>49</v>
      </c>
      <c r="T41" t="s">
        <v>404</v>
      </c>
      <c r="U41">
        <v>911</v>
      </c>
      <c r="V41">
        <v>9.3304061470911095E-2</v>
      </c>
      <c r="W41">
        <v>1</v>
      </c>
    </row>
    <row r="42" spans="1:23" x14ac:dyDescent="0.3">
      <c r="A42" s="1">
        <v>44210</v>
      </c>
      <c r="B42" s="2" t="s">
        <v>6</v>
      </c>
      <c r="C42">
        <v>81</v>
      </c>
      <c r="D42">
        <v>89</v>
      </c>
      <c r="E42">
        <v>75</v>
      </c>
      <c r="F42">
        <v>867</v>
      </c>
      <c r="G42">
        <v>6775</v>
      </c>
      <c r="H42">
        <v>51</v>
      </c>
      <c r="I42">
        <v>9</v>
      </c>
      <c r="J42">
        <v>122322</v>
      </c>
      <c r="K42">
        <v>47705</v>
      </c>
      <c r="L42">
        <v>89</v>
      </c>
      <c r="M42">
        <v>40</v>
      </c>
      <c r="N42">
        <v>54</v>
      </c>
      <c r="O42">
        <v>11</v>
      </c>
      <c r="P42">
        <v>710</v>
      </c>
      <c r="Q42">
        <v>209</v>
      </c>
      <c r="R42">
        <v>1.0461361014994233</v>
      </c>
      <c r="S42">
        <v>41</v>
      </c>
      <c r="T42" t="s">
        <v>405</v>
      </c>
      <c r="U42">
        <v>919</v>
      </c>
      <c r="V42">
        <v>8.8139281828073998E-2</v>
      </c>
      <c r="W42">
        <v>0</v>
      </c>
    </row>
    <row r="43" spans="1:23" x14ac:dyDescent="0.3">
      <c r="A43" s="1">
        <v>44211</v>
      </c>
      <c r="B43" s="2" t="s">
        <v>6</v>
      </c>
      <c r="C43">
        <v>100</v>
      </c>
      <c r="D43">
        <v>89</v>
      </c>
      <c r="E43">
        <v>75</v>
      </c>
      <c r="F43">
        <v>907</v>
      </c>
      <c r="G43">
        <v>6816</v>
      </c>
      <c r="H43">
        <v>54</v>
      </c>
      <c r="I43">
        <v>11</v>
      </c>
      <c r="J43">
        <v>123032</v>
      </c>
      <c r="K43">
        <v>47914</v>
      </c>
      <c r="L43">
        <v>89</v>
      </c>
      <c r="M43">
        <v>47</v>
      </c>
      <c r="N43">
        <v>54</v>
      </c>
      <c r="O43">
        <v>12</v>
      </c>
      <c r="P43">
        <v>632</v>
      </c>
      <c r="Q43">
        <v>172</v>
      </c>
      <c r="R43">
        <v>1.0518191841234841</v>
      </c>
      <c r="S43">
        <v>53</v>
      </c>
      <c r="T43" t="s">
        <v>406</v>
      </c>
      <c r="U43">
        <v>804</v>
      </c>
      <c r="V43">
        <v>0.124378109452736</v>
      </c>
      <c r="W43">
        <v>0</v>
      </c>
    </row>
    <row r="44" spans="1:23" x14ac:dyDescent="0.3">
      <c r="A44" s="1">
        <v>44212</v>
      </c>
      <c r="B44" s="2" t="s">
        <v>6</v>
      </c>
      <c r="C44">
        <v>92</v>
      </c>
      <c r="D44">
        <v>90</v>
      </c>
      <c r="E44">
        <v>82</v>
      </c>
      <c r="F44">
        <v>954</v>
      </c>
      <c r="G44">
        <v>6869</v>
      </c>
      <c r="H44">
        <v>54</v>
      </c>
      <c r="I44">
        <v>12</v>
      </c>
      <c r="J44">
        <v>123664</v>
      </c>
      <c r="K44">
        <v>48086</v>
      </c>
      <c r="L44">
        <v>89</v>
      </c>
      <c r="M44">
        <v>29</v>
      </c>
      <c r="N44">
        <v>56</v>
      </c>
      <c r="O44">
        <v>12</v>
      </c>
      <c r="P44">
        <v>659</v>
      </c>
      <c r="Q44">
        <v>94</v>
      </c>
      <c r="R44">
        <v>1.0303983228511531</v>
      </c>
      <c r="S44">
        <v>62</v>
      </c>
      <c r="T44" t="s">
        <v>407</v>
      </c>
      <c r="U44">
        <v>753</v>
      </c>
      <c r="V44">
        <v>0.122177954847278</v>
      </c>
      <c r="W44">
        <v>1</v>
      </c>
    </row>
    <row r="45" spans="1:23" x14ac:dyDescent="0.3">
      <c r="A45" s="1">
        <v>44213</v>
      </c>
      <c r="B45" s="2" t="s">
        <v>6</v>
      </c>
      <c r="C45">
        <v>126</v>
      </c>
      <c r="D45">
        <v>91</v>
      </c>
      <c r="E45">
        <v>84</v>
      </c>
      <c r="F45">
        <v>983</v>
      </c>
      <c r="G45">
        <v>6931</v>
      </c>
      <c r="H45">
        <v>56</v>
      </c>
      <c r="I45">
        <v>12</v>
      </c>
      <c r="J45">
        <v>124323</v>
      </c>
      <c r="K45">
        <v>48180</v>
      </c>
      <c r="L45">
        <v>90</v>
      </c>
      <c r="M45">
        <v>105</v>
      </c>
      <c r="N45">
        <v>64</v>
      </c>
      <c r="O45">
        <v>13</v>
      </c>
      <c r="P45">
        <v>856</v>
      </c>
      <c r="Q45">
        <v>114</v>
      </c>
      <c r="R45">
        <v>1.1068158697863684</v>
      </c>
      <c r="S45">
        <v>20</v>
      </c>
      <c r="T45" t="s">
        <v>408</v>
      </c>
      <c r="U45">
        <v>970</v>
      </c>
      <c r="V45">
        <v>0.12989690721649499</v>
      </c>
      <c r="W45">
        <v>1</v>
      </c>
    </row>
    <row r="46" spans="1:23" x14ac:dyDescent="0.3">
      <c r="A46" s="1">
        <v>44214</v>
      </c>
      <c r="B46" s="2" t="s">
        <v>6</v>
      </c>
      <c r="C46">
        <v>100</v>
      </c>
      <c r="D46">
        <v>92</v>
      </c>
      <c r="E46">
        <v>112</v>
      </c>
      <c r="F46">
        <v>1088</v>
      </c>
      <c r="G46">
        <v>6951</v>
      </c>
      <c r="H46">
        <v>64</v>
      </c>
      <c r="I46">
        <v>13</v>
      </c>
      <c r="J46">
        <v>125179</v>
      </c>
      <c r="K46">
        <v>48294</v>
      </c>
      <c r="L46">
        <v>91</v>
      </c>
      <c r="M46">
        <v>57</v>
      </c>
      <c r="N46">
        <v>67</v>
      </c>
      <c r="O46">
        <v>11</v>
      </c>
      <c r="P46">
        <v>866</v>
      </c>
      <c r="Q46">
        <v>152</v>
      </c>
      <c r="R46">
        <v>1.052389705882353</v>
      </c>
      <c r="S46">
        <v>42</v>
      </c>
      <c r="T46" t="s">
        <v>409</v>
      </c>
      <c r="U46">
        <v>1018</v>
      </c>
      <c r="V46">
        <v>9.8231827111984305E-2</v>
      </c>
      <c r="W46">
        <v>1</v>
      </c>
    </row>
    <row r="47" spans="1:23" x14ac:dyDescent="0.3">
      <c r="A47" s="1">
        <v>44215</v>
      </c>
      <c r="B47" s="2" t="s">
        <v>6</v>
      </c>
      <c r="C47">
        <v>88</v>
      </c>
      <c r="D47">
        <v>92</v>
      </c>
      <c r="E47">
        <v>82</v>
      </c>
      <c r="F47">
        <v>1145</v>
      </c>
      <c r="G47">
        <v>6993</v>
      </c>
      <c r="H47">
        <v>67</v>
      </c>
      <c r="I47">
        <v>11</v>
      </c>
      <c r="J47">
        <v>126045</v>
      </c>
      <c r="K47">
        <v>48446</v>
      </c>
      <c r="L47">
        <v>92</v>
      </c>
      <c r="M47">
        <v>50</v>
      </c>
      <c r="N47">
        <v>62</v>
      </c>
      <c r="O47">
        <v>14</v>
      </c>
      <c r="P47">
        <v>1122</v>
      </c>
      <c r="Q47">
        <v>269</v>
      </c>
      <c r="R47">
        <v>1.0436681222707425</v>
      </c>
      <c r="S47">
        <v>38</v>
      </c>
      <c r="T47" t="s">
        <v>410</v>
      </c>
      <c r="U47">
        <v>1391</v>
      </c>
      <c r="V47">
        <v>6.32638389647735E-2</v>
      </c>
      <c r="W47">
        <v>0</v>
      </c>
    </row>
    <row r="48" spans="1:23" x14ac:dyDescent="0.3">
      <c r="A48" s="1">
        <v>44216</v>
      </c>
      <c r="B48" s="2" t="s">
        <v>6</v>
      </c>
      <c r="C48">
        <v>214</v>
      </c>
      <c r="D48">
        <v>94</v>
      </c>
      <c r="E48">
        <v>76</v>
      </c>
      <c r="F48">
        <v>1195</v>
      </c>
      <c r="G48">
        <v>7031</v>
      </c>
      <c r="H48">
        <v>62</v>
      </c>
      <c r="I48">
        <v>14</v>
      </c>
      <c r="J48">
        <v>127167</v>
      </c>
      <c r="K48">
        <v>48715</v>
      </c>
      <c r="L48">
        <v>92</v>
      </c>
      <c r="M48">
        <v>179</v>
      </c>
      <c r="N48">
        <v>74</v>
      </c>
      <c r="O48">
        <v>14</v>
      </c>
      <c r="P48">
        <v>1192</v>
      </c>
      <c r="Q48">
        <v>334</v>
      </c>
      <c r="R48">
        <v>1.1497907949790795</v>
      </c>
      <c r="S48">
        <v>33</v>
      </c>
      <c r="T48" t="s">
        <v>411</v>
      </c>
      <c r="U48">
        <v>1526</v>
      </c>
      <c r="V48">
        <v>0.14023591087811299</v>
      </c>
      <c r="W48">
        <v>2</v>
      </c>
    </row>
    <row r="49" spans="1:23" x14ac:dyDescent="0.3">
      <c r="A49" s="1">
        <v>44217</v>
      </c>
      <c r="B49" s="2" t="s">
        <v>6</v>
      </c>
      <c r="C49">
        <v>162</v>
      </c>
      <c r="D49">
        <v>96</v>
      </c>
      <c r="E49">
        <v>192</v>
      </c>
      <c r="F49">
        <v>1374</v>
      </c>
      <c r="G49">
        <v>7064</v>
      </c>
      <c r="H49">
        <v>74</v>
      </c>
      <c r="I49">
        <v>14</v>
      </c>
      <c r="J49">
        <v>128359</v>
      </c>
      <c r="K49">
        <v>49049</v>
      </c>
      <c r="L49">
        <v>94</v>
      </c>
      <c r="M49">
        <v>111</v>
      </c>
      <c r="N49">
        <v>83</v>
      </c>
      <c r="O49">
        <v>14</v>
      </c>
      <c r="P49">
        <v>1368</v>
      </c>
      <c r="Q49">
        <v>385</v>
      </c>
      <c r="R49">
        <v>1.0807860262008733</v>
      </c>
      <c r="S49">
        <v>48</v>
      </c>
      <c r="T49" t="s">
        <v>422</v>
      </c>
      <c r="U49">
        <v>1753</v>
      </c>
      <c r="V49">
        <v>9.2413006274957202E-2</v>
      </c>
      <c r="W49">
        <v>2</v>
      </c>
    </row>
    <row r="50" spans="1:23" x14ac:dyDescent="0.3">
      <c r="A50" s="1">
        <v>44218</v>
      </c>
      <c r="B50" s="2" t="s">
        <v>6</v>
      </c>
      <c r="C50">
        <v>154</v>
      </c>
      <c r="D50">
        <v>97</v>
      </c>
      <c r="E50">
        <v>138</v>
      </c>
      <c r="F50">
        <v>1485</v>
      </c>
      <c r="G50">
        <v>7112</v>
      </c>
      <c r="H50">
        <v>83</v>
      </c>
      <c r="I50">
        <v>14</v>
      </c>
      <c r="J50">
        <v>129727</v>
      </c>
      <c r="K50">
        <v>49434</v>
      </c>
      <c r="L50">
        <v>96</v>
      </c>
      <c r="M50">
        <v>94</v>
      </c>
      <c r="N50">
        <v>84</v>
      </c>
      <c r="O50">
        <v>13</v>
      </c>
      <c r="P50">
        <v>1401</v>
      </c>
      <c r="Q50">
        <v>453</v>
      </c>
      <c r="R50">
        <v>1.0632996632996632</v>
      </c>
      <c r="S50">
        <v>59</v>
      </c>
      <c r="T50" t="s">
        <v>441</v>
      </c>
      <c r="U50">
        <v>1854</v>
      </c>
      <c r="V50">
        <v>8.3063646170442304E-2</v>
      </c>
      <c r="W50">
        <v>1</v>
      </c>
    </row>
    <row r="51" spans="1:23" x14ac:dyDescent="0.3">
      <c r="A51" s="1">
        <v>44219</v>
      </c>
      <c r="B51" s="2" t="s">
        <v>6</v>
      </c>
      <c r="C51">
        <v>134</v>
      </c>
      <c r="D51">
        <v>98</v>
      </c>
      <c r="E51">
        <v>124</v>
      </c>
      <c r="F51">
        <v>1579</v>
      </c>
      <c r="G51">
        <v>7171</v>
      </c>
      <c r="H51">
        <v>84</v>
      </c>
      <c r="I51">
        <v>13</v>
      </c>
      <c r="J51">
        <v>131128</v>
      </c>
      <c r="K51">
        <v>49887</v>
      </c>
      <c r="L51">
        <v>97</v>
      </c>
      <c r="M51">
        <v>71</v>
      </c>
      <c r="N51">
        <v>102</v>
      </c>
      <c r="O51">
        <v>15</v>
      </c>
      <c r="P51">
        <v>1055</v>
      </c>
      <c r="Q51">
        <v>338</v>
      </c>
      <c r="R51">
        <v>1.0449651678277392</v>
      </c>
      <c r="S51">
        <v>62</v>
      </c>
      <c r="T51" t="s">
        <v>442</v>
      </c>
      <c r="U51">
        <v>1393</v>
      </c>
      <c r="V51">
        <v>9.6195262024407799E-2</v>
      </c>
      <c r="W51">
        <v>1</v>
      </c>
    </row>
    <row r="52" spans="1:23" x14ac:dyDescent="0.3">
      <c r="A52" s="1">
        <v>44220</v>
      </c>
      <c r="B52" s="2" t="s">
        <v>6</v>
      </c>
      <c r="C52">
        <v>201</v>
      </c>
      <c r="D52">
        <v>101</v>
      </c>
      <c r="E52">
        <v>111</v>
      </c>
      <c r="F52">
        <v>1650</v>
      </c>
      <c r="G52">
        <v>7233</v>
      </c>
      <c r="H52">
        <v>102</v>
      </c>
      <c r="I52">
        <v>15</v>
      </c>
      <c r="J52">
        <v>132183</v>
      </c>
      <c r="K52">
        <v>50225</v>
      </c>
      <c r="L52">
        <v>98</v>
      </c>
      <c r="M52">
        <v>168</v>
      </c>
      <c r="N52">
        <v>107</v>
      </c>
      <c r="O52">
        <v>15</v>
      </c>
      <c r="P52">
        <v>1297</v>
      </c>
      <c r="Q52">
        <v>256</v>
      </c>
      <c r="R52">
        <v>1.1018181818181818</v>
      </c>
      <c r="S52">
        <v>30</v>
      </c>
      <c r="T52" t="s">
        <v>461</v>
      </c>
      <c r="U52">
        <v>1553</v>
      </c>
      <c r="V52">
        <v>0.12942691564713499</v>
      </c>
      <c r="W52">
        <v>3</v>
      </c>
    </row>
    <row r="53" spans="1:23" x14ac:dyDescent="0.3">
      <c r="A53" s="1">
        <v>44221</v>
      </c>
      <c r="B53" s="2" t="s">
        <v>6</v>
      </c>
      <c r="C53">
        <v>216</v>
      </c>
      <c r="D53">
        <v>101</v>
      </c>
      <c r="E53">
        <v>186</v>
      </c>
      <c r="F53">
        <v>1818</v>
      </c>
      <c r="G53">
        <v>7263</v>
      </c>
      <c r="H53">
        <v>107</v>
      </c>
      <c r="I53">
        <v>15</v>
      </c>
      <c r="J53">
        <v>133480</v>
      </c>
      <c r="K53">
        <v>50481</v>
      </c>
      <c r="L53">
        <v>101</v>
      </c>
      <c r="M53">
        <v>122</v>
      </c>
      <c r="N53">
        <v>113</v>
      </c>
      <c r="O53">
        <v>15</v>
      </c>
      <c r="P53">
        <v>1257</v>
      </c>
      <c r="Q53">
        <v>507</v>
      </c>
      <c r="R53">
        <v>1.0671067106710672</v>
      </c>
      <c r="S53">
        <v>94</v>
      </c>
      <c r="T53" t="s">
        <v>462</v>
      </c>
      <c r="U53">
        <v>1764</v>
      </c>
      <c r="V53">
        <v>0.122448979591837</v>
      </c>
      <c r="W53">
        <v>0</v>
      </c>
    </row>
    <row r="54" spans="1:23" x14ac:dyDescent="0.3">
      <c r="A54" s="1">
        <v>44222</v>
      </c>
      <c r="B54" s="2" t="s">
        <v>6</v>
      </c>
      <c r="C54">
        <v>165</v>
      </c>
      <c r="D54">
        <v>101</v>
      </c>
      <c r="E54">
        <v>187</v>
      </c>
      <c r="F54">
        <v>1940</v>
      </c>
      <c r="G54">
        <v>7357</v>
      </c>
      <c r="H54">
        <v>113</v>
      </c>
      <c r="I54">
        <v>15</v>
      </c>
      <c r="J54">
        <v>134737</v>
      </c>
      <c r="K54">
        <v>50988</v>
      </c>
      <c r="L54">
        <v>101</v>
      </c>
      <c r="M54">
        <v>82</v>
      </c>
      <c r="N54">
        <v>118</v>
      </c>
      <c r="O54">
        <v>16</v>
      </c>
      <c r="P54">
        <v>1199</v>
      </c>
      <c r="Q54">
        <v>400</v>
      </c>
      <c r="R54">
        <v>1.0422680412371135</v>
      </c>
      <c r="S54">
        <v>83</v>
      </c>
      <c r="T54" t="s">
        <v>463</v>
      </c>
      <c r="U54">
        <v>1599</v>
      </c>
      <c r="V54">
        <v>0.10318949343339601</v>
      </c>
      <c r="W54">
        <v>0</v>
      </c>
    </row>
    <row r="55" spans="1:23" x14ac:dyDescent="0.3">
      <c r="A55" s="1">
        <v>44223</v>
      </c>
      <c r="B55" s="2" t="s">
        <v>6</v>
      </c>
      <c r="C55">
        <v>187</v>
      </c>
      <c r="D55">
        <v>105</v>
      </c>
      <c r="E55">
        <v>133</v>
      </c>
      <c r="F55">
        <v>2022</v>
      </c>
      <c r="G55">
        <v>7440</v>
      </c>
      <c r="H55">
        <v>118</v>
      </c>
      <c r="I55">
        <v>16</v>
      </c>
      <c r="J55">
        <v>135936</v>
      </c>
      <c r="K55">
        <v>51388</v>
      </c>
      <c r="L55">
        <v>101</v>
      </c>
      <c r="M55">
        <v>132</v>
      </c>
      <c r="N55">
        <v>116</v>
      </c>
      <c r="O55">
        <v>17</v>
      </c>
      <c r="P55">
        <v>1354</v>
      </c>
      <c r="Q55">
        <v>528</v>
      </c>
      <c r="R55">
        <v>1.0652818991097923</v>
      </c>
      <c r="S55">
        <v>51</v>
      </c>
      <c r="T55" t="s">
        <v>470</v>
      </c>
      <c r="U55">
        <v>1882</v>
      </c>
      <c r="V55">
        <v>9.9362380446333706E-2</v>
      </c>
      <c r="W55">
        <v>4</v>
      </c>
    </row>
    <row r="56" spans="1:23" x14ac:dyDescent="0.3">
      <c r="A56" s="1">
        <v>44224</v>
      </c>
      <c r="B56" s="2" t="s">
        <v>6</v>
      </c>
      <c r="C56">
        <v>170</v>
      </c>
      <c r="D56">
        <v>105</v>
      </c>
      <c r="E56">
        <v>151</v>
      </c>
      <c r="F56">
        <v>2154</v>
      </c>
      <c r="G56">
        <v>7491</v>
      </c>
      <c r="H56">
        <v>116</v>
      </c>
      <c r="I56">
        <v>17</v>
      </c>
      <c r="J56">
        <v>137290</v>
      </c>
      <c r="K56">
        <v>51916</v>
      </c>
      <c r="L56">
        <v>105</v>
      </c>
      <c r="M56">
        <v>92</v>
      </c>
      <c r="N56">
        <v>119</v>
      </c>
      <c r="O56">
        <v>25</v>
      </c>
      <c r="P56">
        <v>1227</v>
      </c>
      <c r="Q56">
        <v>555</v>
      </c>
      <c r="R56">
        <v>1.042711234911792</v>
      </c>
      <c r="S56">
        <v>78</v>
      </c>
      <c r="T56" t="s">
        <v>472</v>
      </c>
      <c r="U56">
        <v>1782</v>
      </c>
      <c r="V56">
        <v>9.5398428731762103E-2</v>
      </c>
      <c r="W56">
        <v>0</v>
      </c>
    </row>
    <row r="57" spans="1:23" x14ac:dyDescent="0.3">
      <c r="A57" s="1">
        <v>44225</v>
      </c>
      <c r="B57" s="2" t="s">
        <v>6</v>
      </c>
      <c r="C57">
        <v>208</v>
      </c>
      <c r="D57">
        <v>109</v>
      </c>
      <c r="E57">
        <v>156</v>
      </c>
      <c r="F57">
        <v>2246</v>
      </c>
      <c r="G57">
        <v>7569</v>
      </c>
      <c r="H57">
        <v>119</v>
      </c>
      <c r="I57">
        <v>25</v>
      </c>
      <c r="J57">
        <v>138517</v>
      </c>
      <c r="K57">
        <v>52471</v>
      </c>
      <c r="L57">
        <v>105</v>
      </c>
      <c r="M57">
        <v>119</v>
      </c>
      <c r="N57">
        <v>112</v>
      </c>
      <c r="O57">
        <v>29</v>
      </c>
      <c r="P57">
        <v>1653</v>
      </c>
      <c r="Q57">
        <v>800</v>
      </c>
      <c r="R57">
        <v>1.0529830810329475</v>
      </c>
      <c r="S57">
        <v>85</v>
      </c>
      <c r="T57" t="s">
        <v>473</v>
      </c>
      <c r="U57">
        <v>2453</v>
      </c>
      <c r="V57">
        <v>8.4794129637179E-2</v>
      </c>
      <c r="W57">
        <v>4</v>
      </c>
    </row>
    <row r="58" spans="1:23" x14ac:dyDescent="0.3">
      <c r="A58" s="1">
        <v>44226</v>
      </c>
      <c r="B58" s="2" t="s">
        <v>6</v>
      </c>
      <c r="C58">
        <v>168</v>
      </c>
      <c r="D58">
        <v>109</v>
      </c>
      <c r="E58">
        <v>172</v>
      </c>
      <c r="F58">
        <v>2365</v>
      </c>
      <c r="G58">
        <v>7654</v>
      </c>
      <c r="H58">
        <v>112</v>
      </c>
      <c r="I58">
        <v>29</v>
      </c>
      <c r="J58">
        <v>140170</v>
      </c>
      <c r="K58">
        <v>53271</v>
      </c>
      <c r="L58">
        <v>109</v>
      </c>
      <c r="M58">
        <v>90</v>
      </c>
      <c r="N58">
        <v>124</v>
      </c>
      <c r="O58">
        <v>30</v>
      </c>
      <c r="P58">
        <v>1269</v>
      </c>
      <c r="Q58">
        <v>979</v>
      </c>
      <c r="R58">
        <v>1.0380549682875264</v>
      </c>
      <c r="S58">
        <v>78</v>
      </c>
      <c r="T58" t="s">
        <v>474</v>
      </c>
      <c r="U58">
        <v>2248</v>
      </c>
      <c r="V58">
        <v>7.4733096085409206E-2</v>
      </c>
      <c r="W58">
        <v>0</v>
      </c>
    </row>
    <row r="59" spans="1:23" x14ac:dyDescent="0.3">
      <c r="A59" s="1">
        <v>44227</v>
      </c>
      <c r="B59" s="2" t="s">
        <v>6</v>
      </c>
      <c r="C59">
        <v>119</v>
      </c>
      <c r="D59">
        <v>112</v>
      </c>
      <c r="E59">
        <v>148</v>
      </c>
      <c r="F59">
        <v>2455</v>
      </c>
      <c r="G59">
        <v>7732</v>
      </c>
      <c r="H59">
        <v>124</v>
      </c>
      <c r="I59">
        <v>30</v>
      </c>
      <c r="J59">
        <v>141439</v>
      </c>
      <c r="K59">
        <v>54250</v>
      </c>
      <c r="L59">
        <v>109</v>
      </c>
      <c r="M59">
        <v>14</v>
      </c>
      <c r="N59">
        <v>131</v>
      </c>
      <c r="O59">
        <v>31</v>
      </c>
      <c r="P59">
        <v>888</v>
      </c>
      <c r="Q59">
        <v>241</v>
      </c>
      <c r="R59">
        <v>1.0057026476578412</v>
      </c>
      <c r="S59">
        <v>102</v>
      </c>
      <c r="T59" t="s">
        <v>475</v>
      </c>
      <c r="U59">
        <v>1129</v>
      </c>
      <c r="V59">
        <v>0.10540301151461499</v>
      </c>
      <c r="W59">
        <v>3</v>
      </c>
    </row>
    <row r="60" spans="1:23" x14ac:dyDescent="0.3">
      <c r="A60" s="1">
        <v>44228</v>
      </c>
      <c r="B60" s="2" t="s">
        <v>6</v>
      </c>
      <c r="C60">
        <v>154</v>
      </c>
      <c r="D60">
        <v>115</v>
      </c>
      <c r="E60">
        <v>106</v>
      </c>
      <c r="F60">
        <v>2469</v>
      </c>
      <c r="G60">
        <v>7834</v>
      </c>
      <c r="H60">
        <v>131</v>
      </c>
      <c r="I60">
        <v>31</v>
      </c>
      <c r="J60">
        <v>142327</v>
      </c>
      <c r="K60">
        <v>54491</v>
      </c>
      <c r="L60">
        <v>112</v>
      </c>
      <c r="M60">
        <v>34</v>
      </c>
      <c r="N60">
        <v>130</v>
      </c>
      <c r="O60">
        <v>30</v>
      </c>
      <c r="P60">
        <v>880</v>
      </c>
      <c r="Q60">
        <v>428</v>
      </c>
      <c r="R60">
        <v>1.0137707573916566</v>
      </c>
      <c r="S60">
        <v>117</v>
      </c>
      <c r="T60" t="s">
        <v>479</v>
      </c>
      <c r="U60">
        <v>1308</v>
      </c>
      <c r="V60">
        <v>0.117737003058104</v>
      </c>
      <c r="W60">
        <v>3</v>
      </c>
    </row>
    <row r="61" spans="1:23" x14ac:dyDescent="0.3">
      <c r="A61" s="1">
        <v>44229</v>
      </c>
      <c r="B61" s="2" t="s">
        <v>6</v>
      </c>
      <c r="C61">
        <v>179</v>
      </c>
      <c r="D61">
        <v>117</v>
      </c>
      <c r="E61">
        <v>130</v>
      </c>
      <c r="F61">
        <v>2503</v>
      </c>
      <c r="G61">
        <v>7951</v>
      </c>
      <c r="H61">
        <v>130</v>
      </c>
      <c r="I61">
        <v>30</v>
      </c>
      <c r="J61">
        <v>143207</v>
      </c>
      <c r="K61">
        <v>54919</v>
      </c>
      <c r="L61">
        <v>115</v>
      </c>
      <c r="M61">
        <v>75</v>
      </c>
      <c r="N61">
        <v>117</v>
      </c>
      <c r="O61">
        <v>29</v>
      </c>
      <c r="P61">
        <v>1121</v>
      </c>
      <c r="Q61">
        <v>560</v>
      </c>
      <c r="R61">
        <v>1.0299640431482222</v>
      </c>
      <c r="S61">
        <v>102</v>
      </c>
      <c r="T61" t="s">
        <v>480</v>
      </c>
      <c r="U61">
        <v>1681</v>
      </c>
      <c r="V61">
        <v>0.106484235574063</v>
      </c>
      <c r="W61">
        <v>2</v>
      </c>
    </row>
    <row r="62" spans="1:23" x14ac:dyDescent="0.3">
      <c r="A62" s="1">
        <v>44230</v>
      </c>
      <c r="B62" s="2" t="s">
        <v>6</v>
      </c>
      <c r="C62">
        <v>115</v>
      </c>
      <c r="D62">
        <v>119</v>
      </c>
      <c r="E62">
        <v>125</v>
      </c>
      <c r="F62">
        <v>2578</v>
      </c>
      <c r="G62">
        <v>8053</v>
      </c>
      <c r="H62">
        <v>117</v>
      </c>
      <c r="I62">
        <v>29</v>
      </c>
      <c r="J62">
        <v>144328</v>
      </c>
      <c r="K62">
        <v>55479</v>
      </c>
      <c r="L62">
        <v>117</v>
      </c>
      <c r="M62">
        <v>35</v>
      </c>
      <c r="N62">
        <v>113</v>
      </c>
      <c r="O62">
        <v>27</v>
      </c>
      <c r="P62">
        <v>1252</v>
      </c>
      <c r="Q62">
        <v>1440</v>
      </c>
      <c r="R62">
        <v>1.0135764158262219</v>
      </c>
      <c r="S62">
        <v>78</v>
      </c>
      <c r="T62" t="s">
        <v>481</v>
      </c>
      <c r="U62">
        <v>2692</v>
      </c>
      <c r="V62">
        <v>4.2719167904903398E-2</v>
      </c>
      <c r="W62">
        <v>2</v>
      </c>
    </row>
    <row r="63" spans="1:23" x14ac:dyDescent="0.3">
      <c r="A63" s="1">
        <v>44231</v>
      </c>
      <c r="B63" s="2" t="s">
        <v>6</v>
      </c>
      <c r="C63">
        <v>163</v>
      </c>
      <c r="D63">
        <v>124</v>
      </c>
      <c r="E63">
        <v>91</v>
      </c>
      <c r="F63">
        <v>2613</v>
      </c>
      <c r="G63">
        <v>8131</v>
      </c>
      <c r="H63">
        <v>113</v>
      </c>
      <c r="I63">
        <v>27</v>
      </c>
      <c r="J63">
        <v>145580</v>
      </c>
      <c r="K63">
        <v>56919</v>
      </c>
      <c r="L63">
        <v>119</v>
      </c>
      <c r="M63">
        <v>-37</v>
      </c>
      <c r="N63">
        <v>112</v>
      </c>
      <c r="O63">
        <v>27</v>
      </c>
      <c r="P63">
        <v>1439</v>
      </c>
      <c r="Q63">
        <v>1991</v>
      </c>
      <c r="R63">
        <v>0.98584003061615</v>
      </c>
      <c r="S63">
        <v>195</v>
      </c>
      <c r="T63" t="s">
        <v>482</v>
      </c>
      <c r="U63">
        <v>3430</v>
      </c>
      <c r="V63">
        <v>4.7521865889212797E-2</v>
      </c>
      <c r="W63">
        <v>5</v>
      </c>
    </row>
    <row r="64" spans="1:23" x14ac:dyDescent="0.3">
      <c r="A64" s="1">
        <v>44232</v>
      </c>
      <c r="B64" s="2" t="s">
        <v>6</v>
      </c>
      <c r="C64">
        <v>114</v>
      </c>
      <c r="D64">
        <v>128</v>
      </c>
      <c r="E64">
        <v>152</v>
      </c>
      <c r="F64">
        <v>2576</v>
      </c>
      <c r="G64">
        <v>8326</v>
      </c>
      <c r="H64">
        <v>112</v>
      </c>
      <c r="I64">
        <v>27</v>
      </c>
      <c r="J64">
        <v>147019</v>
      </c>
      <c r="K64">
        <v>58910</v>
      </c>
      <c r="L64">
        <v>124</v>
      </c>
      <c r="M64">
        <v>-14</v>
      </c>
      <c r="N64">
        <v>106</v>
      </c>
      <c r="O64">
        <v>24</v>
      </c>
      <c r="P64">
        <v>1136</v>
      </c>
      <c r="Q64">
        <v>2261</v>
      </c>
      <c r="R64">
        <v>0.99456521739130432</v>
      </c>
      <c r="S64">
        <v>124</v>
      </c>
      <c r="T64" t="s">
        <v>483</v>
      </c>
      <c r="U64">
        <v>3397</v>
      </c>
      <c r="V64">
        <v>3.35590226670592E-2</v>
      </c>
      <c r="W64">
        <v>4</v>
      </c>
    </row>
    <row r="65" spans="1:23" x14ac:dyDescent="0.3">
      <c r="A65" s="1">
        <v>44233</v>
      </c>
      <c r="B65" s="2" t="s">
        <v>6</v>
      </c>
      <c r="C65">
        <v>112</v>
      </c>
      <c r="D65">
        <v>128</v>
      </c>
      <c r="E65">
        <v>103</v>
      </c>
      <c r="F65">
        <v>2562</v>
      </c>
      <c r="G65">
        <v>8450</v>
      </c>
      <c r="H65">
        <v>106</v>
      </c>
      <c r="I65">
        <v>24</v>
      </c>
      <c r="J65">
        <v>148155</v>
      </c>
      <c r="K65">
        <v>61171</v>
      </c>
      <c r="L65">
        <v>128</v>
      </c>
      <c r="M65">
        <v>-36</v>
      </c>
      <c r="N65">
        <v>105</v>
      </c>
      <c r="O65">
        <v>23</v>
      </c>
      <c r="P65">
        <v>996</v>
      </c>
      <c r="Q65">
        <v>1507</v>
      </c>
      <c r="R65">
        <v>0.98594847775175642</v>
      </c>
      <c r="S65">
        <v>148</v>
      </c>
      <c r="T65" t="s">
        <v>484</v>
      </c>
      <c r="U65">
        <v>2503</v>
      </c>
      <c r="V65">
        <v>4.4746304434678398E-2</v>
      </c>
      <c r="W65">
        <v>0</v>
      </c>
    </row>
    <row r="66" spans="1:23" x14ac:dyDescent="0.3">
      <c r="A66" s="1">
        <v>44234</v>
      </c>
      <c r="B66" s="2" t="s">
        <v>6</v>
      </c>
      <c r="C66">
        <v>59</v>
      </c>
      <c r="D66">
        <v>128</v>
      </c>
      <c r="E66">
        <v>134</v>
      </c>
      <c r="F66">
        <v>2526</v>
      </c>
      <c r="G66">
        <v>8598</v>
      </c>
      <c r="H66">
        <v>105</v>
      </c>
      <c r="I66">
        <v>23</v>
      </c>
      <c r="J66">
        <v>149151</v>
      </c>
      <c r="K66">
        <v>62678</v>
      </c>
      <c r="L66">
        <v>128</v>
      </c>
      <c r="M66">
        <v>-43</v>
      </c>
      <c r="N66">
        <v>111</v>
      </c>
      <c r="O66">
        <v>21</v>
      </c>
      <c r="P66">
        <v>783</v>
      </c>
      <c r="Q66">
        <v>338</v>
      </c>
      <c r="R66">
        <v>0.98297703879651621</v>
      </c>
      <c r="S66">
        <v>102</v>
      </c>
      <c r="T66" t="s">
        <v>485</v>
      </c>
      <c r="U66">
        <v>1121</v>
      </c>
      <c r="V66">
        <v>5.2631578947368397E-2</v>
      </c>
      <c r="W66">
        <v>0</v>
      </c>
    </row>
  </sheetData>
  <phoneticPr fontId="3" type="noConversion"/>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E8A951-27CE-43B4-AA32-A529C0AA74AC}">
  <sheetPr codeName="Sheet14"/>
  <dimension ref="A1:W66"/>
  <sheetViews>
    <sheetView topLeftCell="A2" workbookViewId="0">
      <selection activeCell="M33" sqref="M33"/>
    </sheetView>
  </sheetViews>
  <sheetFormatPr defaultRowHeight="14.4" x14ac:dyDescent="0.3"/>
  <cols>
    <col min="1" max="1" width="10.5546875" bestFit="1" customWidth="1"/>
    <col min="2" max="2" width="25.554687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388</v>
      </c>
      <c r="B1" t="s">
        <v>1</v>
      </c>
      <c r="C1" t="s">
        <v>389</v>
      </c>
      <c r="D1" t="s">
        <v>423</v>
      </c>
      <c r="E1" t="s">
        <v>413</v>
      </c>
      <c r="F1" t="s">
        <v>414</v>
      </c>
      <c r="G1" t="s">
        <v>415</v>
      </c>
      <c r="H1" t="s">
        <v>416</v>
      </c>
      <c r="I1" t="s">
        <v>417</v>
      </c>
      <c r="J1" t="s">
        <v>418</v>
      </c>
      <c r="K1" t="s">
        <v>419</v>
      </c>
      <c r="L1" t="s">
        <v>424</v>
      </c>
      <c r="M1" t="s">
        <v>390</v>
      </c>
      <c r="N1" t="s">
        <v>361</v>
      </c>
      <c r="O1" t="s">
        <v>362</v>
      </c>
      <c r="P1" t="s">
        <v>391</v>
      </c>
      <c r="Q1" t="s">
        <v>392</v>
      </c>
      <c r="R1" t="s">
        <v>420</v>
      </c>
      <c r="S1" t="s">
        <v>443</v>
      </c>
      <c r="T1" t="s">
        <v>421</v>
      </c>
      <c r="U1" t="s">
        <v>393</v>
      </c>
      <c r="V1" t="s">
        <v>394</v>
      </c>
      <c r="W1" t="s">
        <v>428</v>
      </c>
    </row>
    <row r="2" spans="1:23" x14ac:dyDescent="0.3">
      <c r="A2" s="1">
        <v>44170</v>
      </c>
      <c r="B2" s="2" t="s">
        <v>7</v>
      </c>
      <c r="C2">
        <v>52</v>
      </c>
      <c r="D2">
        <v>170</v>
      </c>
      <c r="E2">
        <v>45</v>
      </c>
      <c r="F2">
        <v>807</v>
      </c>
      <c r="G2">
        <v>7076</v>
      </c>
      <c r="H2">
        <v>36</v>
      </c>
      <c r="I2">
        <v>6</v>
      </c>
      <c r="J2">
        <v>149227</v>
      </c>
      <c r="K2">
        <v>87756</v>
      </c>
      <c r="L2">
        <v>170</v>
      </c>
      <c r="M2">
        <v>-23</v>
      </c>
      <c r="N2">
        <v>43</v>
      </c>
      <c r="O2">
        <v>6</v>
      </c>
      <c r="P2">
        <v>1418</v>
      </c>
      <c r="Q2">
        <v>93</v>
      </c>
      <c r="R2">
        <v>0.97149938042131345</v>
      </c>
      <c r="S2">
        <v>75</v>
      </c>
      <c r="T2" t="s">
        <v>369</v>
      </c>
      <c r="U2">
        <v>1511</v>
      </c>
      <c r="V2">
        <v>3.4414295168762397E-2</v>
      </c>
      <c r="W2">
        <v>0</v>
      </c>
    </row>
    <row r="3" spans="1:23" x14ac:dyDescent="0.3">
      <c r="A3" s="1">
        <v>44171</v>
      </c>
      <c r="B3" s="2" t="s">
        <v>7</v>
      </c>
      <c r="C3">
        <v>47</v>
      </c>
      <c r="D3">
        <v>170</v>
      </c>
      <c r="E3">
        <v>45</v>
      </c>
      <c r="F3">
        <v>784</v>
      </c>
      <c r="G3">
        <v>7151</v>
      </c>
      <c r="H3">
        <v>43</v>
      </c>
      <c r="I3">
        <v>6</v>
      </c>
      <c r="J3">
        <v>150645</v>
      </c>
      <c r="K3">
        <v>87849</v>
      </c>
      <c r="L3">
        <v>170</v>
      </c>
      <c r="M3">
        <v>11</v>
      </c>
      <c r="N3">
        <v>45</v>
      </c>
      <c r="O3">
        <v>6</v>
      </c>
      <c r="P3">
        <v>1178</v>
      </c>
      <c r="Q3">
        <v>57</v>
      </c>
      <c r="R3">
        <v>1.0140306122448979</v>
      </c>
      <c r="S3">
        <v>36</v>
      </c>
      <c r="T3" t="s">
        <v>370</v>
      </c>
      <c r="U3">
        <v>1235</v>
      </c>
      <c r="V3">
        <v>3.8056680161943301E-2</v>
      </c>
      <c r="W3">
        <v>0</v>
      </c>
    </row>
    <row r="4" spans="1:23" x14ac:dyDescent="0.3">
      <c r="A4" s="1">
        <v>44172</v>
      </c>
      <c r="B4" s="2" t="s">
        <v>7</v>
      </c>
      <c r="C4">
        <v>65</v>
      </c>
      <c r="D4">
        <v>170</v>
      </c>
      <c r="E4">
        <v>43</v>
      </c>
      <c r="F4">
        <v>795</v>
      </c>
      <c r="G4">
        <v>7187</v>
      </c>
      <c r="H4">
        <v>45</v>
      </c>
      <c r="I4">
        <v>6</v>
      </c>
      <c r="J4">
        <v>151823</v>
      </c>
      <c r="K4">
        <v>87906</v>
      </c>
      <c r="L4">
        <v>170</v>
      </c>
      <c r="M4">
        <v>-12</v>
      </c>
      <c r="N4">
        <v>51</v>
      </c>
      <c r="O4">
        <v>6</v>
      </c>
      <c r="P4">
        <v>1784</v>
      </c>
      <c r="Q4">
        <v>181</v>
      </c>
      <c r="R4">
        <v>0.98490566037735849</v>
      </c>
      <c r="S4">
        <v>77</v>
      </c>
      <c r="T4" t="s">
        <v>371</v>
      </c>
      <c r="U4">
        <v>1965</v>
      </c>
      <c r="V4">
        <v>3.30788804071247E-2</v>
      </c>
      <c r="W4">
        <v>0</v>
      </c>
    </row>
    <row r="5" spans="1:23" x14ac:dyDescent="0.3">
      <c r="A5" s="1">
        <v>44173</v>
      </c>
      <c r="B5" s="2" t="s">
        <v>7</v>
      </c>
      <c r="C5">
        <v>53</v>
      </c>
      <c r="D5">
        <v>172</v>
      </c>
      <c r="E5">
        <v>54</v>
      </c>
      <c r="F5">
        <v>783</v>
      </c>
      <c r="G5">
        <v>7264</v>
      </c>
      <c r="H5">
        <v>51</v>
      </c>
      <c r="I5">
        <v>6</v>
      </c>
      <c r="J5">
        <v>153607</v>
      </c>
      <c r="K5">
        <v>88087</v>
      </c>
      <c r="L5">
        <v>170</v>
      </c>
      <c r="M5">
        <v>2</v>
      </c>
      <c r="N5">
        <v>52</v>
      </c>
      <c r="O5">
        <v>6</v>
      </c>
      <c r="P5">
        <v>879</v>
      </c>
      <c r="Q5">
        <v>98</v>
      </c>
      <c r="R5">
        <v>1.0025542784163475</v>
      </c>
      <c r="S5">
        <v>49</v>
      </c>
      <c r="T5" t="s">
        <v>372</v>
      </c>
      <c r="U5">
        <v>977</v>
      </c>
      <c r="V5">
        <v>5.4247697031729797E-2</v>
      </c>
      <c r="W5">
        <v>2</v>
      </c>
    </row>
    <row r="6" spans="1:23" x14ac:dyDescent="0.3">
      <c r="A6" s="1">
        <v>44174</v>
      </c>
      <c r="B6" s="2" t="s">
        <v>7</v>
      </c>
      <c r="C6">
        <v>77</v>
      </c>
      <c r="D6">
        <v>172</v>
      </c>
      <c r="E6">
        <v>50</v>
      </c>
      <c r="F6">
        <v>785</v>
      </c>
      <c r="G6">
        <v>7313</v>
      </c>
      <c r="H6">
        <v>52</v>
      </c>
      <c r="I6">
        <v>6</v>
      </c>
      <c r="J6">
        <v>154486</v>
      </c>
      <c r="K6">
        <v>88185</v>
      </c>
      <c r="L6">
        <v>172</v>
      </c>
      <c r="M6">
        <v>32</v>
      </c>
      <c r="N6">
        <v>53</v>
      </c>
      <c r="O6">
        <v>6</v>
      </c>
      <c r="P6">
        <v>1962</v>
      </c>
      <c r="Q6">
        <v>169</v>
      </c>
      <c r="R6">
        <v>1.0407643312101911</v>
      </c>
      <c r="S6">
        <v>45</v>
      </c>
      <c r="T6" t="s">
        <v>373</v>
      </c>
      <c r="U6">
        <v>2131</v>
      </c>
      <c r="V6">
        <v>3.6133270764899098E-2</v>
      </c>
      <c r="W6">
        <v>0</v>
      </c>
    </row>
    <row r="7" spans="1:23" x14ac:dyDescent="0.3">
      <c r="A7" s="1">
        <v>44175</v>
      </c>
      <c r="B7" s="2" t="s">
        <v>7</v>
      </c>
      <c r="C7">
        <v>66</v>
      </c>
      <c r="D7">
        <v>173</v>
      </c>
      <c r="E7">
        <v>65</v>
      </c>
      <c r="F7">
        <v>817</v>
      </c>
      <c r="G7">
        <v>7358</v>
      </c>
      <c r="H7">
        <v>53</v>
      </c>
      <c r="I7">
        <v>6</v>
      </c>
      <c r="J7">
        <v>156448</v>
      </c>
      <c r="K7">
        <v>88354</v>
      </c>
      <c r="L7">
        <v>172</v>
      </c>
      <c r="M7">
        <v>7</v>
      </c>
      <c r="N7">
        <v>52</v>
      </c>
      <c r="O7">
        <v>7</v>
      </c>
      <c r="P7">
        <v>840</v>
      </c>
      <c r="Q7">
        <v>192</v>
      </c>
      <c r="R7">
        <v>1.0085679314565483</v>
      </c>
      <c r="S7">
        <v>58</v>
      </c>
      <c r="T7" t="s">
        <v>374</v>
      </c>
      <c r="U7">
        <v>1032</v>
      </c>
      <c r="V7">
        <v>6.3953488372092998E-2</v>
      </c>
      <c r="W7">
        <v>1</v>
      </c>
    </row>
    <row r="8" spans="1:23" x14ac:dyDescent="0.3">
      <c r="A8" s="1">
        <v>44176</v>
      </c>
      <c r="B8" s="2" t="s">
        <v>7</v>
      </c>
      <c r="C8">
        <v>91</v>
      </c>
      <c r="D8">
        <v>174</v>
      </c>
      <c r="E8">
        <v>47</v>
      </c>
      <c r="F8">
        <v>824</v>
      </c>
      <c r="G8">
        <v>7416</v>
      </c>
      <c r="H8">
        <v>52</v>
      </c>
      <c r="I8">
        <v>7</v>
      </c>
      <c r="J8">
        <v>157288</v>
      </c>
      <c r="K8">
        <v>88546</v>
      </c>
      <c r="L8">
        <v>173</v>
      </c>
      <c r="M8">
        <v>28</v>
      </c>
      <c r="N8">
        <v>50</v>
      </c>
      <c r="O8">
        <v>11</v>
      </c>
      <c r="P8">
        <v>1146</v>
      </c>
      <c r="Q8">
        <v>257</v>
      </c>
      <c r="R8">
        <v>1.0339805825242718</v>
      </c>
      <c r="S8">
        <v>63</v>
      </c>
      <c r="T8" t="s">
        <v>375</v>
      </c>
      <c r="U8">
        <v>1403</v>
      </c>
      <c r="V8">
        <v>6.4861012116892394E-2</v>
      </c>
      <c r="W8">
        <v>1</v>
      </c>
    </row>
    <row r="9" spans="1:23" x14ac:dyDescent="0.3">
      <c r="A9" s="1">
        <v>44177</v>
      </c>
      <c r="B9" s="2" t="s">
        <v>7</v>
      </c>
      <c r="C9">
        <v>96</v>
      </c>
      <c r="D9">
        <v>174</v>
      </c>
      <c r="E9">
        <v>72</v>
      </c>
      <c r="F9">
        <v>852</v>
      </c>
      <c r="G9">
        <v>7479</v>
      </c>
      <c r="H9">
        <v>50</v>
      </c>
      <c r="I9">
        <v>11</v>
      </c>
      <c r="J9">
        <v>158434</v>
      </c>
      <c r="K9">
        <v>88803</v>
      </c>
      <c r="L9">
        <v>174</v>
      </c>
      <c r="M9">
        <v>53</v>
      </c>
      <c r="N9">
        <v>56</v>
      </c>
      <c r="O9">
        <v>10</v>
      </c>
      <c r="P9">
        <v>1379</v>
      </c>
      <c r="Q9">
        <v>145</v>
      </c>
      <c r="R9">
        <v>1.062206572769953</v>
      </c>
      <c r="S9">
        <v>43</v>
      </c>
      <c r="T9" t="s">
        <v>376</v>
      </c>
      <c r="U9">
        <v>1524</v>
      </c>
      <c r="V9">
        <v>6.2992125984251995E-2</v>
      </c>
      <c r="W9">
        <v>0</v>
      </c>
    </row>
    <row r="10" spans="1:23" x14ac:dyDescent="0.3">
      <c r="A10" s="1">
        <v>44178</v>
      </c>
      <c r="B10" s="2" t="s">
        <v>7</v>
      </c>
      <c r="C10">
        <v>88</v>
      </c>
      <c r="D10">
        <v>174</v>
      </c>
      <c r="E10">
        <v>73</v>
      </c>
      <c r="F10">
        <v>905</v>
      </c>
      <c r="G10">
        <v>7522</v>
      </c>
      <c r="H10">
        <v>56</v>
      </c>
      <c r="I10">
        <v>10</v>
      </c>
      <c r="J10">
        <v>159813</v>
      </c>
      <c r="K10">
        <v>88948</v>
      </c>
      <c r="L10">
        <v>174</v>
      </c>
      <c r="M10">
        <v>47</v>
      </c>
      <c r="N10">
        <v>62</v>
      </c>
      <c r="O10">
        <v>11</v>
      </c>
      <c r="P10">
        <v>2132</v>
      </c>
      <c r="Q10">
        <v>115</v>
      </c>
      <c r="R10">
        <v>1.0519337016574586</v>
      </c>
      <c r="S10">
        <v>41</v>
      </c>
      <c r="T10" t="s">
        <v>377</v>
      </c>
      <c r="U10">
        <v>2247</v>
      </c>
      <c r="V10">
        <v>3.9163328882955102E-2</v>
      </c>
      <c r="W10">
        <v>0</v>
      </c>
    </row>
    <row r="11" spans="1:23" x14ac:dyDescent="0.3">
      <c r="A11" s="1">
        <v>44179</v>
      </c>
      <c r="B11" s="2" t="s">
        <v>7</v>
      </c>
      <c r="C11">
        <v>78</v>
      </c>
      <c r="D11">
        <v>175</v>
      </c>
      <c r="E11">
        <v>70</v>
      </c>
      <c r="F11">
        <v>952</v>
      </c>
      <c r="G11">
        <v>7563</v>
      </c>
      <c r="H11">
        <v>62</v>
      </c>
      <c r="I11">
        <v>11</v>
      </c>
      <c r="J11">
        <v>161945</v>
      </c>
      <c r="K11">
        <v>89063</v>
      </c>
      <c r="L11">
        <v>174</v>
      </c>
      <c r="M11">
        <v>53</v>
      </c>
      <c r="N11">
        <v>67</v>
      </c>
      <c r="O11">
        <v>8</v>
      </c>
      <c r="P11">
        <v>1837</v>
      </c>
      <c r="Q11">
        <v>242</v>
      </c>
      <c r="R11">
        <v>1.055672268907563</v>
      </c>
      <c r="S11">
        <v>24</v>
      </c>
      <c r="T11" t="s">
        <v>378</v>
      </c>
      <c r="U11">
        <v>2079</v>
      </c>
      <c r="V11">
        <v>3.7518037518037499E-2</v>
      </c>
      <c r="W11">
        <v>1</v>
      </c>
    </row>
    <row r="12" spans="1:23" x14ac:dyDescent="0.3">
      <c r="A12" s="1">
        <v>44180</v>
      </c>
      <c r="B12" s="2" t="s">
        <v>7</v>
      </c>
      <c r="C12">
        <v>118</v>
      </c>
      <c r="D12">
        <v>175</v>
      </c>
      <c r="E12">
        <v>56</v>
      </c>
      <c r="F12">
        <v>1005</v>
      </c>
      <c r="G12">
        <v>7587</v>
      </c>
      <c r="H12">
        <v>67</v>
      </c>
      <c r="I12">
        <v>8</v>
      </c>
      <c r="J12">
        <v>163782</v>
      </c>
      <c r="K12">
        <v>89305</v>
      </c>
      <c r="L12">
        <v>175</v>
      </c>
      <c r="M12">
        <v>49</v>
      </c>
      <c r="N12">
        <v>64</v>
      </c>
      <c r="O12">
        <v>7</v>
      </c>
      <c r="P12">
        <v>2553</v>
      </c>
      <c r="Q12">
        <v>233</v>
      </c>
      <c r="R12">
        <v>1.0487562189054727</v>
      </c>
      <c r="S12">
        <v>69</v>
      </c>
      <c r="T12" t="s">
        <v>379</v>
      </c>
      <c r="U12">
        <v>2786</v>
      </c>
      <c r="V12">
        <v>4.2354630294328802E-2</v>
      </c>
      <c r="W12">
        <v>0</v>
      </c>
    </row>
    <row r="13" spans="1:23" x14ac:dyDescent="0.3">
      <c r="A13" s="1">
        <v>44181</v>
      </c>
      <c r="B13" s="2" t="s">
        <v>7</v>
      </c>
      <c r="C13">
        <v>110</v>
      </c>
      <c r="D13">
        <v>175</v>
      </c>
      <c r="E13">
        <v>101</v>
      </c>
      <c r="F13">
        <v>1054</v>
      </c>
      <c r="G13">
        <v>7656</v>
      </c>
      <c r="H13">
        <v>64</v>
      </c>
      <c r="I13">
        <v>7</v>
      </c>
      <c r="J13">
        <v>166335</v>
      </c>
      <c r="K13">
        <v>89538</v>
      </c>
      <c r="L13">
        <v>175</v>
      </c>
      <c r="M13">
        <v>46</v>
      </c>
      <c r="N13">
        <v>62</v>
      </c>
      <c r="O13">
        <v>6</v>
      </c>
      <c r="P13">
        <v>2001</v>
      </c>
      <c r="Q13">
        <v>236</v>
      </c>
      <c r="R13">
        <v>1.0436432637571158</v>
      </c>
      <c r="S13">
        <v>63</v>
      </c>
      <c r="T13" t="s">
        <v>380</v>
      </c>
      <c r="U13">
        <v>2237</v>
      </c>
      <c r="V13">
        <v>4.9172999552972697E-2</v>
      </c>
      <c r="W13">
        <v>0</v>
      </c>
    </row>
    <row r="14" spans="1:23" x14ac:dyDescent="0.3">
      <c r="A14" s="1">
        <v>44182</v>
      </c>
      <c r="B14" s="2" t="s">
        <v>7</v>
      </c>
      <c r="C14">
        <v>104</v>
      </c>
      <c r="D14">
        <v>176</v>
      </c>
      <c r="E14">
        <v>91</v>
      </c>
      <c r="F14">
        <v>1100</v>
      </c>
      <c r="G14">
        <v>7719</v>
      </c>
      <c r="H14">
        <v>62</v>
      </c>
      <c r="I14">
        <v>6</v>
      </c>
      <c r="J14">
        <v>168336</v>
      </c>
      <c r="K14">
        <v>89774</v>
      </c>
      <c r="L14">
        <v>175</v>
      </c>
      <c r="M14">
        <v>44</v>
      </c>
      <c r="N14">
        <v>63</v>
      </c>
      <c r="O14">
        <v>6</v>
      </c>
      <c r="P14">
        <v>1453</v>
      </c>
      <c r="Q14">
        <v>226</v>
      </c>
      <c r="R14">
        <v>1.04</v>
      </c>
      <c r="S14">
        <v>60</v>
      </c>
      <c r="T14" t="s">
        <v>381</v>
      </c>
      <c r="U14">
        <v>1679</v>
      </c>
      <c r="V14">
        <v>6.1941631923764201E-2</v>
      </c>
      <c r="W14">
        <v>1</v>
      </c>
    </row>
    <row r="15" spans="1:23" x14ac:dyDescent="0.3">
      <c r="A15" s="1">
        <v>44183</v>
      </c>
      <c r="B15" s="2" t="s">
        <v>7</v>
      </c>
      <c r="C15">
        <v>101</v>
      </c>
      <c r="D15">
        <v>176</v>
      </c>
      <c r="E15">
        <v>84</v>
      </c>
      <c r="F15">
        <v>1144</v>
      </c>
      <c r="G15">
        <v>7779</v>
      </c>
      <c r="H15">
        <v>63</v>
      </c>
      <c r="I15">
        <v>6</v>
      </c>
      <c r="J15">
        <v>169789</v>
      </c>
      <c r="K15">
        <v>90000</v>
      </c>
      <c r="L15">
        <v>176</v>
      </c>
      <c r="M15">
        <v>51</v>
      </c>
      <c r="N15">
        <v>66</v>
      </c>
      <c r="O15">
        <v>6</v>
      </c>
      <c r="P15">
        <v>2020</v>
      </c>
      <c r="Q15">
        <v>232</v>
      </c>
      <c r="R15">
        <v>1.0445804195804196</v>
      </c>
      <c r="S15">
        <v>50</v>
      </c>
      <c r="T15" t="s">
        <v>382</v>
      </c>
      <c r="U15">
        <v>2252</v>
      </c>
      <c r="V15">
        <v>4.4849023090586103E-2</v>
      </c>
      <c r="W15">
        <v>0</v>
      </c>
    </row>
    <row r="16" spans="1:23" x14ac:dyDescent="0.3">
      <c r="A16" s="1">
        <v>44184</v>
      </c>
      <c r="B16" s="2" t="s">
        <v>7</v>
      </c>
      <c r="C16">
        <v>81</v>
      </c>
      <c r="D16">
        <v>176</v>
      </c>
      <c r="E16">
        <v>74</v>
      </c>
      <c r="F16">
        <v>1195</v>
      </c>
      <c r="G16">
        <v>7829</v>
      </c>
      <c r="H16">
        <v>66</v>
      </c>
      <c r="I16">
        <v>6</v>
      </c>
      <c r="J16">
        <v>171809</v>
      </c>
      <c r="K16">
        <v>90232</v>
      </c>
      <c r="L16">
        <v>176</v>
      </c>
      <c r="M16">
        <v>21</v>
      </c>
      <c r="N16">
        <v>73</v>
      </c>
      <c r="O16">
        <v>5</v>
      </c>
      <c r="P16">
        <v>1623</v>
      </c>
      <c r="Q16">
        <v>119</v>
      </c>
      <c r="R16">
        <v>1.0175732217573221</v>
      </c>
      <c r="S16">
        <v>60</v>
      </c>
      <c r="T16" t="s">
        <v>383</v>
      </c>
      <c r="U16">
        <v>1742</v>
      </c>
      <c r="V16">
        <v>4.6498277841561401E-2</v>
      </c>
      <c r="W16">
        <v>0</v>
      </c>
    </row>
    <row r="17" spans="1:23" x14ac:dyDescent="0.3">
      <c r="A17" s="1">
        <v>44185</v>
      </c>
      <c r="B17" s="2" t="s">
        <v>7</v>
      </c>
      <c r="C17">
        <v>64</v>
      </c>
      <c r="D17">
        <v>177</v>
      </c>
      <c r="E17">
        <v>77</v>
      </c>
      <c r="F17">
        <v>1216</v>
      </c>
      <c r="G17">
        <v>7889</v>
      </c>
      <c r="H17">
        <v>73</v>
      </c>
      <c r="I17">
        <v>5</v>
      </c>
      <c r="J17">
        <v>173432</v>
      </c>
      <c r="K17">
        <v>90351</v>
      </c>
      <c r="L17">
        <v>176</v>
      </c>
      <c r="M17">
        <v>19</v>
      </c>
      <c r="N17">
        <v>76</v>
      </c>
      <c r="O17">
        <v>6</v>
      </c>
      <c r="P17">
        <v>1697</v>
      </c>
      <c r="Q17">
        <v>100</v>
      </c>
      <c r="R17">
        <v>1.015625</v>
      </c>
      <c r="S17">
        <v>44</v>
      </c>
      <c r="T17" t="s">
        <v>384</v>
      </c>
      <c r="U17">
        <v>1797</v>
      </c>
      <c r="V17">
        <v>3.5614913745130802E-2</v>
      </c>
      <c r="W17">
        <v>1</v>
      </c>
    </row>
    <row r="18" spans="1:23" x14ac:dyDescent="0.3">
      <c r="A18" s="1">
        <v>44186</v>
      </c>
      <c r="B18" s="2" t="s">
        <v>7</v>
      </c>
      <c r="C18">
        <v>55</v>
      </c>
      <c r="D18">
        <v>177</v>
      </c>
      <c r="E18">
        <v>61</v>
      </c>
      <c r="F18">
        <v>1235</v>
      </c>
      <c r="G18">
        <v>7933</v>
      </c>
      <c r="H18">
        <v>76</v>
      </c>
      <c r="I18">
        <v>6</v>
      </c>
      <c r="J18">
        <v>175129</v>
      </c>
      <c r="K18">
        <v>90451</v>
      </c>
      <c r="L18">
        <v>177</v>
      </c>
      <c r="M18">
        <v>13</v>
      </c>
      <c r="N18">
        <v>73</v>
      </c>
      <c r="O18">
        <v>7</v>
      </c>
      <c r="P18">
        <v>1734</v>
      </c>
      <c r="Q18">
        <v>197</v>
      </c>
      <c r="R18">
        <v>1.0105263157894737</v>
      </c>
      <c r="S18">
        <v>42</v>
      </c>
      <c r="T18" t="s">
        <v>385</v>
      </c>
      <c r="U18">
        <v>1931</v>
      </c>
      <c r="V18">
        <v>2.8482651475919201E-2</v>
      </c>
      <c r="W18">
        <v>0</v>
      </c>
    </row>
    <row r="19" spans="1:23" x14ac:dyDescent="0.3">
      <c r="A19" s="1">
        <v>44187</v>
      </c>
      <c r="B19" s="2" t="s">
        <v>7</v>
      </c>
      <c r="C19">
        <v>80</v>
      </c>
      <c r="D19">
        <v>179</v>
      </c>
      <c r="E19">
        <v>42</v>
      </c>
      <c r="F19">
        <v>1248</v>
      </c>
      <c r="G19">
        <v>7975</v>
      </c>
      <c r="H19">
        <v>73</v>
      </c>
      <c r="I19">
        <v>7</v>
      </c>
      <c r="J19">
        <v>176863</v>
      </c>
      <c r="K19">
        <v>90648</v>
      </c>
      <c r="L19">
        <v>177</v>
      </c>
      <c r="M19">
        <v>22</v>
      </c>
      <c r="N19">
        <v>76</v>
      </c>
      <c r="O19">
        <v>5</v>
      </c>
      <c r="P19">
        <v>1501</v>
      </c>
      <c r="Q19">
        <v>250</v>
      </c>
      <c r="R19">
        <v>1.0176282051282051</v>
      </c>
      <c r="S19">
        <v>56</v>
      </c>
      <c r="T19" t="s">
        <v>386</v>
      </c>
      <c r="U19">
        <v>1751</v>
      </c>
      <c r="V19">
        <v>4.5688178183894902E-2</v>
      </c>
      <c r="W19">
        <v>2</v>
      </c>
    </row>
    <row r="20" spans="1:23" x14ac:dyDescent="0.3">
      <c r="A20" s="1">
        <v>44188</v>
      </c>
      <c r="B20" s="2" t="s">
        <v>7</v>
      </c>
      <c r="C20">
        <v>114</v>
      </c>
      <c r="D20">
        <v>179</v>
      </c>
      <c r="E20">
        <v>61</v>
      </c>
      <c r="F20">
        <v>1270</v>
      </c>
      <c r="G20">
        <v>8031</v>
      </c>
      <c r="H20">
        <v>76</v>
      </c>
      <c r="I20">
        <v>5</v>
      </c>
      <c r="J20">
        <v>178364</v>
      </c>
      <c r="K20">
        <v>90898</v>
      </c>
      <c r="L20">
        <v>179</v>
      </c>
      <c r="M20">
        <v>51</v>
      </c>
      <c r="N20">
        <v>70</v>
      </c>
      <c r="O20">
        <v>6</v>
      </c>
      <c r="P20">
        <v>1584</v>
      </c>
      <c r="Q20">
        <v>246</v>
      </c>
      <c r="R20">
        <v>1.0401574803149607</v>
      </c>
      <c r="S20">
        <v>63</v>
      </c>
      <c r="T20" t="s">
        <v>367</v>
      </c>
      <c r="U20">
        <v>1830</v>
      </c>
      <c r="V20">
        <v>6.2295081967213103E-2</v>
      </c>
      <c r="W20">
        <v>0</v>
      </c>
    </row>
    <row r="21" spans="1:23" x14ac:dyDescent="0.3">
      <c r="A21" s="1">
        <v>44189</v>
      </c>
      <c r="B21" s="2" t="s">
        <v>7</v>
      </c>
      <c r="C21">
        <v>78</v>
      </c>
      <c r="D21">
        <v>179</v>
      </c>
      <c r="E21">
        <v>103</v>
      </c>
      <c r="F21">
        <v>1321</v>
      </c>
      <c r="G21">
        <v>8094</v>
      </c>
      <c r="H21">
        <v>70</v>
      </c>
      <c r="I21">
        <v>6</v>
      </c>
      <c r="J21">
        <v>179948</v>
      </c>
      <c r="K21">
        <v>91144</v>
      </c>
      <c r="L21">
        <v>179</v>
      </c>
      <c r="M21">
        <v>2</v>
      </c>
      <c r="N21">
        <v>63</v>
      </c>
      <c r="O21">
        <v>7</v>
      </c>
      <c r="P21">
        <v>2383</v>
      </c>
      <c r="Q21">
        <v>222</v>
      </c>
      <c r="R21">
        <v>1.0015140045420137</v>
      </c>
      <c r="S21">
        <v>76</v>
      </c>
      <c r="T21" t="s">
        <v>343</v>
      </c>
      <c r="U21">
        <v>2605</v>
      </c>
      <c r="V21">
        <v>2.9942418426103599E-2</v>
      </c>
      <c r="W21">
        <v>0</v>
      </c>
    </row>
    <row r="22" spans="1:23" x14ac:dyDescent="0.3">
      <c r="A22" s="1">
        <v>44190</v>
      </c>
      <c r="B22" s="2" t="s">
        <v>7</v>
      </c>
      <c r="C22">
        <v>99</v>
      </c>
      <c r="D22">
        <v>182</v>
      </c>
      <c r="E22">
        <v>63</v>
      </c>
      <c r="F22">
        <v>1323</v>
      </c>
      <c r="G22">
        <v>8170</v>
      </c>
      <c r="H22">
        <v>63</v>
      </c>
      <c r="I22">
        <v>7</v>
      </c>
      <c r="J22">
        <v>182331</v>
      </c>
      <c r="K22">
        <v>91366</v>
      </c>
      <c r="L22">
        <v>179</v>
      </c>
      <c r="M22">
        <v>32</v>
      </c>
      <c r="N22">
        <v>65</v>
      </c>
      <c r="O22">
        <v>7</v>
      </c>
      <c r="P22">
        <v>1941</v>
      </c>
      <c r="Q22">
        <v>91</v>
      </c>
      <c r="R22">
        <v>1.0241874527588812</v>
      </c>
      <c r="S22">
        <v>64</v>
      </c>
      <c r="T22" t="s">
        <v>344</v>
      </c>
      <c r="U22">
        <v>2032</v>
      </c>
      <c r="V22">
        <v>4.8720472440944899E-2</v>
      </c>
      <c r="W22">
        <v>3</v>
      </c>
    </row>
    <row r="23" spans="1:23" x14ac:dyDescent="0.3">
      <c r="A23" s="1">
        <v>44191</v>
      </c>
      <c r="B23" s="2" t="s">
        <v>7</v>
      </c>
      <c r="C23">
        <v>79</v>
      </c>
      <c r="D23">
        <v>184</v>
      </c>
      <c r="E23">
        <v>96</v>
      </c>
      <c r="F23">
        <v>1355</v>
      </c>
      <c r="G23">
        <v>8234</v>
      </c>
      <c r="H23">
        <v>65</v>
      </c>
      <c r="I23">
        <v>7</v>
      </c>
      <c r="J23">
        <v>184272</v>
      </c>
      <c r="K23">
        <v>91457</v>
      </c>
      <c r="L23">
        <v>182</v>
      </c>
      <c r="M23">
        <v>-3</v>
      </c>
      <c r="N23">
        <v>69</v>
      </c>
      <c r="O23">
        <v>7</v>
      </c>
      <c r="P23">
        <v>648</v>
      </c>
      <c r="Q23">
        <v>92</v>
      </c>
      <c r="R23">
        <v>0.99778597785977863</v>
      </c>
      <c r="S23">
        <v>80</v>
      </c>
      <c r="T23" t="s">
        <v>345</v>
      </c>
      <c r="U23">
        <v>740</v>
      </c>
      <c r="V23">
        <v>0.106756756756757</v>
      </c>
      <c r="W23">
        <v>2</v>
      </c>
    </row>
    <row r="24" spans="1:23" x14ac:dyDescent="0.3">
      <c r="A24" s="1">
        <v>44192</v>
      </c>
      <c r="B24" s="2" t="s">
        <v>7</v>
      </c>
      <c r="C24">
        <v>76</v>
      </c>
      <c r="D24">
        <v>184</v>
      </c>
      <c r="E24">
        <v>68</v>
      </c>
      <c r="F24">
        <v>1352</v>
      </c>
      <c r="G24">
        <v>8314</v>
      </c>
      <c r="H24">
        <v>69</v>
      </c>
      <c r="I24">
        <v>7</v>
      </c>
      <c r="J24">
        <v>184920</v>
      </c>
      <c r="K24">
        <v>91549</v>
      </c>
      <c r="L24">
        <v>184</v>
      </c>
      <c r="M24">
        <v>-5</v>
      </c>
      <c r="N24">
        <v>71</v>
      </c>
      <c r="O24">
        <v>7</v>
      </c>
      <c r="P24">
        <v>880</v>
      </c>
      <c r="Q24">
        <v>106</v>
      </c>
      <c r="R24">
        <v>0.99630177514792895</v>
      </c>
      <c r="S24">
        <v>81</v>
      </c>
      <c r="T24" t="s">
        <v>346</v>
      </c>
      <c r="U24">
        <v>986</v>
      </c>
      <c r="V24">
        <v>7.7079107505071007E-2</v>
      </c>
      <c r="W24">
        <v>0</v>
      </c>
    </row>
    <row r="25" spans="1:23" x14ac:dyDescent="0.3">
      <c r="A25" s="1">
        <v>44193</v>
      </c>
      <c r="B25" s="2" t="s">
        <v>7</v>
      </c>
      <c r="C25">
        <v>72</v>
      </c>
      <c r="D25">
        <v>188</v>
      </c>
      <c r="E25">
        <v>70</v>
      </c>
      <c r="F25">
        <v>1347</v>
      </c>
      <c r="G25">
        <v>8395</v>
      </c>
      <c r="H25">
        <v>71</v>
      </c>
      <c r="I25">
        <v>7</v>
      </c>
      <c r="J25">
        <v>185800</v>
      </c>
      <c r="K25">
        <v>91655</v>
      </c>
      <c r="L25">
        <v>184</v>
      </c>
      <c r="M25">
        <v>-11</v>
      </c>
      <c r="N25">
        <v>74</v>
      </c>
      <c r="O25">
        <v>5</v>
      </c>
      <c r="P25">
        <v>735</v>
      </c>
      <c r="Q25">
        <v>194</v>
      </c>
      <c r="R25">
        <v>0.99183370452858199</v>
      </c>
      <c r="S25">
        <v>79</v>
      </c>
      <c r="T25" t="s">
        <v>347</v>
      </c>
      <c r="U25">
        <v>929</v>
      </c>
      <c r="V25">
        <v>7.7502691065662002E-2</v>
      </c>
      <c r="W25">
        <v>4</v>
      </c>
    </row>
    <row r="26" spans="1:23" x14ac:dyDescent="0.3">
      <c r="A26" s="1">
        <v>44194</v>
      </c>
      <c r="B26" s="2" t="s">
        <v>7</v>
      </c>
      <c r="C26">
        <v>121</v>
      </c>
      <c r="D26">
        <v>189</v>
      </c>
      <c r="E26">
        <v>54</v>
      </c>
      <c r="F26">
        <v>1336</v>
      </c>
      <c r="G26">
        <v>8474</v>
      </c>
      <c r="H26">
        <v>74</v>
      </c>
      <c r="I26">
        <v>5</v>
      </c>
      <c r="J26">
        <v>186535</v>
      </c>
      <c r="K26">
        <v>91849</v>
      </c>
      <c r="L26">
        <v>188</v>
      </c>
      <c r="M26">
        <v>37</v>
      </c>
      <c r="N26">
        <v>65</v>
      </c>
      <c r="O26">
        <v>7</v>
      </c>
      <c r="P26">
        <v>1159</v>
      </c>
      <c r="Q26">
        <v>273</v>
      </c>
      <c r="R26">
        <v>1.027694610778443</v>
      </c>
      <c r="S26">
        <v>83</v>
      </c>
      <c r="T26" t="s">
        <v>348</v>
      </c>
      <c r="U26">
        <v>1432</v>
      </c>
      <c r="V26">
        <v>8.4497206703910602E-2</v>
      </c>
      <c r="W26">
        <v>1</v>
      </c>
    </row>
    <row r="27" spans="1:23" x14ac:dyDescent="0.3">
      <c r="A27" s="1">
        <v>44195</v>
      </c>
      <c r="B27" s="2" t="s">
        <v>7</v>
      </c>
      <c r="C27">
        <v>115</v>
      </c>
      <c r="D27">
        <v>191</v>
      </c>
      <c r="E27">
        <v>103</v>
      </c>
      <c r="F27">
        <v>1373</v>
      </c>
      <c r="G27">
        <v>8557</v>
      </c>
      <c r="H27">
        <v>65</v>
      </c>
      <c r="I27">
        <v>7</v>
      </c>
      <c r="J27">
        <v>187694</v>
      </c>
      <c r="K27">
        <v>92122</v>
      </c>
      <c r="L27">
        <v>189</v>
      </c>
      <c r="M27">
        <v>-4</v>
      </c>
      <c r="N27">
        <v>69</v>
      </c>
      <c r="O27">
        <v>7</v>
      </c>
      <c r="P27">
        <v>1025</v>
      </c>
      <c r="Q27">
        <v>248</v>
      </c>
      <c r="R27">
        <v>0.99708667152221409</v>
      </c>
      <c r="S27">
        <v>117</v>
      </c>
      <c r="T27" t="s">
        <v>349</v>
      </c>
      <c r="U27">
        <v>1273</v>
      </c>
      <c r="V27">
        <v>9.0337784760408504E-2</v>
      </c>
      <c r="W27">
        <v>2</v>
      </c>
    </row>
    <row r="28" spans="1:23" x14ac:dyDescent="0.3">
      <c r="A28" s="1">
        <v>44196</v>
      </c>
      <c r="B28" s="2" t="s">
        <v>7</v>
      </c>
      <c r="C28">
        <v>103</v>
      </c>
      <c r="D28">
        <v>193</v>
      </c>
      <c r="E28">
        <v>89</v>
      </c>
      <c r="F28">
        <v>1369</v>
      </c>
      <c r="G28">
        <v>8674</v>
      </c>
      <c r="H28">
        <v>69</v>
      </c>
      <c r="I28">
        <v>7</v>
      </c>
      <c r="J28">
        <v>188719</v>
      </c>
      <c r="K28">
        <v>92370</v>
      </c>
      <c r="L28">
        <v>191</v>
      </c>
      <c r="M28">
        <v>-23</v>
      </c>
      <c r="N28">
        <v>75</v>
      </c>
      <c r="O28">
        <v>8</v>
      </c>
      <c r="P28">
        <v>1332</v>
      </c>
      <c r="Q28">
        <v>254</v>
      </c>
      <c r="R28">
        <v>0.98319941563184809</v>
      </c>
      <c r="S28">
        <v>124</v>
      </c>
      <c r="T28" t="s">
        <v>350</v>
      </c>
      <c r="U28">
        <v>1586</v>
      </c>
      <c r="V28">
        <v>6.4943253467843604E-2</v>
      </c>
      <c r="W28">
        <v>2</v>
      </c>
    </row>
    <row r="29" spans="1:23" x14ac:dyDescent="0.3">
      <c r="A29" s="1">
        <v>44197</v>
      </c>
      <c r="B29" s="2" t="s">
        <v>7</v>
      </c>
      <c r="C29">
        <v>122</v>
      </c>
      <c r="D29">
        <v>193</v>
      </c>
      <c r="E29">
        <v>83</v>
      </c>
      <c r="F29">
        <v>1346</v>
      </c>
      <c r="G29">
        <v>8798</v>
      </c>
      <c r="H29">
        <v>75</v>
      </c>
      <c r="I29">
        <v>8</v>
      </c>
      <c r="J29">
        <v>190051</v>
      </c>
      <c r="K29">
        <v>92624</v>
      </c>
      <c r="L29">
        <v>193</v>
      </c>
      <c r="M29">
        <v>10</v>
      </c>
      <c r="N29">
        <v>79</v>
      </c>
      <c r="O29">
        <v>8</v>
      </c>
      <c r="P29">
        <v>948</v>
      </c>
      <c r="Q29">
        <v>96</v>
      </c>
      <c r="R29">
        <v>1.0074294205052006</v>
      </c>
      <c r="S29">
        <v>112</v>
      </c>
      <c r="T29" t="s">
        <v>351</v>
      </c>
      <c r="U29">
        <v>1044</v>
      </c>
      <c r="V29">
        <v>0.116858237547893</v>
      </c>
      <c r="W29">
        <v>0</v>
      </c>
    </row>
    <row r="30" spans="1:23" x14ac:dyDescent="0.3">
      <c r="A30" s="1">
        <v>44198</v>
      </c>
      <c r="B30" s="2" t="s">
        <v>7</v>
      </c>
      <c r="C30">
        <v>66</v>
      </c>
      <c r="D30">
        <v>197</v>
      </c>
      <c r="E30">
        <v>115</v>
      </c>
      <c r="F30">
        <v>1356</v>
      </c>
      <c r="G30">
        <v>8910</v>
      </c>
      <c r="H30">
        <v>79</v>
      </c>
      <c r="I30">
        <v>8</v>
      </c>
      <c r="J30">
        <v>190999</v>
      </c>
      <c r="K30">
        <v>92720</v>
      </c>
      <c r="L30">
        <v>193</v>
      </c>
      <c r="M30">
        <v>-24</v>
      </c>
      <c r="N30">
        <v>76</v>
      </c>
      <c r="O30">
        <v>11</v>
      </c>
      <c r="P30">
        <v>596</v>
      </c>
      <c r="Q30">
        <v>139</v>
      </c>
      <c r="R30">
        <v>0.98230088495575218</v>
      </c>
      <c r="S30">
        <v>86</v>
      </c>
      <c r="T30" t="s">
        <v>352</v>
      </c>
      <c r="U30">
        <v>735</v>
      </c>
      <c r="V30">
        <v>8.9795918367346905E-2</v>
      </c>
      <c r="W30">
        <v>4</v>
      </c>
    </row>
    <row r="31" spans="1:23" x14ac:dyDescent="0.3">
      <c r="A31" s="1">
        <v>44199</v>
      </c>
      <c r="B31" s="2" t="s">
        <v>7</v>
      </c>
      <c r="C31">
        <v>53</v>
      </c>
      <c r="D31">
        <v>200</v>
      </c>
      <c r="E31">
        <v>57</v>
      </c>
      <c r="F31">
        <v>1332</v>
      </c>
      <c r="G31">
        <v>8996</v>
      </c>
      <c r="H31">
        <v>76</v>
      </c>
      <c r="I31">
        <v>11</v>
      </c>
      <c r="J31">
        <v>191595</v>
      </c>
      <c r="K31">
        <v>92859</v>
      </c>
      <c r="L31">
        <v>197</v>
      </c>
      <c r="M31">
        <v>-5</v>
      </c>
      <c r="N31">
        <v>74</v>
      </c>
      <c r="O31">
        <v>12</v>
      </c>
      <c r="P31">
        <v>828</v>
      </c>
      <c r="Q31">
        <v>151</v>
      </c>
      <c r="R31">
        <v>0.99624624624624625</v>
      </c>
      <c r="S31">
        <v>55</v>
      </c>
      <c r="T31" t="s">
        <v>353</v>
      </c>
      <c r="U31">
        <v>979</v>
      </c>
      <c r="V31">
        <v>5.41368743615935E-2</v>
      </c>
      <c r="W31">
        <v>3</v>
      </c>
    </row>
    <row r="32" spans="1:23" x14ac:dyDescent="0.3">
      <c r="A32" s="1">
        <v>44200</v>
      </c>
      <c r="B32" s="2" t="s">
        <v>7</v>
      </c>
      <c r="C32">
        <v>60</v>
      </c>
      <c r="D32">
        <v>200</v>
      </c>
      <c r="E32">
        <v>43</v>
      </c>
      <c r="F32">
        <v>1327</v>
      </c>
      <c r="G32">
        <v>9051</v>
      </c>
      <c r="H32">
        <v>74</v>
      </c>
      <c r="I32">
        <v>12</v>
      </c>
      <c r="J32">
        <v>192423</v>
      </c>
      <c r="K32">
        <v>93010</v>
      </c>
      <c r="L32">
        <v>200</v>
      </c>
      <c r="M32">
        <v>9</v>
      </c>
      <c r="N32">
        <v>80</v>
      </c>
      <c r="O32">
        <v>13</v>
      </c>
      <c r="P32">
        <v>583</v>
      </c>
      <c r="Q32">
        <v>231</v>
      </c>
      <c r="R32">
        <v>1.0067822155237378</v>
      </c>
      <c r="S32">
        <v>51</v>
      </c>
      <c r="T32" t="s">
        <v>354</v>
      </c>
      <c r="U32">
        <v>814</v>
      </c>
      <c r="V32">
        <v>7.3710073710073695E-2</v>
      </c>
      <c r="W32">
        <v>0</v>
      </c>
    </row>
    <row r="33" spans="1:23" x14ac:dyDescent="0.3">
      <c r="A33" s="1">
        <v>44201</v>
      </c>
      <c r="B33" s="2" t="s">
        <v>7</v>
      </c>
      <c r="C33">
        <v>156</v>
      </c>
      <c r="D33">
        <v>201</v>
      </c>
      <c r="E33">
        <v>37</v>
      </c>
      <c r="F33">
        <v>1336</v>
      </c>
      <c r="G33">
        <v>9102</v>
      </c>
      <c r="H33">
        <v>80</v>
      </c>
      <c r="I33">
        <v>13</v>
      </c>
      <c r="J33">
        <v>193006</v>
      </c>
      <c r="K33">
        <v>93241</v>
      </c>
      <c r="L33">
        <v>200</v>
      </c>
      <c r="M33">
        <v>106</v>
      </c>
      <c r="N33">
        <v>83</v>
      </c>
      <c r="O33">
        <v>13</v>
      </c>
      <c r="P33">
        <v>1979</v>
      </c>
      <c r="Q33">
        <v>294</v>
      </c>
      <c r="R33">
        <v>1.0793413173652695</v>
      </c>
      <c r="S33">
        <v>49</v>
      </c>
      <c r="T33" t="s">
        <v>355</v>
      </c>
      <c r="U33">
        <v>2273</v>
      </c>
      <c r="V33">
        <v>6.8631764188297403E-2</v>
      </c>
      <c r="W33">
        <v>1</v>
      </c>
    </row>
    <row r="34" spans="1:23" x14ac:dyDescent="0.3">
      <c r="A34" s="1">
        <v>44202</v>
      </c>
      <c r="B34" s="2" t="s">
        <v>7</v>
      </c>
      <c r="C34">
        <v>106</v>
      </c>
      <c r="D34">
        <v>202</v>
      </c>
      <c r="E34">
        <v>133</v>
      </c>
      <c r="F34">
        <v>1442</v>
      </c>
      <c r="G34">
        <v>9151</v>
      </c>
      <c r="H34">
        <v>83</v>
      </c>
      <c r="I34">
        <v>13</v>
      </c>
      <c r="J34">
        <v>194985</v>
      </c>
      <c r="K34">
        <v>93535</v>
      </c>
      <c r="L34">
        <v>201</v>
      </c>
      <c r="M34">
        <v>11</v>
      </c>
      <c r="N34">
        <v>91</v>
      </c>
      <c r="O34">
        <v>9</v>
      </c>
      <c r="P34">
        <v>2093</v>
      </c>
      <c r="Q34">
        <v>109</v>
      </c>
      <c r="R34">
        <v>1.007628294036061</v>
      </c>
      <c r="S34">
        <v>94</v>
      </c>
      <c r="T34" t="s">
        <v>356</v>
      </c>
      <c r="U34">
        <v>2202</v>
      </c>
      <c r="V34">
        <v>4.8138056312443202E-2</v>
      </c>
      <c r="W34">
        <v>1</v>
      </c>
    </row>
    <row r="35" spans="1:23" x14ac:dyDescent="0.3">
      <c r="A35" s="1">
        <v>44203</v>
      </c>
      <c r="B35" s="2" t="s">
        <v>7</v>
      </c>
      <c r="C35">
        <v>179</v>
      </c>
      <c r="D35">
        <v>202</v>
      </c>
      <c r="E35">
        <v>93</v>
      </c>
      <c r="F35">
        <v>1453</v>
      </c>
      <c r="G35">
        <v>9245</v>
      </c>
      <c r="H35">
        <v>91</v>
      </c>
      <c r="I35">
        <v>9</v>
      </c>
      <c r="J35">
        <v>197078</v>
      </c>
      <c r="K35">
        <v>93644</v>
      </c>
      <c r="L35">
        <v>202</v>
      </c>
      <c r="M35">
        <v>64</v>
      </c>
      <c r="N35">
        <v>92</v>
      </c>
      <c r="O35">
        <v>9</v>
      </c>
      <c r="P35">
        <v>2660</v>
      </c>
      <c r="Q35">
        <v>207</v>
      </c>
      <c r="R35">
        <v>1.0440467997247076</v>
      </c>
      <c r="S35">
        <v>115</v>
      </c>
      <c r="T35" t="s">
        <v>387</v>
      </c>
      <c r="U35">
        <v>2867</v>
      </c>
      <c r="V35">
        <v>6.2434600627834E-2</v>
      </c>
      <c r="W35">
        <v>0</v>
      </c>
    </row>
    <row r="36" spans="1:23" x14ac:dyDescent="0.3">
      <c r="A36" s="1">
        <v>44204</v>
      </c>
      <c r="B36" s="2" t="s">
        <v>7</v>
      </c>
      <c r="C36">
        <v>203</v>
      </c>
      <c r="D36">
        <v>202</v>
      </c>
      <c r="E36">
        <v>139</v>
      </c>
      <c r="F36">
        <v>1517</v>
      </c>
      <c r="G36">
        <v>9360</v>
      </c>
      <c r="H36">
        <v>92</v>
      </c>
      <c r="I36">
        <v>9</v>
      </c>
      <c r="J36">
        <v>199738</v>
      </c>
      <c r="K36">
        <v>93851</v>
      </c>
      <c r="L36">
        <v>202</v>
      </c>
      <c r="M36">
        <v>133</v>
      </c>
      <c r="N36">
        <v>94</v>
      </c>
      <c r="O36">
        <v>8</v>
      </c>
      <c r="P36">
        <v>2243</v>
      </c>
      <c r="Q36">
        <v>415</v>
      </c>
      <c r="R36">
        <v>1.0876730388925511</v>
      </c>
      <c r="S36">
        <v>70</v>
      </c>
      <c r="T36" t="s">
        <v>398</v>
      </c>
      <c r="U36">
        <v>2658</v>
      </c>
      <c r="V36">
        <v>7.6373212942061702E-2</v>
      </c>
      <c r="W36">
        <v>0</v>
      </c>
    </row>
    <row r="37" spans="1:23" x14ac:dyDescent="0.3">
      <c r="A37" s="1">
        <v>44205</v>
      </c>
      <c r="B37" s="2" t="s">
        <v>7</v>
      </c>
      <c r="C37">
        <v>98</v>
      </c>
      <c r="D37">
        <v>202</v>
      </c>
      <c r="E37">
        <v>169</v>
      </c>
      <c r="F37">
        <v>1650</v>
      </c>
      <c r="G37">
        <v>9430</v>
      </c>
      <c r="H37">
        <v>94</v>
      </c>
      <c r="I37">
        <v>8</v>
      </c>
      <c r="J37">
        <v>201981</v>
      </c>
      <c r="K37">
        <v>94266</v>
      </c>
      <c r="L37">
        <v>202</v>
      </c>
      <c r="M37">
        <v>-8</v>
      </c>
      <c r="N37">
        <v>98</v>
      </c>
      <c r="O37">
        <v>7</v>
      </c>
      <c r="P37">
        <v>2296</v>
      </c>
      <c r="Q37">
        <v>191</v>
      </c>
      <c r="R37">
        <v>0.99515151515151512</v>
      </c>
      <c r="S37">
        <v>106</v>
      </c>
      <c r="T37" t="s">
        <v>399</v>
      </c>
      <c r="U37">
        <v>2487</v>
      </c>
      <c r="V37">
        <v>3.9404905508644998E-2</v>
      </c>
      <c r="W37">
        <v>0</v>
      </c>
    </row>
    <row r="38" spans="1:23" x14ac:dyDescent="0.3">
      <c r="A38" s="1">
        <v>44206</v>
      </c>
      <c r="B38" s="2" t="s">
        <v>7</v>
      </c>
      <c r="C38">
        <v>99</v>
      </c>
      <c r="D38">
        <v>204</v>
      </c>
      <c r="E38">
        <v>88</v>
      </c>
      <c r="F38">
        <v>1642</v>
      </c>
      <c r="G38">
        <v>9536</v>
      </c>
      <c r="H38">
        <v>98</v>
      </c>
      <c r="I38">
        <v>7</v>
      </c>
      <c r="J38">
        <v>204277</v>
      </c>
      <c r="K38">
        <v>94457</v>
      </c>
      <c r="L38">
        <v>202</v>
      </c>
      <c r="M38">
        <v>37</v>
      </c>
      <c r="N38">
        <v>101</v>
      </c>
      <c r="O38">
        <v>8</v>
      </c>
      <c r="P38">
        <v>1979</v>
      </c>
      <c r="Q38">
        <v>111</v>
      </c>
      <c r="R38">
        <v>1.0225334957369061</v>
      </c>
      <c r="S38">
        <v>60</v>
      </c>
      <c r="T38" t="s">
        <v>400</v>
      </c>
      <c r="U38">
        <v>2090</v>
      </c>
      <c r="V38">
        <v>4.7368421052631601E-2</v>
      </c>
      <c r="W38">
        <v>2</v>
      </c>
    </row>
    <row r="39" spans="1:23" x14ac:dyDescent="0.3">
      <c r="A39" s="1">
        <v>44207</v>
      </c>
      <c r="B39" s="2" t="s">
        <v>7</v>
      </c>
      <c r="C39">
        <v>200</v>
      </c>
      <c r="D39">
        <v>206</v>
      </c>
      <c r="E39">
        <v>74</v>
      </c>
      <c r="F39">
        <v>1679</v>
      </c>
      <c r="G39">
        <v>9596</v>
      </c>
      <c r="H39">
        <v>101</v>
      </c>
      <c r="I39">
        <v>8</v>
      </c>
      <c r="J39">
        <v>206256</v>
      </c>
      <c r="K39">
        <v>94568</v>
      </c>
      <c r="L39">
        <v>204</v>
      </c>
      <c r="M39">
        <v>131</v>
      </c>
      <c r="N39">
        <v>105</v>
      </c>
      <c r="O39">
        <v>7</v>
      </c>
      <c r="P39">
        <v>1057</v>
      </c>
      <c r="Q39">
        <v>250</v>
      </c>
      <c r="R39">
        <v>1.0780226325193567</v>
      </c>
      <c r="S39">
        <v>68</v>
      </c>
      <c r="T39" t="s">
        <v>401</v>
      </c>
      <c r="U39">
        <v>1307</v>
      </c>
      <c r="V39">
        <v>0.15302218821729199</v>
      </c>
      <c r="W39">
        <v>2</v>
      </c>
    </row>
    <row r="40" spans="1:23" x14ac:dyDescent="0.3">
      <c r="A40" s="1">
        <v>44208</v>
      </c>
      <c r="B40" s="2" t="s">
        <v>7</v>
      </c>
      <c r="C40">
        <v>195</v>
      </c>
      <c r="D40">
        <v>215</v>
      </c>
      <c r="E40">
        <v>171</v>
      </c>
      <c r="F40">
        <v>1810</v>
      </c>
      <c r="G40">
        <v>9664</v>
      </c>
      <c r="H40">
        <v>105</v>
      </c>
      <c r="I40">
        <v>7</v>
      </c>
      <c r="J40">
        <v>207313</v>
      </c>
      <c r="K40">
        <v>94818</v>
      </c>
      <c r="L40">
        <v>206</v>
      </c>
      <c r="M40">
        <v>76</v>
      </c>
      <c r="N40">
        <v>93</v>
      </c>
      <c r="O40">
        <v>6</v>
      </c>
      <c r="P40">
        <v>2240</v>
      </c>
      <c r="Q40">
        <v>449</v>
      </c>
      <c r="R40">
        <v>1.0419889502762432</v>
      </c>
      <c r="S40">
        <v>111</v>
      </c>
      <c r="T40" t="s">
        <v>403</v>
      </c>
      <c r="U40">
        <v>2689</v>
      </c>
      <c r="V40">
        <v>7.25176645593157E-2</v>
      </c>
      <c r="W40">
        <v>9</v>
      </c>
    </row>
    <row r="41" spans="1:23" x14ac:dyDescent="0.3">
      <c r="A41" s="1">
        <v>44209</v>
      </c>
      <c r="B41" s="2" t="s">
        <v>7</v>
      </c>
      <c r="C41">
        <v>231</v>
      </c>
      <c r="D41">
        <v>215</v>
      </c>
      <c r="E41">
        <v>149</v>
      </c>
      <c r="F41">
        <v>1886</v>
      </c>
      <c r="G41">
        <v>9775</v>
      </c>
      <c r="H41">
        <v>93</v>
      </c>
      <c r="I41">
        <v>6</v>
      </c>
      <c r="J41">
        <v>209553</v>
      </c>
      <c r="K41">
        <v>95267</v>
      </c>
      <c r="L41">
        <v>215</v>
      </c>
      <c r="M41">
        <v>97</v>
      </c>
      <c r="N41">
        <v>92</v>
      </c>
      <c r="O41">
        <v>8</v>
      </c>
      <c r="P41">
        <v>2112</v>
      </c>
      <c r="Q41">
        <v>362</v>
      </c>
      <c r="R41">
        <v>1.0514316012725344</v>
      </c>
      <c r="S41">
        <v>134</v>
      </c>
      <c r="T41" t="s">
        <v>404</v>
      </c>
      <c r="U41">
        <v>2474</v>
      </c>
      <c r="V41">
        <v>9.3371059013742902E-2</v>
      </c>
      <c r="W41">
        <v>0</v>
      </c>
    </row>
    <row r="42" spans="1:23" x14ac:dyDescent="0.3">
      <c r="A42" s="1">
        <v>44210</v>
      </c>
      <c r="B42" s="2" t="s">
        <v>7</v>
      </c>
      <c r="C42">
        <v>210</v>
      </c>
      <c r="D42">
        <v>216</v>
      </c>
      <c r="E42">
        <v>197</v>
      </c>
      <c r="F42">
        <v>1983</v>
      </c>
      <c r="G42">
        <v>9909</v>
      </c>
      <c r="H42">
        <v>92</v>
      </c>
      <c r="I42">
        <v>8</v>
      </c>
      <c r="J42">
        <v>211665</v>
      </c>
      <c r="K42">
        <v>95629</v>
      </c>
      <c r="L42">
        <v>215</v>
      </c>
      <c r="M42">
        <v>98</v>
      </c>
      <c r="N42">
        <v>94</v>
      </c>
      <c r="O42">
        <v>10</v>
      </c>
      <c r="P42">
        <v>1793</v>
      </c>
      <c r="Q42">
        <v>381</v>
      </c>
      <c r="R42">
        <v>1.0494200706001009</v>
      </c>
      <c r="S42">
        <v>111</v>
      </c>
      <c r="T42" t="s">
        <v>405</v>
      </c>
      <c r="U42">
        <v>2174</v>
      </c>
      <c r="V42">
        <v>9.6596136154553799E-2</v>
      </c>
      <c r="W42">
        <v>1</v>
      </c>
    </row>
    <row r="43" spans="1:23" x14ac:dyDescent="0.3">
      <c r="A43" s="1">
        <v>44211</v>
      </c>
      <c r="B43" s="2" t="s">
        <v>7</v>
      </c>
      <c r="C43">
        <v>211</v>
      </c>
      <c r="D43">
        <v>220</v>
      </c>
      <c r="E43">
        <v>163</v>
      </c>
      <c r="F43">
        <v>2081</v>
      </c>
      <c r="G43">
        <v>10020</v>
      </c>
      <c r="H43">
        <v>94</v>
      </c>
      <c r="I43">
        <v>10</v>
      </c>
      <c r="J43">
        <v>213458</v>
      </c>
      <c r="K43">
        <v>96010</v>
      </c>
      <c r="L43">
        <v>216</v>
      </c>
      <c r="M43">
        <v>76</v>
      </c>
      <c r="N43">
        <v>97</v>
      </c>
      <c r="O43">
        <v>12</v>
      </c>
      <c r="P43">
        <v>1777</v>
      </c>
      <c r="Q43">
        <v>465</v>
      </c>
      <c r="R43">
        <v>1.0365209034118212</v>
      </c>
      <c r="S43">
        <v>132</v>
      </c>
      <c r="T43" t="s">
        <v>406</v>
      </c>
      <c r="U43">
        <v>2242</v>
      </c>
      <c r="V43">
        <v>9.4112399643175706E-2</v>
      </c>
      <c r="W43">
        <v>4</v>
      </c>
    </row>
    <row r="44" spans="1:23" x14ac:dyDescent="0.3">
      <c r="A44" s="1">
        <v>44212</v>
      </c>
      <c r="B44" s="2" t="s">
        <v>7</v>
      </c>
      <c r="C44">
        <v>177</v>
      </c>
      <c r="D44">
        <v>222</v>
      </c>
      <c r="E44">
        <v>162</v>
      </c>
      <c r="F44">
        <v>2157</v>
      </c>
      <c r="G44">
        <v>10152</v>
      </c>
      <c r="H44">
        <v>97</v>
      </c>
      <c r="I44">
        <v>12</v>
      </c>
      <c r="J44">
        <v>215235</v>
      </c>
      <c r="K44">
        <v>96475</v>
      </c>
      <c r="L44">
        <v>220</v>
      </c>
      <c r="M44">
        <v>88</v>
      </c>
      <c r="N44">
        <v>95</v>
      </c>
      <c r="O44">
        <v>14</v>
      </c>
      <c r="P44">
        <v>1581</v>
      </c>
      <c r="Q44">
        <v>231</v>
      </c>
      <c r="R44">
        <v>1.0407974038015764</v>
      </c>
      <c r="S44">
        <v>87</v>
      </c>
      <c r="T44" t="s">
        <v>407</v>
      </c>
      <c r="U44">
        <v>1812</v>
      </c>
      <c r="V44">
        <v>9.7682119205297999E-2</v>
      </c>
      <c r="W44">
        <v>2</v>
      </c>
    </row>
    <row r="45" spans="1:23" x14ac:dyDescent="0.3">
      <c r="A45" s="1">
        <v>44213</v>
      </c>
      <c r="B45" s="2" t="s">
        <v>7</v>
      </c>
      <c r="C45">
        <v>140</v>
      </c>
      <c r="D45">
        <v>224</v>
      </c>
      <c r="E45">
        <v>145</v>
      </c>
      <c r="F45">
        <v>2245</v>
      </c>
      <c r="G45">
        <v>10239</v>
      </c>
      <c r="H45">
        <v>95</v>
      </c>
      <c r="I45">
        <v>14</v>
      </c>
      <c r="J45">
        <v>216816</v>
      </c>
      <c r="K45">
        <v>96706</v>
      </c>
      <c r="L45">
        <v>222</v>
      </c>
      <c r="M45">
        <v>96</v>
      </c>
      <c r="N45">
        <v>99</v>
      </c>
      <c r="O45">
        <v>16</v>
      </c>
      <c r="P45">
        <v>1527</v>
      </c>
      <c r="Q45">
        <v>171</v>
      </c>
      <c r="R45">
        <v>1.042761692650334</v>
      </c>
      <c r="S45">
        <v>42</v>
      </c>
      <c r="T45" t="s">
        <v>408</v>
      </c>
      <c r="U45">
        <v>1698</v>
      </c>
      <c r="V45">
        <v>8.2449941107184899E-2</v>
      </c>
      <c r="W45">
        <v>2</v>
      </c>
    </row>
    <row r="46" spans="1:23" x14ac:dyDescent="0.3">
      <c r="A46" s="1">
        <v>44214</v>
      </c>
      <c r="B46" s="2" t="s">
        <v>7</v>
      </c>
      <c r="C46">
        <v>206</v>
      </c>
      <c r="D46">
        <v>230</v>
      </c>
      <c r="E46">
        <v>117</v>
      </c>
      <c r="F46">
        <v>2341</v>
      </c>
      <c r="G46">
        <v>10281</v>
      </c>
      <c r="H46">
        <v>99</v>
      </c>
      <c r="I46">
        <v>16</v>
      </c>
      <c r="J46">
        <v>218343</v>
      </c>
      <c r="K46">
        <v>96877</v>
      </c>
      <c r="L46">
        <v>224</v>
      </c>
      <c r="M46">
        <v>166</v>
      </c>
      <c r="N46">
        <v>100</v>
      </c>
      <c r="O46">
        <v>20</v>
      </c>
      <c r="P46">
        <v>1877</v>
      </c>
      <c r="Q46">
        <v>398</v>
      </c>
      <c r="R46">
        <v>1.070909867577958</v>
      </c>
      <c r="S46">
        <v>36</v>
      </c>
      <c r="T46" t="s">
        <v>409</v>
      </c>
      <c r="U46">
        <v>2275</v>
      </c>
      <c r="V46">
        <v>9.05494505494506E-2</v>
      </c>
      <c r="W46">
        <v>6</v>
      </c>
    </row>
    <row r="47" spans="1:23" x14ac:dyDescent="0.3">
      <c r="A47" s="1">
        <v>44215</v>
      </c>
      <c r="B47" s="2" t="s">
        <v>7</v>
      </c>
      <c r="C47">
        <v>190</v>
      </c>
      <c r="D47">
        <v>234</v>
      </c>
      <c r="E47">
        <v>166</v>
      </c>
      <c r="F47">
        <v>2507</v>
      </c>
      <c r="G47">
        <v>10317</v>
      </c>
      <c r="H47">
        <v>100</v>
      </c>
      <c r="I47">
        <v>20</v>
      </c>
      <c r="J47">
        <v>220220</v>
      </c>
      <c r="K47">
        <v>97275</v>
      </c>
      <c r="L47">
        <v>230</v>
      </c>
      <c r="M47">
        <v>86</v>
      </c>
      <c r="N47">
        <v>106</v>
      </c>
      <c r="O47">
        <v>26</v>
      </c>
      <c r="P47">
        <v>1958</v>
      </c>
      <c r="Q47">
        <v>577</v>
      </c>
      <c r="R47">
        <v>1.0343039489429597</v>
      </c>
      <c r="S47">
        <v>101</v>
      </c>
      <c r="T47" t="s">
        <v>410</v>
      </c>
      <c r="U47">
        <v>2535</v>
      </c>
      <c r="V47">
        <v>7.49506903353057E-2</v>
      </c>
      <c r="W47">
        <v>4</v>
      </c>
    </row>
    <row r="48" spans="1:23" x14ac:dyDescent="0.3">
      <c r="A48" s="1">
        <v>44216</v>
      </c>
      <c r="B48" s="2" t="s">
        <v>7</v>
      </c>
      <c r="C48">
        <v>233</v>
      </c>
      <c r="D48">
        <v>237</v>
      </c>
      <c r="E48">
        <v>126</v>
      </c>
      <c r="F48">
        <v>2593</v>
      </c>
      <c r="G48">
        <v>10418</v>
      </c>
      <c r="H48">
        <v>106</v>
      </c>
      <c r="I48">
        <v>26</v>
      </c>
      <c r="J48">
        <v>222178</v>
      </c>
      <c r="K48">
        <v>97852</v>
      </c>
      <c r="L48">
        <v>234</v>
      </c>
      <c r="M48">
        <v>101</v>
      </c>
      <c r="N48">
        <v>108</v>
      </c>
      <c r="O48">
        <v>28</v>
      </c>
      <c r="P48">
        <v>1994</v>
      </c>
      <c r="Q48">
        <v>515</v>
      </c>
      <c r="R48">
        <v>1.03895102198226</v>
      </c>
      <c r="S48">
        <v>129</v>
      </c>
      <c r="T48" t="s">
        <v>411</v>
      </c>
      <c r="U48">
        <v>2509</v>
      </c>
      <c r="V48">
        <v>9.2865683539258698E-2</v>
      </c>
      <c r="W48">
        <v>3</v>
      </c>
    </row>
    <row r="49" spans="1:23" x14ac:dyDescent="0.3">
      <c r="A49" s="1">
        <v>44217</v>
      </c>
      <c r="B49" s="2" t="s">
        <v>7</v>
      </c>
      <c r="C49">
        <v>295</v>
      </c>
      <c r="D49">
        <v>240</v>
      </c>
      <c r="E49">
        <v>173</v>
      </c>
      <c r="F49">
        <v>2694</v>
      </c>
      <c r="G49">
        <v>10547</v>
      </c>
      <c r="H49">
        <v>108</v>
      </c>
      <c r="I49">
        <v>28</v>
      </c>
      <c r="J49">
        <v>224172</v>
      </c>
      <c r="K49">
        <v>98367</v>
      </c>
      <c r="L49">
        <v>237</v>
      </c>
      <c r="M49">
        <v>149</v>
      </c>
      <c r="N49">
        <v>114</v>
      </c>
      <c r="O49">
        <v>28</v>
      </c>
      <c r="P49">
        <v>2149</v>
      </c>
      <c r="Q49">
        <v>549</v>
      </c>
      <c r="R49">
        <v>1.0553080920564217</v>
      </c>
      <c r="S49">
        <v>144</v>
      </c>
      <c r="T49" t="s">
        <v>422</v>
      </c>
      <c r="U49">
        <v>2698</v>
      </c>
      <c r="V49">
        <v>0.109340252038547</v>
      </c>
      <c r="W49">
        <v>3</v>
      </c>
    </row>
    <row r="50" spans="1:23" x14ac:dyDescent="0.3">
      <c r="A50" s="1">
        <v>44218</v>
      </c>
      <c r="B50" s="2" t="s">
        <v>7</v>
      </c>
      <c r="C50">
        <v>253</v>
      </c>
      <c r="D50">
        <v>243</v>
      </c>
      <c r="E50">
        <v>225</v>
      </c>
      <c r="F50">
        <v>2843</v>
      </c>
      <c r="G50">
        <v>10691</v>
      </c>
      <c r="H50">
        <v>114</v>
      </c>
      <c r="I50">
        <v>28</v>
      </c>
      <c r="J50">
        <v>226321</v>
      </c>
      <c r="K50">
        <v>98916</v>
      </c>
      <c r="L50">
        <v>240</v>
      </c>
      <c r="M50">
        <v>104</v>
      </c>
      <c r="N50">
        <v>106</v>
      </c>
      <c r="O50">
        <v>27</v>
      </c>
      <c r="P50">
        <v>1729</v>
      </c>
      <c r="Q50">
        <v>569</v>
      </c>
      <c r="R50">
        <v>1.0365810763278227</v>
      </c>
      <c r="S50">
        <v>147</v>
      </c>
      <c r="T50" t="s">
        <v>441</v>
      </c>
      <c r="U50">
        <v>2298</v>
      </c>
      <c r="V50">
        <v>0.110095735422106</v>
      </c>
      <c r="W50">
        <v>3</v>
      </c>
    </row>
    <row r="51" spans="1:23" x14ac:dyDescent="0.3">
      <c r="A51" s="1">
        <v>44219</v>
      </c>
      <c r="B51" s="2" t="s">
        <v>7</v>
      </c>
      <c r="C51">
        <v>159</v>
      </c>
      <c r="D51">
        <v>243</v>
      </c>
      <c r="E51">
        <v>172</v>
      </c>
      <c r="F51">
        <v>2947</v>
      </c>
      <c r="G51">
        <v>10838</v>
      </c>
      <c r="H51">
        <v>106</v>
      </c>
      <c r="I51">
        <v>27</v>
      </c>
      <c r="J51">
        <v>228050</v>
      </c>
      <c r="K51">
        <v>99485</v>
      </c>
      <c r="L51">
        <v>243</v>
      </c>
      <c r="M51">
        <v>-23</v>
      </c>
      <c r="N51">
        <v>112</v>
      </c>
      <c r="O51">
        <v>29</v>
      </c>
      <c r="P51">
        <v>1675</v>
      </c>
      <c r="Q51">
        <v>401</v>
      </c>
      <c r="R51">
        <v>0.99219545300305401</v>
      </c>
      <c r="S51">
        <v>182</v>
      </c>
      <c r="T51" t="s">
        <v>442</v>
      </c>
      <c r="U51">
        <v>2076</v>
      </c>
      <c r="V51">
        <v>7.6589595375722602E-2</v>
      </c>
      <c r="W51">
        <v>0</v>
      </c>
    </row>
    <row r="52" spans="1:23" x14ac:dyDescent="0.3">
      <c r="A52" s="1">
        <v>44220</v>
      </c>
      <c r="B52" s="2" t="s">
        <v>7</v>
      </c>
      <c r="C52">
        <v>294</v>
      </c>
      <c r="D52">
        <v>243</v>
      </c>
      <c r="E52">
        <v>118</v>
      </c>
      <c r="F52">
        <v>2924</v>
      </c>
      <c r="G52">
        <v>11020</v>
      </c>
      <c r="H52">
        <v>112</v>
      </c>
      <c r="I52">
        <v>29</v>
      </c>
      <c r="J52">
        <v>229725</v>
      </c>
      <c r="K52">
        <v>99886</v>
      </c>
      <c r="L52">
        <v>243</v>
      </c>
      <c r="M52">
        <v>194</v>
      </c>
      <c r="N52">
        <v>122</v>
      </c>
      <c r="O52">
        <v>32</v>
      </c>
      <c r="P52">
        <v>2561</v>
      </c>
      <c r="Q52">
        <v>236</v>
      </c>
      <c r="R52">
        <v>1.0663474692202461</v>
      </c>
      <c r="S52">
        <v>99</v>
      </c>
      <c r="T52" t="s">
        <v>461</v>
      </c>
      <c r="U52">
        <v>2797</v>
      </c>
      <c r="V52">
        <v>0.105112620664998</v>
      </c>
      <c r="W52">
        <v>0</v>
      </c>
    </row>
    <row r="53" spans="1:23" x14ac:dyDescent="0.3">
      <c r="A53" s="1">
        <v>44221</v>
      </c>
      <c r="B53" s="2" t="s">
        <v>7</v>
      </c>
      <c r="C53">
        <v>239</v>
      </c>
      <c r="D53">
        <v>248</v>
      </c>
      <c r="E53">
        <v>251</v>
      </c>
      <c r="F53">
        <v>3118</v>
      </c>
      <c r="G53">
        <v>11119</v>
      </c>
      <c r="H53">
        <v>122</v>
      </c>
      <c r="I53">
        <v>32</v>
      </c>
      <c r="J53">
        <v>232286</v>
      </c>
      <c r="K53">
        <v>100122</v>
      </c>
      <c r="L53">
        <v>243</v>
      </c>
      <c r="M53">
        <v>124</v>
      </c>
      <c r="N53">
        <v>124</v>
      </c>
      <c r="O53">
        <v>34</v>
      </c>
      <c r="P53">
        <v>2186</v>
      </c>
      <c r="Q53">
        <v>551</v>
      </c>
      <c r="R53">
        <v>1.0397690827453496</v>
      </c>
      <c r="S53">
        <v>110</v>
      </c>
      <c r="T53" t="s">
        <v>462</v>
      </c>
      <c r="U53">
        <v>2737</v>
      </c>
      <c r="V53">
        <v>8.7321885275849498E-2</v>
      </c>
      <c r="W53">
        <v>5</v>
      </c>
    </row>
    <row r="54" spans="1:23" x14ac:dyDescent="0.3">
      <c r="A54" s="1">
        <v>44222</v>
      </c>
      <c r="B54" s="2" t="s">
        <v>7</v>
      </c>
      <c r="C54">
        <v>225</v>
      </c>
      <c r="D54">
        <v>250</v>
      </c>
      <c r="E54">
        <v>174</v>
      </c>
      <c r="F54">
        <v>3242</v>
      </c>
      <c r="G54">
        <v>11229</v>
      </c>
      <c r="H54">
        <v>124</v>
      </c>
      <c r="I54">
        <v>34</v>
      </c>
      <c r="J54">
        <v>234472</v>
      </c>
      <c r="K54">
        <v>100673</v>
      </c>
      <c r="L54">
        <v>248</v>
      </c>
      <c r="M54">
        <v>67</v>
      </c>
      <c r="N54">
        <v>126</v>
      </c>
      <c r="O54">
        <v>36</v>
      </c>
      <c r="P54">
        <v>1987</v>
      </c>
      <c r="Q54">
        <v>635</v>
      </c>
      <c r="R54">
        <v>1.0206662553979025</v>
      </c>
      <c r="S54">
        <v>156</v>
      </c>
      <c r="T54" t="s">
        <v>463</v>
      </c>
      <c r="U54">
        <v>2622</v>
      </c>
      <c r="V54">
        <v>8.5812356979404994E-2</v>
      </c>
      <c r="W54">
        <v>2</v>
      </c>
    </row>
    <row r="55" spans="1:23" x14ac:dyDescent="0.3">
      <c r="A55" s="1">
        <v>44223</v>
      </c>
      <c r="B55" s="2" t="s">
        <v>7</v>
      </c>
      <c r="C55">
        <v>197</v>
      </c>
      <c r="D55">
        <v>253</v>
      </c>
      <c r="E55">
        <v>159</v>
      </c>
      <c r="F55">
        <v>3309</v>
      </c>
      <c r="G55">
        <v>11385</v>
      </c>
      <c r="H55">
        <v>126</v>
      </c>
      <c r="I55">
        <v>36</v>
      </c>
      <c r="J55">
        <v>236459</v>
      </c>
      <c r="K55">
        <v>101308</v>
      </c>
      <c r="L55">
        <v>250</v>
      </c>
      <c r="M55">
        <v>-38</v>
      </c>
      <c r="N55">
        <v>119</v>
      </c>
      <c r="O55">
        <v>35</v>
      </c>
      <c r="P55">
        <v>2183</v>
      </c>
      <c r="Q55">
        <v>804</v>
      </c>
      <c r="R55">
        <v>0.98851616802659414</v>
      </c>
      <c r="S55">
        <v>231</v>
      </c>
      <c r="T55" t="s">
        <v>470</v>
      </c>
      <c r="U55">
        <v>2987</v>
      </c>
      <c r="V55">
        <v>6.59524606628724E-2</v>
      </c>
      <c r="W55">
        <v>3</v>
      </c>
    </row>
    <row r="56" spans="1:23" x14ac:dyDescent="0.3">
      <c r="A56" s="1">
        <v>44224</v>
      </c>
      <c r="B56" s="2" t="s">
        <v>7</v>
      </c>
      <c r="C56">
        <v>301</v>
      </c>
      <c r="D56">
        <v>257</v>
      </c>
      <c r="E56">
        <v>124</v>
      </c>
      <c r="F56">
        <v>3271</v>
      </c>
      <c r="G56">
        <v>11616</v>
      </c>
      <c r="H56">
        <v>119</v>
      </c>
      <c r="I56">
        <v>35</v>
      </c>
      <c r="J56">
        <v>238642</v>
      </c>
      <c r="K56">
        <v>102112</v>
      </c>
      <c r="L56">
        <v>253</v>
      </c>
      <c r="M56">
        <v>102</v>
      </c>
      <c r="N56">
        <v>133</v>
      </c>
      <c r="O56">
        <v>40</v>
      </c>
      <c r="P56">
        <v>2022</v>
      </c>
      <c r="Q56">
        <v>1279</v>
      </c>
      <c r="R56">
        <v>1.0311831244267808</v>
      </c>
      <c r="S56">
        <v>195</v>
      </c>
      <c r="T56" t="s">
        <v>472</v>
      </c>
      <c r="U56">
        <v>3301</v>
      </c>
      <c r="V56">
        <v>9.11844895486216E-2</v>
      </c>
      <c r="W56">
        <v>4</v>
      </c>
    </row>
    <row r="57" spans="1:23" x14ac:dyDescent="0.3">
      <c r="A57" s="1">
        <v>44225</v>
      </c>
      <c r="B57" s="2" t="s">
        <v>7</v>
      </c>
      <c r="C57">
        <v>266</v>
      </c>
      <c r="D57">
        <v>260</v>
      </c>
      <c r="E57">
        <v>253</v>
      </c>
      <c r="F57">
        <v>3373</v>
      </c>
      <c r="G57">
        <v>11811</v>
      </c>
      <c r="H57">
        <v>133</v>
      </c>
      <c r="I57">
        <v>40</v>
      </c>
      <c r="J57">
        <v>240664</v>
      </c>
      <c r="K57">
        <v>103391</v>
      </c>
      <c r="L57">
        <v>257</v>
      </c>
      <c r="M57">
        <v>72</v>
      </c>
      <c r="N57">
        <v>131</v>
      </c>
      <c r="O57">
        <v>40</v>
      </c>
      <c r="P57">
        <v>2690</v>
      </c>
      <c r="Q57">
        <v>1436</v>
      </c>
      <c r="R57">
        <v>1.021345982804625</v>
      </c>
      <c r="S57">
        <v>191</v>
      </c>
      <c r="T57" t="s">
        <v>473</v>
      </c>
      <c r="U57">
        <v>4126</v>
      </c>
      <c r="V57">
        <v>6.4469219583131399E-2</v>
      </c>
      <c r="W57">
        <v>3</v>
      </c>
    </row>
    <row r="58" spans="1:23" x14ac:dyDescent="0.3">
      <c r="A58" s="1">
        <v>44226</v>
      </c>
      <c r="B58" s="2" t="s">
        <v>7</v>
      </c>
      <c r="C58">
        <v>176</v>
      </c>
      <c r="D58">
        <v>260</v>
      </c>
      <c r="E58">
        <v>209</v>
      </c>
      <c r="F58">
        <v>3445</v>
      </c>
      <c r="G58">
        <v>12002</v>
      </c>
      <c r="H58">
        <v>131</v>
      </c>
      <c r="I58">
        <v>40</v>
      </c>
      <c r="J58">
        <v>243354</v>
      </c>
      <c r="K58">
        <v>104827</v>
      </c>
      <c r="L58">
        <v>260</v>
      </c>
      <c r="M58">
        <v>-20</v>
      </c>
      <c r="N58">
        <v>141</v>
      </c>
      <c r="O58">
        <v>42</v>
      </c>
      <c r="P58">
        <v>2270</v>
      </c>
      <c r="Q58">
        <v>1582</v>
      </c>
      <c r="R58">
        <v>0.99419448476052252</v>
      </c>
      <c r="S58">
        <v>196</v>
      </c>
      <c r="T58" t="s">
        <v>474</v>
      </c>
      <c r="U58">
        <v>3852</v>
      </c>
      <c r="V58">
        <v>4.5690550363447602E-2</v>
      </c>
      <c r="W58">
        <v>0</v>
      </c>
    </row>
    <row r="59" spans="1:23" x14ac:dyDescent="0.3">
      <c r="A59" s="1">
        <v>44227</v>
      </c>
      <c r="B59" s="2" t="s">
        <v>7</v>
      </c>
      <c r="C59">
        <v>148</v>
      </c>
      <c r="D59">
        <v>262</v>
      </c>
      <c r="E59">
        <v>137</v>
      </c>
      <c r="F59">
        <v>3425</v>
      </c>
      <c r="G59">
        <v>12198</v>
      </c>
      <c r="H59">
        <v>141</v>
      </c>
      <c r="I59">
        <v>42</v>
      </c>
      <c r="J59">
        <v>245624</v>
      </c>
      <c r="K59">
        <v>106409</v>
      </c>
      <c r="L59">
        <v>260</v>
      </c>
      <c r="M59">
        <v>-7</v>
      </c>
      <c r="N59">
        <v>156</v>
      </c>
      <c r="O59">
        <v>44</v>
      </c>
      <c r="P59">
        <v>3731</v>
      </c>
      <c r="Q59">
        <v>293</v>
      </c>
      <c r="R59">
        <v>0.99795620437956201</v>
      </c>
      <c r="S59">
        <v>153</v>
      </c>
      <c r="T59" t="s">
        <v>475</v>
      </c>
      <c r="U59">
        <v>4024</v>
      </c>
      <c r="V59">
        <v>3.6779324055666002E-2</v>
      </c>
      <c r="W59">
        <v>2</v>
      </c>
    </row>
    <row r="60" spans="1:23" x14ac:dyDescent="0.3">
      <c r="A60" s="1">
        <v>44228</v>
      </c>
      <c r="B60" s="2" t="s">
        <v>7</v>
      </c>
      <c r="C60">
        <v>169</v>
      </c>
      <c r="D60">
        <v>269</v>
      </c>
      <c r="E60">
        <v>130</v>
      </c>
      <c r="F60">
        <v>3418</v>
      </c>
      <c r="G60">
        <v>12351</v>
      </c>
      <c r="H60">
        <v>156</v>
      </c>
      <c r="I60">
        <v>44</v>
      </c>
      <c r="J60">
        <v>249355</v>
      </c>
      <c r="K60">
        <v>106702</v>
      </c>
      <c r="L60">
        <v>262</v>
      </c>
      <c r="M60">
        <v>24</v>
      </c>
      <c r="N60">
        <v>141</v>
      </c>
      <c r="O60">
        <v>47</v>
      </c>
      <c r="P60">
        <v>3787</v>
      </c>
      <c r="Q60">
        <v>647</v>
      </c>
      <c r="R60">
        <v>1.0070216500877707</v>
      </c>
      <c r="S60">
        <v>138</v>
      </c>
      <c r="T60" t="s">
        <v>479</v>
      </c>
      <c r="U60">
        <v>4434</v>
      </c>
      <c r="V60">
        <v>3.8114569237708597E-2</v>
      </c>
      <c r="W60">
        <v>7</v>
      </c>
    </row>
    <row r="61" spans="1:23" x14ac:dyDescent="0.3">
      <c r="A61" s="1">
        <v>44229</v>
      </c>
      <c r="B61" s="2" t="s">
        <v>7</v>
      </c>
      <c r="C61">
        <v>129</v>
      </c>
      <c r="D61">
        <v>273</v>
      </c>
      <c r="E61">
        <v>125</v>
      </c>
      <c r="F61">
        <v>3442</v>
      </c>
      <c r="G61">
        <v>12489</v>
      </c>
      <c r="H61">
        <v>141</v>
      </c>
      <c r="I61">
        <v>47</v>
      </c>
      <c r="J61">
        <v>253142</v>
      </c>
      <c r="K61">
        <v>107349</v>
      </c>
      <c r="L61">
        <v>269</v>
      </c>
      <c r="M61">
        <v>-76</v>
      </c>
      <c r="N61">
        <v>125</v>
      </c>
      <c r="O61">
        <v>43</v>
      </c>
      <c r="P61">
        <v>3972</v>
      </c>
      <c r="Q61">
        <v>1201</v>
      </c>
      <c r="R61">
        <v>0.97791981406159212</v>
      </c>
      <c r="S61">
        <v>201</v>
      </c>
      <c r="T61" t="s">
        <v>480</v>
      </c>
      <c r="U61">
        <v>5173</v>
      </c>
      <c r="V61">
        <v>2.4937173786970801E-2</v>
      </c>
      <c r="W61">
        <v>4</v>
      </c>
    </row>
    <row r="62" spans="1:23" x14ac:dyDescent="0.3">
      <c r="A62" s="1">
        <v>44230</v>
      </c>
      <c r="B62" s="2" t="s">
        <v>7</v>
      </c>
      <c r="C62">
        <v>242</v>
      </c>
      <c r="D62">
        <v>278</v>
      </c>
      <c r="E62">
        <v>102</v>
      </c>
      <c r="F62">
        <v>3366</v>
      </c>
      <c r="G62">
        <v>12690</v>
      </c>
      <c r="H62">
        <v>125</v>
      </c>
      <c r="I62">
        <v>43</v>
      </c>
      <c r="J62">
        <v>257114</v>
      </c>
      <c r="K62">
        <v>108550</v>
      </c>
      <c r="L62">
        <v>273</v>
      </c>
      <c r="M62">
        <v>52</v>
      </c>
      <c r="N62">
        <v>128</v>
      </c>
      <c r="O62">
        <v>42</v>
      </c>
      <c r="P62">
        <v>2661</v>
      </c>
      <c r="Q62">
        <v>1605</v>
      </c>
      <c r="R62">
        <v>1.0154486036838979</v>
      </c>
      <c r="S62">
        <v>185</v>
      </c>
      <c r="T62" t="s">
        <v>481</v>
      </c>
      <c r="U62">
        <v>4266</v>
      </c>
      <c r="V62">
        <v>5.6727613689639002E-2</v>
      </c>
      <c r="W62">
        <v>5</v>
      </c>
    </row>
    <row r="63" spans="1:23" x14ac:dyDescent="0.3">
      <c r="A63" s="1">
        <v>44231</v>
      </c>
      <c r="B63" s="2" t="s">
        <v>7</v>
      </c>
      <c r="C63">
        <v>172</v>
      </c>
      <c r="D63">
        <v>281</v>
      </c>
      <c r="E63">
        <v>224</v>
      </c>
      <c r="F63">
        <v>3418</v>
      </c>
      <c r="G63">
        <v>12875</v>
      </c>
      <c r="H63">
        <v>128</v>
      </c>
      <c r="I63">
        <v>42</v>
      </c>
      <c r="J63">
        <v>259775</v>
      </c>
      <c r="K63">
        <v>110155</v>
      </c>
      <c r="L63">
        <v>278</v>
      </c>
      <c r="M63">
        <v>-79</v>
      </c>
      <c r="N63">
        <v>131</v>
      </c>
      <c r="O63">
        <v>43</v>
      </c>
      <c r="P63">
        <v>2342</v>
      </c>
      <c r="Q63">
        <v>2206</v>
      </c>
      <c r="R63">
        <v>0.9768870684610883</v>
      </c>
      <c r="S63">
        <v>249</v>
      </c>
      <c r="T63" t="s">
        <v>482</v>
      </c>
      <c r="U63">
        <v>4548</v>
      </c>
      <c r="V63">
        <v>3.7818821459982402E-2</v>
      </c>
      <c r="W63">
        <v>3</v>
      </c>
    </row>
    <row r="64" spans="1:23" x14ac:dyDescent="0.3">
      <c r="A64" s="1">
        <v>44232</v>
      </c>
      <c r="B64" s="2" t="s">
        <v>7</v>
      </c>
      <c r="C64">
        <v>130</v>
      </c>
      <c r="D64">
        <v>285</v>
      </c>
      <c r="E64">
        <v>143</v>
      </c>
      <c r="F64">
        <v>3339</v>
      </c>
      <c r="G64">
        <v>13124</v>
      </c>
      <c r="H64">
        <v>131</v>
      </c>
      <c r="I64">
        <v>43</v>
      </c>
      <c r="J64">
        <v>262117</v>
      </c>
      <c r="K64">
        <v>112361</v>
      </c>
      <c r="L64">
        <v>281</v>
      </c>
      <c r="M64">
        <v>-156</v>
      </c>
      <c r="N64">
        <v>136</v>
      </c>
      <c r="O64">
        <v>44</v>
      </c>
      <c r="P64">
        <v>2303</v>
      </c>
      <c r="Q64">
        <v>1663</v>
      </c>
      <c r="R64">
        <v>0.95327942497753815</v>
      </c>
      <c r="S64">
        <v>282</v>
      </c>
      <c r="T64" t="s">
        <v>483</v>
      </c>
      <c r="U64">
        <v>3966</v>
      </c>
      <c r="V64">
        <v>3.2778618255168902E-2</v>
      </c>
      <c r="W64">
        <v>4</v>
      </c>
    </row>
    <row r="65" spans="1:23" x14ac:dyDescent="0.3">
      <c r="A65" s="1">
        <v>44233</v>
      </c>
      <c r="B65" s="2" t="s">
        <v>7</v>
      </c>
      <c r="C65">
        <v>108</v>
      </c>
      <c r="D65">
        <v>286</v>
      </c>
      <c r="E65">
        <v>116</v>
      </c>
      <c r="F65">
        <v>3183</v>
      </c>
      <c r="G65">
        <v>13406</v>
      </c>
      <c r="H65">
        <v>136</v>
      </c>
      <c r="I65">
        <v>44</v>
      </c>
      <c r="J65">
        <v>264420</v>
      </c>
      <c r="K65">
        <v>114024</v>
      </c>
      <c r="L65">
        <v>285</v>
      </c>
      <c r="M65">
        <v>-160</v>
      </c>
      <c r="N65">
        <v>129</v>
      </c>
      <c r="O65">
        <v>44</v>
      </c>
      <c r="P65">
        <v>1878</v>
      </c>
      <c r="Q65">
        <v>4719</v>
      </c>
      <c r="R65">
        <v>0.94973295633050581</v>
      </c>
      <c r="S65">
        <v>267</v>
      </c>
      <c r="T65" t="s">
        <v>484</v>
      </c>
      <c r="U65">
        <v>6597</v>
      </c>
      <c r="V65">
        <v>1.6371077762619399E-2</v>
      </c>
      <c r="W65">
        <v>1</v>
      </c>
    </row>
    <row r="66" spans="1:23" x14ac:dyDescent="0.3">
      <c r="A66" s="1">
        <v>44234</v>
      </c>
      <c r="B66" s="2" t="s">
        <v>7</v>
      </c>
      <c r="C66">
        <v>73</v>
      </c>
      <c r="D66">
        <v>290</v>
      </c>
      <c r="E66">
        <v>100</v>
      </c>
      <c r="F66">
        <v>3023</v>
      </c>
      <c r="G66">
        <v>13673</v>
      </c>
      <c r="H66">
        <v>129</v>
      </c>
      <c r="I66">
        <v>44</v>
      </c>
      <c r="J66">
        <v>266298</v>
      </c>
      <c r="K66">
        <v>118743</v>
      </c>
      <c r="L66">
        <v>286</v>
      </c>
      <c r="M66">
        <v>-91</v>
      </c>
      <c r="N66">
        <v>133</v>
      </c>
      <c r="O66">
        <v>47</v>
      </c>
      <c r="P66">
        <v>2199</v>
      </c>
      <c r="Q66">
        <v>4580</v>
      </c>
      <c r="R66">
        <v>0.96989745286139595</v>
      </c>
      <c r="S66">
        <v>160</v>
      </c>
      <c r="T66" t="s">
        <v>485</v>
      </c>
      <c r="U66">
        <v>6779</v>
      </c>
      <c r="V66">
        <v>1.0768549933618501E-2</v>
      </c>
      <c r="W66">
        <v>4</v>
      </c>
    </row>
  </sheetData>
  <phoneticPr fontId="3" type="noConversion"/>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B7774C-7A56-4F97-A096-1496D601B436}">
  <sheetPr codeName="Sheet15"/>
  <dimension ref="A1:W66"/>
  <sheetViews>
    <sheetView workbookViewId="0">
      <selection activeCell="E39" sqref="E39"/>
    </sheetView>
  </sheetViews>
  <sheetFormatPr defaultRowHeight="14.4" x14ac:dyDescent="0.3"/>
  <cols>
    <col min="1" max="1" width="10.5546875" bestFit="1" customWidth="1"/>
    <col min="2" max="2" width="15.7773437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388</v>
      </c>
      <c r="B1" t="s">
        <v>1</v>
      </c>
      <c r="C1" t="s">
        <v>389</v>
      </c>
      <c r="D1" t="s">
        <v>423</v>
      </c>
      <c r="E1" t="s">
        <v>413</v>
      </c>
      <c r="F1" t="s">
        <v>414</v>
      </c>
      <c r="G1" t="s">
        <v>415</v>
      </c>
      <c r="H1" t="s">
        <v>416</v>
      </c>
      <c r="I1" t="s">
        <v>417</v>
      </c>
      <c r="J1" t="s">
        <v>418</v>
      </c>
      <c r="K1" t="s">
        <v>419</v>
      </c>
      <c r="L1" t="s">
        <v>424</v>
      </c>
      <c r="M1" t="s">
        <v>390</v>
      </c>
      <c r="N1" t="s">
        <v>361</v>
      </c>
      <c r="O1" t="s">
        <v>362</v>
      </c>
      <c r="P1" t="s">
        <v>391</v>
      </c>
      <c r="Q1" t="s">
        <v>392</v>
      </c>
      <c r="R1" t="s">
        <v>420</v>
      </c>
      <c r="S1" t="s">
        <v>443</v>
      </c>
      <c r="T1" t="s">
        <v>421</v>
      </c>
      <c r="U1" t="s">
        <v>393</v>
      </c>
      <c r="V1" t="s">
        <v>394</v>
      </c>
      <c r="W1" t="s">
        <v>428</v>
      </c>
    </row>
    <row r="2" spans="1:23" x14ac:dyDescent="0.3">
      <c r="A2" s="1">
        <v>44170</v>
      </c>
      <c r="B2" s="2" t="s">
        <v>2</v>
      </c>
      <c r="C2">
        <v>91</v>
      </c>
      <c r="D2">
        <v>224</v>
      </c>
      <c r="E2">
        <v>101</v>
      </c>
      <c r="F2">
        <v>1842</v>
      </c>
      <c r="G2">
        <v>8422</v>
      </c>
      <c r="H2">
        <v>65</v>
      </c>
      <c r="I2">
        <v>12</v>
      </c>
      <c r="J2">
        <v>191386</v>
      </c>
      <c r="K2">
        <v>56291</v>
      </c>
      <c r="L2">
        <v>224</v>
      </c>
      <c r="M2">
        <v>-42</v>
      </c>
      <c r="N2">
        <v>65</v>
      </c>
      <c r="O2">
        <v>12</v>
      </c>
      <c r="P2">
        <v>1818</v>
      </c>
      <c r="Q2">
        <v>21</v>
      </c>
      <c r="R2">
        <v>0.9771986970684039</v>
      </c>
      <c r="S2">
        <v>133</v>
      </c>
      <c r="T2" t="s">
        <v>369</v>
      </c>
      <c r="U2">
        <v>1839</v>
      </c>
      <c r="V2">
        <v>4.9483414899401799E-2</v>
      </c>
      <c r="W2">
        <v>0</v>
      </c>
    </row>
    <row r="3" spans="1:23" x14ac:dyDescent="0.3">
      <c r="A3" s="1">
        <v>44171</v>
      </c>
      <c r="B3" s="2" t="s">
        <v>2</v>
      </c>
      <c r="C3">
        <v>53</v>
      </c>
      <c r="D3">
        <v>229</v>
      </c>
      <c r="E3">
        <v>92</v>
      </c>
      <c r="F3">
        <v>1800</v>
      </c>
      <c r="G3">
        <v>8555</v>
      </c>
      <c r="H3">
        <v>65</v>
      </c>
      <c r="I3">
        <v>12</v>
      </c>
      <c r="J3">
        <v>193204</v>
      </c>
      <c r="K3">
        <v>56312</v>
      </c>
      <c r="L3">
        <v>224</v>
      </c>
      <c r="M3">
        <v>-18</v>
      </c>
      <c r="N3">
        <v>66</v>
      </c>
      <c r="O3">
        <v>11</v>
      </c>
      <c r="P3">
        <v>1383</v>
      </c>
      <c r="Q3">
        <v>25</v>
      </c>
      <c r="R3">
        <v>0.99</v>
      </c>
      <c r="S3">
        <v>66</v>
      </c>
      <c r="T3" t="s">
        <v>370</v>
      </c>
      <c r="U3">
        <v>1408</v>
      </c>
      <c r="V3">
        <v>3.7642045454545497E-2</v>
      </c>
      <c r="W3">
        <v>5</v>
      </c>
    </row>
    <row r="4" spans="1:23" x14ac:dyDescent="0.3">
      <c r="A4" s="1">
        <v>44172</v>
      </c>
      <c r="B4" s="2" t="s">
        <v>2</v>
      </c>
      <c r="C4">
        <v>60</v>
      </c>
      <c r="D4">
        <v>237</v>
      </c>
      <c r="E4">
        <v>53</v>
      </c>
      <c r="F4">
        <v>1782</v>
      </c>
      <c r="G4">
        <v>8621</v>
      </c>
      <c r="H4">
        <v>66</v>
      </c>
      <c r="I4">
        <v>11</v>
      </c>
      <c r="J4">
        <v>194587</v>
      </c>
      <c r="K4">
        <v>56337</v>
      </c>
      <c r="L4">
        <v>229</v>
      </c>
      <c r="M4">
        <v>-265</v>
      </c>
      <c r="N4">
        <v>59</v>
      </c>
      <c r="O4">
        <v>9</v>
      </c>
      <c r="P4">
        <v>1326</v>
      </c>
      <c r="Q4">
        <v>57</v>
      </c>
      <c r="R4">
        <v>0.85129068462401791</v>
      </c>
      <c r="S4">
        <v>317</v>
      </c>
      <c r="T4" t="s">
        <v>371</v>
      </c>
      <c r="U4">
        <v>1383</v>
      </c>
      <c r="V4">
        <v>4.33839479392625E-2</v>
      </c>
      <c r="W4">
        <v>8</v>
      </c>
    </row>
    <row r="5" spans="1:23" x14ac:dyDescent="0.3">
      <c r="A5" s="1">
        <v>44173</v>
      </c>
      <c r="B5" s="2" t="s">
        <v>2</v>
      </c>
      <c r="C5">
        <v>79</v>
      </c>
      <c r="D5">
        <v>237</v>
      </c>
      <c r="E5">
        <v>59</v>
      </c>
      <c r="F5">
        <v>1517</v>
      </c>
      <c r="G5">
        <v>8938</v>
      </c>
      <c r="H5">
        <v>59</v>
      </c>
      <c r="I5">
        <v>9</v>
      </c>
      <c r="J5">
        <v>195913</v>
      </c>
      <c r="K5">
        <v>56394</v>
      </c>
      <c r="L5">
        <v>237</v>
      </c>
      <c r="M5">
        <v>-18</v>
      </c>
      <c r="N5">
        <v>59</v>
      </c>
      <c r="O5">
        <v>10</v>
      </c>
      <c r="P5">
        <v>1574</v>
      </c>
      <c r="Q5">
        <v>35</v>
      </c>
      <c r="R5">
        <v>0.988134475939354</v>
      </c>
      <c r="S5">
        <v>97</v>
      </c>
      <c r="T5" t="s">
        <v>372</v>
      </c>
      <c r="U5">
        <v>1609</v>
      </c>
      <c r="V5">
        <v>4.9098819142324397E-2</v>
      </c>
      <c r="W5">
        <v>0</v>
      </c>
    </row>
    <row r="6" spans="1:23" x14ac:dyDescent="0.3">
      <c r="A6" s="1">
        <v>44174</v>
      </c>
      <c r="B6" s="2" t="s">
        <v>2</v>
      </c>
      <c r="C6">
        <v>52</v>
      </c>
      <c r="D6">
        <v>237</v>
      </c>
      <c r="E6">
        <v>75</v>
      </c>
      <c r="F6">
        <v>1499</v>
      </c>
      <c r="G6">
        <v>9035</v>
      </c>
      <c r="H6">
        <v>59</v>
      </c>
      <c r="I6">
        <v>10</v>
      </c>
      <c r="J6">
        <v>197487</v>
      </c>
      <c r="K6">
        <v>56429</v>
      </c>
      <c r="L6">
        <v>237</v>
      </c>
      <c r="M6">
        <v>-74</v>
      </c>
      <c r="N6">
        <v>62</v>
      </c>
      <c r="O6">
        <v>11</v>
      </c>
      <c r="P6">
        <v>2650</v>
      </c>
      <c r="Q6">
        <v>75</v>
      </c>
      <c r="R6">
        <v>0.95063375583722487</v>
      </c>
      <c r="S6">
        <v>126</v>
      </c>
      <c r="T6" t="s">
        <v>373</v>
      </c>
      <c r="U6">
        <v>2725</v>
      </c>
      <c r="V6">
        <v>1.9082568807339401E-2</v>
      </c>
      <c r="W6">
        <v>0</v>
      </c>
    </row>
    <row r="7" spans="1:23" x14ac:dyDescent="0.3">
      <c r="A7" s="1">
        <v>44175</v>
      </c>
      <c r="B7" s="2" t="s">
        <v>2</v>
      </c>
      <c r="C7">
        <v>127</v>
      </c>
      <c r="D7">
        <v>239</v>
      </c>
      <c r="E7">
        <v>50</v>
      </c>
      <c r="F7">
        <v>1425</v>
      </c>
      <c r="G7">
        <v>9161</v>
      </c>
      <c r="H7">
        <v>62</v>
      </c>
      <c r="I7">
        <v>11</v>
      </c>
      <c r="J7">
        <v>200137</v>
      </c>
      <c r="K7">
        <v>56504</v>
      </c>
      <c r="L7">
        <v>237</v>
      </c>
      <c r="M7">
        <v>-24</v>
      </c>
      <c r="N7">
        <v>60</v>
      </c>
      <c r="O7">
        <v>12</v>
      </c>
      <c r="P7">
        <v>1981</v>
      </c>
      <c r="Q7">
        <v>83</v>
      </c>
      <c r="R7">
        <v>0.98315789473684212</v>
      </c>
      <c r="S7">
        <v>149</v>
      </c>
      <c r="T7" t="s">
        <v>374</v>
      </c>
      <c r="U7">
        <v>2064</v>
      </c>
      <c r="V7">
        <v>6.1531007751937997E-2</v>
      </c>
      <c r="W7">
        <v>2</v>
      </c>
    </row>
    <row r="8" spans="1:23" x14ac:dyDescent="0.3">
      <c r="A8" s="1">
        <v>44176</v>
      </c>
      <c r="B8" s="2" t="s">
        <v>2</v>
      </c>
      <c r="C8">
        <v>53</v>
      </c>
      <c r="D8">
        <v>243</v>
      </c>
      <c r="E8">
        <v>126</v>
      </c>
      <c r="F8">
        <v>1401</v>
      </c>
      <c r="G8">
        <v>9310</v>
      </c>
      <c r="H8">
        <v>60</v>
      </c>
      <c r="I8">
        <v>12</v>
      </c>
      <c r="J8">
        <v>202118</v>
      </c>
      <c r="K8">
        <v>56587</v>
      </c>
      <c r="L8">
        <v>239</v>
      </c>
      <c r="M8">
        <v>-86</v>
      </c>
      <c r="N8">
        <v>51</v>
      </c>
      <c r="O8">
        <v>11</v>
      </c>
      <c r="P8">
        <v>1804</v>
      </c>
      <c r="Q8">
        <v>72</v>
      </c>
      <c r="R8">
        <v>0.93861527480371165</v>
      </c>
      <c r="S8">
        <v>135</v>
      </c>
      <c r="T8" t="s">
        <v>375</v>
      </c>
      <c r="U8">
        <v>1876</v>
      </c>
      <c r="V8">
        <v>2.8251599147121501E-2</v>
      </c>
      <c r="W8">
        <v>4</v>
      </c>
    </row>
    <row r="9" spans="1:23" x14ac:dyDescent="0.3">
      <c r="A9" s="1">
        <v>44177</v>
      </c>
      <c r="B9" s="2" t="s">
        <v>2</v>
      </c>
      <c r="C9">
        <v>93</v>
      </c>
      <c r="D9">
        <v>244</v>
      </c>
      <c r="E9">
        <v>52</v>
      </c>
      <c r="F9">
        <v>1315</v>
      </c>
      <c r="G9">
        <v>9445</v>
      </c>
      <c r="H9">
        <v>51</v>
      </c>
      <c r="I9">
        <v>11</v>
      </c>
      <c r="J9">
        <v>203922</v>
      </c>
      <c r="K9">
        <v>56659</v>
      </c>
      <c r="L9">
        <v>243</v>
      </c>
      <c r="M9">
        <v>2</v>
      </c>
      <c r="N9">
        <v>47</v>
      </c>
      <c r="O9">
        <v>11</v>
      </c>
      <c r="P9">
        <v>2417</v>
      </c>
      <c r="Q9">
        <v>31</v>
      </c>
      <c r="R9">
        <v>1.0015209125475286</v>
      </c>
      <c r="S9">
        <v>90</v>
      </c>
      <c r="T9" t="s">
        <v>376</v>
      </c>
      <c r="U9">
        <v>2448</v>
      </c>
      <c r="V9">
        <v>3.7990196078431397E-2</v>
      </c>
      <c r="W9">
        <v>1</v>
      </c>
    </row>
    <row r="10" spans="1:23" x14ac:dyDescent="0.3">
      <c r="A10" s="1">
        <v>44178</v>
      </c>
      <c r="B10" s="2" t="s">
        <v>2</v>
      </c>
      <c r="C10">
        <v>56</v>
      </c>
      <c r="D10">
        <v>245</v>
      </c>
      <c r="E10">
        <v>98</v>
      </c>
      <c r="F10">
        <v>1317</v>
      </c>
      <c r="G10">
        <v>9535</v>
      </c>
      <c r="H10">
        <v>47</v>
      </c>
      <c r="I10">
        <v>11</v>
      </c>
      <c r="J10">
        <v>206339</v>
      </c>
      <c r="K10">
        <v>56690</v>
      </c>
      <c r="L10">
        <v>244</v>
      </c>
      <c r="M10">
        <v>-13</v>
      </c>
      <c r="N10">
        <v>44</v>
      </c>
      <c r="O10">
        <v>12</v>
      </c>
      <c r="P10">
        <v>2097</v>
      </c>
      <c r="Q10">
        <v>38</v>
      </c>
      <c r="R10">
        <v>0.99012908124525434</v>
      </c>
      <c r="S10">
        <v>68</v>
      </c>
      <c r="T10" t="s">
        <v>377</v>
      </c>
      <c r="U10">
        <v>2135</v>
      </c>
      <c r="V10">
        <v>2.6229508196721301E-2</v>
      </c>
      <c r="W10">
        <v>1</v>
      </c>
    </row>
    <row r="11" spans="1:23" x14ac:dyDescent="0.3">
      <c r="A11" s="1">
        <v>44179</v>
      </c>
      <c r="B11" s="2" t="s">
        <v>2</v>
      </c>
      <c r="C11">
        <v>50</v>
      </c>
      <c r="D11">
        <v>246</v>
      </c>
      <c r="E11">
        <v>47</v>
      </c>
      <c r="F11">
        <v>1304</v>
      </c>
      <c r="G11">
        <v>9603</v>
      </c>
      <c r="H11">
        <v>44</v>
      </c>
      <c r="I11">
        <v>12</v>
      </c>
      <c r="J11">
        <v>208436</v>
      </c>
      <c r="K11">
        <v>56728</v>
      </c>
      <c r="L11">
        <v>245</v>
      </c>
      <c r="M11">
        <v>25</v>
      </c>
      <c r="N11">
        <v>48</v>
      </c>
      <c r="O11">
        <v>14</v>
      </c>
      <c r="P11">
        <v>2262</v>
      </c>
      <c r="Q11">
        <v>90</v>
      </c>
      <c r="R11">
        <v>1.0191717791411044</v>
      </c>
      <c r="S11">
        <v>24</v>
      </c>
      <c r="T11" t="s">
        <v>378</v>
      </c>
      <c r="U11">
        <v>2352</v>
      </c>
      <c r="V11">
        <v>2.1258503401360498E-2</v>
      </c>
      <c r="W11">
        <v>1</v>
      </c>
    </row>
    <row r="12" spans="1:23" x14ac:dyDescent="0.3">
      <c r="A12" s="1">
        <v>44180</v>
      </c>
      <c r="B12" s="2" t="s">
        <v>2</v>
      </c>
      <c r="C12">
        <v>121</v>
      </c>
      <c r="D12">
        <v>248</v>
      </c>
      <c r="E12">
        <v>47</v>
      </c>
      <c r="F12">
        <v>1329</v>
      </c>
      <c r="G12">
        <v>9627</v>
      </c>
      <c r="H12">
        <v>48</v>
      </c>
      <c r="I12">
        <v>14</v>
      </c>
      <c r="J12">
        <v>210698</v>
      </c>
      <c r="K12">
        <v>56818</v>
      </c>
      <c r="L12">
        <v>246</v>
      </c>
      <c r="M12">
        <v>14</v>
      </c>
      <c r="N12">
        <v>47</v>
      </c>
      <c r="O12">
        <v>13</v>
      </c>
      <c r="P12">
        <v>2353</v>
      </c>
      <c r="Q12">
        <v>115</v>
      </c>
      <c r="R12">
        <v>1.0105342362678706</v>
      </c>
      <c r="S12">
        <v>105</v>
      </c>
      <c r="T12" t="s">
        <v>379</v>
      </c>
      <c r="U12">
        <v>2468</v>
      </c>
      <c r="V12">
        <v>4.9027552674230097E-2</v>
      </c>
      <c r="W12">
        <v>2</v>
      </c>
    </row>
    <row r="13" spans="1:23" x14ac:dyDescent="0.3">
      <c r="A13" s="1">
        <v>44181</v>
      </c>
      <c r="B13" s="2" t="s">
        <v>2</v>
      </c>
      <c r="C13">
        <v>95</v>
      </c>
      <c r="D13">
        <v>249</v>
      </c>
      <c r="E13">
        <v>116</v>
      </c>
      <c r="F13">
        <v>1343</v>
      </c>
      <c r="G13">
        <v>9732</v>
      </c>
      <c r="H13">
        <v>47</v>
      </c>
      <c r="I13">
        <v>13</v>
      </c>
      <c r="J13">
        <v>213051</v>
      </c>
      <c r="K13">
        <v>56933</v>
      </c>
      <c r="L13">
        <v>248</v>
      </c>
      <c r="M13">
        <v>-35</v>
      </c>
      <c r="N13">
        <v>45</v>
      </c>
      <c r="O13">
        <v>13</v>
      </c>
      <c r="P13">
        <v>2668</v>
      </c>
      <c r="Q13">
        <v>93</v>
      </c>
      <c r="R13">
        <v>0.97393894266567382</v>
      </c>
      <c r="S13">
        <v>129</v>
      </c>
      <c r="T13" t="s">
        <v>380</v>
      </c>
      <c r="U13">
        <v>2761</v>
      </c>
      <c r="V13">
        <v>3.4407823252444798E-2</v>
      </c>
      <c r="W13">
        <v>1</v>
      </c>
    </row>
    <row r="14" spans="1:23" x14ac:dyDescent="0.3">
      <c r="A14" s="1">
        <v>44182</v>
      </c>
      <c r="B14" s="2" t="s">
        <v>2</v>
      </c>
      <c r="C14">
        <v>95</v>
      </c>
      <c r="D14">
        <v>250</v>
      </c>
      <c r="E14">
        <v>92</v>
      </c>
      <c r="F14">
        <v>1308</v>
      </c>
      <c r="G14">
        <v>9861</v>
      </c>
      <c r="H14">
        <v>45</v>
      </c>
      <c r="I14">
        <v>13</v>
      </c>
      <c r="J14">
        <v>215719</v>
      </c>
      <c r="K14">
        <v>57026</v>
      </c>
      <c r="L14">
        <v>249</v>
      </c>
      <c r="M14">
        <v>-6</v>
      </c>
      <c r="N14">
        <v>53</v>
      </c>
      <c r="O14">
        <v>13</v>
      </c>
      <c r="P14">
        <v>1639</v>
      </c>
      <c r="Q14">
        <v>94</v>
      </c>
      <c r="R14">
        <v>0.99541284403669728</v>
      </c>
      <c r="S14">
        <v>100</v>
      </c>
      <c r="T14" t="s">
        <v>381</v>
      </c>
      <c r="U14">
        <v>1733</v>
      </c>
      <c r="V14">
        <v>5.4818234275822303E-2</v>
      </c>
      <c r="W14">
        <v>1</v>
      </c>
    </row>
    <row r="15" spans="1:23" x14ac:dyDescent="0.3">
      <c r="A15" s="1">
        <v>44183</v>
      </c>
      <c r="B15" s="2" t="s">
        <v>2</v>
      </c>
      <c r="C15">
        <v>83</v>
      </c>
      <c r="D15">
        <v>251</v>
      </c>
      <c r="E15">
        <v>90</v>
      </c>
      <c r="F15">
        <v>1302</v>
      </c>
      <c r="G15">
        <v>9961</v>
      </c>
      <c r="H15">
        <v>53</v>
      </c>
      <c r="I15">
        <v>13</v>
      </c>
      <c r="J15">
        <v>217358</v>
      </c>
      <c r="K15">
        <v>57120</v>
      </c>
      <c r="L15">
        <v>250</v>
      </c>
      <c r="M15">
        <v>-55</v>
      </c>
      <c r="N15">
        <v>45</v>
      </c>
      <c r="O15">
        <v>12</v>
      </c>
      <c r="P15">
        <v>1786</v>
      </c>
      <c r="Q15">
        <v>110</v>
      </c>
      <c r="R15">
        <v>0.95775729646697394</v>
      </c>
      <c r="S15">
        <v>137</v>
      </c>
      <c r="T15" t="s">
        <v>382</v>
      </c>
      <c r="U15">
        <v>1896</v>
      </c>
      <c r="V15">
        <v>4.3776371308016898E-2</v>
      </c>
      <c r="W15">
        <v>1</v>
      </c>
    </row>
    <row r="16" spans="1:23" x14ac:dyDescent="0.3">
      <c r="A16" s="1">
        <v>44184</v>
      </c>
      <c r="B16" s="2" t="s">
        <v>2</v>
      </c>
      <c r="C16">
        <v>76</v>
      </c>
      <c r="D16">
        <v>251</v>
      </c>
      <c r="E16">
        <v>75</v>
      </c>
      <c r="F16">
        <v>1247</v>
      </c>
      <c r="G16">
        <v>10098</v>
      </c>
      <c r="H16">
        <v>45</v>
      </c>
      <c r="I16">
        <v>12</v>
      </c>
      <c r="J16">
        <v>219144</v>
      </c>
      <c r="K16">
        <v>57230</v>
      </c>
      <c r="L16">
        <v>251</v>
      </c>
      <c r="M16">
        <v>-4</v>
      </c>
      <c r="N16">
        <v>47</v>
      </c>
      <c r="O16">
        <v>12</v>
      </c>
      <c r="P16">
        <v>2601</v>
      </c>
      <c r="Q16">
        <v>58</v>
      </c>
      <c r="R16">
        <v>0.99679230152365672</v>
      </c>
      <c r="S16">
        <v>80</v>
      </c>
      <c r="T16" t="s">
        <v>383</v>
      </c>
      <c r="U16">
        <v>2659</v>
      </c>
      <c r="V16">
        <v>2.8582173749529899E-2</v>
      </c>
      <c r="W16">
        <v>0</v>
      </c>
    </row>
    <row r="17" spans="1:23" x14ac:dyDescent="0.3">
      <c r="A17" s="1">
        <v>44185</v>
      </c>
      <c r="B17" s="2" t="s">
        <v>2</v>
      </c>
      <c r="C17">
        <v>69</v>
      </c>
      <c r="D17">
        <v>251</v>
      </c>
      <c r="E17">
        <v>79</v>
      </c>
      <c r="F17">
        <v>1243</v>
      </c>
      <c r="G17">
        <v>10178</v>
      </c>
      <c r="H17">
        <v>47</v>
      </c>
      <c r="I17">
        <v>12</v>
      </c>
      <c r="J17">
        <v>221745</v>
      </c>
      <c r="K17">
        <v>57288</v>
      </c>
      <c r="L17">
        <v>251</v>
      </c>
      <c r="M17">
        <v>3</v>
      </c>
      <c r="N17">
        <v>49</v>
      </c>
      <c r="O17">
        <v>12</v>
      </c>
      <c r="P17">
        <v>1753</v>
      </c>
      <c r="Q17">
        <v>47</v>
      </c>
      <c r="R17">
        <v>1.002413515687852</v>
      </c>
      <c r="S17">
        <v>66</v>
      </c>
      <c r="T17" t="s">
        <v>384</v>
      </c>
      <c r="U17">
        <v>1800</v>
      </c>
      <c r="V17">
        <v>3.8333333333333303E-2</v>
      </c>
      <c r="W17">
        <v>0</v>
      </c>
    </row>
    <row r="18" spans="1:23" x14ac:dyDescent="0.3">
      <c r="A18" s="1">
        <v>44186</v>
      </c>
      <c r="B18" s="2" t="s">
        <v>2</v>
      </c>
      <c r="C18">
        <v>46</v>
      </c>
      <c r="D18">
        <v>253</v>
      </c>
      <c r="E18">
        <v>68</v>
      </c>
      <c r="F18">
        <v>1246</v>
      </c>
      <c r="G18">
        <v>10244</v>
      </c>
      <c r="H18">
        <v>49</v>
      </c>
      <c r="I18">
        <v>12</v>
      </c>
      <c r="J18">
        <v>223498</v>
      </c>
      <c r="K18">
        <v>57335</v>
      </c>
      <c r="L18">
        <v>251</v>
      </c>
      <c r="M18">
        <v>-4</v>
      </c>
      <c r="N18">
        <v>51</v>
      </c>
      <c r="O18">
        <v>9</v>
      </c>
      <c r="P18">
        <v>2499</v>
      </c>
      <c r="Q18">
        <v>127</v>
      </c>
      <c r="R18">
        <v>0.9967897271268058</v>
      </c>
      <c r="S18">
        <v>48</v>
      </c>
      <c r="T18" t="s">
        <v>385</v>
      </c>
      <c r="U18">
        <v>2626</v>
      </c>
      <c r="V18">
        <v>1.75171363290175E-2</v>
      </c>
      <c r="W18">
        <v>2</v>
      </c>
    </row>
    <row r="19" spans="1:23" x14ac:dyDescent="0.3">
      <c r="A19" s="1">
        <v>44187</v>
      </c>
      <c r="B19" s="2" t="s">
        <v>2</v>
      </c>
      <c r="C19">
        <v>92</v>
      </c>
      <c r="D19">
        <v>254</v>
      </c>
      <c r="E19">
        <v>41</v>
      </c>
      <c r="F19">
        <v>1242</v>
      </c>
      <c r="G19">
        <v>10292</v>
      </c>
      <c r="H19">
        <v>51</v>
      </c>
      <c r="I19">
        <v>9</v>
      </c>
      <c r="J19">
        <v>225997</v>
      </c>
      <c r="K19">
        <v>57462</v>
      </c>
      <c r="L19">
        <v>253</v>
      </c>
      <c r="M19">
        <v>-26</v>
      </c>
      <c r="N19">
        <v>56</v>
      </c>
      <c r="O19">
        <v>11</v>
      </c>
      <c r="P19">
        <v>2947</v>
      </c>
      <c r="Q19">
        <v>112</v>
      </c>
      <c r="R19">
        <v>0.97906602254428343</v>
      </c>
      <c r="S19">
        <v>117</v>
      </c>
      <c r="T19" t="s">
        <v>386</v>
      </c>
      <c r="U19">
        <v>3059</v>
      </c>
      <c r="V19">
        <v>3.00751879699248E-2</v>
      </c>
      <c r="W19">
        <v>1</v>
      </c>
    </row>
    <row r="20" spans="1:23" x14ac:dyDescent="0.3">
      <c r="A20" s="1">
        <v>44188</v>
      </c>
      <c r="B20" s="2" t="s">
        <v>2</v>
      </c>
      <c r="C20">
        <v>117</v>
      </c>
      <c r="D20">
        <v>257</v>
      </c>
      <c r="E20">
        <v>82</v>
      </c>
      <c r="F20">
        <v>1216</v>
      </c>
      <c r="G20">
        <v>10409</v>
      </c>
      <c r="H20">
        <v>56</v>
      </c>
      <c r="I20">
        <v>11</v>
      </c>
      <c r="J20">
        <v>228944</v>
      </c>
      <c r="K20">
        <v>57574</v>
      </c>
      <c r="L20">
        <v>254</v>
      </c>
      <c r="M20">
        <v>49</v>
      </c>
      <c r="N20">
        <v>54</v>
      </c>
      <c r="O20">
        <v>11</v>
      </c>
      <c r="P20">
        <v>2784</v>
      </c>
      <c r="Q20">
        <v>114</v>
      </c>
      <c r="R20">
        <v>1.040296052631579</v>
      </c>
      <c r="S20">
        <v>65</v>
      </c>
      <c r="T20" t="s">
        <v>367</v>
      </c>
      <c r="U20">
        <v>2898</v>
      </c>
      <c r="V20">
        <v>4.0372670807453402E-2</v>
      </c>
      <c r="W20">
        <v>3</v>
      </c>
    </row>
    <row r="21" spans="1:23" x14ac:dyDescent="0.3">
      <c r="A21" s="1">
        <v>44189</v>
      </c>
      <c r="B21" s="2" t="s">
        <v>2</v>
      </c>
      <c r="C21">
        <v>65</v>
      </c>
      <c r="D21">
        <v>257</v>
      </c>
      <c r="E21">
        <v>111</v>
      </c>
      <c r="F21">
        <v>1265</v>
      </c>
      <c r="G21">
        <v>10474</v>
      </c>
      <c r="H21">
        <v>54</v>
      </c>
      <c r="I21">
        <v>11</v>
      </c>
      <c r="J21">
        <v>231728</v>
      </c>
      <c r="K21">
        <v>57688</v>
      </c>
      <c r="L21">
        <v>257</v>
      </c>
      <c r="M21">
        <v>14</v>
      </c>
      <c r="N21">
        <v>50</v>
      </c>
      <c r="O21">
        <v>12</v>
      </c>
      <c r="P21">
        <v>1969</v>
      </c>
      <c r="Q21">
        <v>120</v>
      </c>
      <c r="R21">
        <v>1.0110671936758893</v>
      </c>
      <c r="S21">
        <v>51</v>
      </c>
      <c r="T21" t="s">
        <v>343</v>
      </c>
      <c r="U21">
        <v>2089</v>
      </c>
      <c r="V21">
        <v>3.1115366203925299E-2</v>
      </c>
      <c r="W21">
        <v>0</v>
      </c>
    </row>
    <row r="22" spans="1:23" x14ac:dyDescent="0.3">
      <c r="A22" s="1">
        <v>44190</v>
      </c>
      <c r="B22" s="2" t="s">
        <v>2</v>
      </c>
      <c r="C22">
        <v>88</v>
      </c>
      <c r="D22">
        <v>258</v>
      </c>
      <c r="E22">
        <v>52</v>
      </c>
      <c r="F22">
        <v>1279</v>
      </c>
      <c r="G22">
        <v>10525</v>
      </c>
      <c r="H22">
        <v>50</v>
      </c>
      <c r="I22">
        <v>12</v>
      </c>
      <c r="J22">
        <v>233697</v>
      </c>
      <c r="K22">
        <v>57808</v>
      </c>
      <c r="L22">
        <v>257</v>
      </c>
      <c r="M22">
        <v>-47</v>
      </c>
      <c r="N22">
        <v>51</v>
      </c>
      <c r="O22">
        <v>13</v>
      </c>
      <c r="P22">
        <v>1184</v>
      </c>
      <c r="Q22">
        <v>44</v>
      </c>
      <c r="R22">
        <v>0.96325254104769353</v>
      </c>
      <c r="S22">
        <v>134</v>
      </c>
      <c r="T22" t="s">
        <v>344</v>
      </c>
      <c r="U22">
        <v>1228</v>
      </c>
      <c r="V22">
        <v>7.1661237785016305E-2</v>
      </c>
      <c r="W22">
        <v>1</v>
      </c>
    </row>
    <row r="23" spans="1:23" x14ac:dyDescent="0.3">
      <c r="A23" s="1">
        <v>44191</v>
      </c>
      <c r="B23" s="2" t="s">
        <v>2</v>
      </c>
      <c r="C23">
        <v>39</v>
      </c>
      <c r="D23">
        <v>261</v>
      </c>
      <c r="E23">
        <v>94</v>
      </c>
      <c r="F23">
        <v>1232</v>
      </c>
      <c r="G23">
        <v>10659</v>
      </c>
      <c r="H23">
        <v>51</v>
      </c>
      <c r="I23">
        <v>13</v>
      </c>
      <c r="J23">
        <v>234881</v>
      </c>
      <c r="K23">
        <v>57852</v>
      </c>
      <c r="L23">
        <v>258</v>
      </c>
      <c r="M23">
        <v>-6</v>
      </c>
      <c r="N23">
        <v>50</v>
      </c>
      <c r="O23">
        <v>11</v>
      </c>
      <c r="P23">
        <v>525</v>
      </c>
      <c r="Q23">
        <v>67</v>
      </c>
      <c r="R23">
        <v>0.99512987012987009</v>
      </c>
      <c r="S23">
        <v>42</v>
      </c>
      <c r="T23" t="s">
        <v>345</v>
      </c>
      <c r="U23">
        <v>592</v>
      </c>
      <c r="V23">
        <v>6.5878378378378399E-2</v>
      </c>
      <c r="W23">
        <v>3</v>
      </c>
    </row>
    <row r="24" spans="1:23" x14ac:dyDescent="0.3">
      <c r="A24" s="1">
        <v>44192</v>
      </c>
      <c r="B24" s="2" t="s">
        <v>2</v>
      </c>
      <c r="C24">
        <v>52</v>
      </c>
      <c r="D24">
        <v>262</v>
      </c>
      <c r="E24">
        <v>38</v>
      </c>
      <c r="F24">
        <v>1226</v>
      </c>
      <c r="G24">
        <v>10701</v>
      </c>
      <c r="H24">
        <v>50</v>
      </c>
      <c r="I24">
        <v>11</v>
      </c>
      <c r="J24">
        <v>235406</v>
      </c>
      <c r="K24">
        <v>57919</v>
      </c>
      <c r="L24">
        <v>261</v>
      </c>
      <c r="M24">
        <v>-49</v>
      </c>
      <c r="N24">
        <v>51</v>
      </c>
      <c r="O24">
        <v>12</v>
      </c>
      <c r="P24">
        <v>855</v>
      </c>
      <c r="Q24">
        <v>64</v>
      </c>
      <c r="R24">
        <v>0.96003262642740617</v>
      </c>
      <c r="S24">
        <v>100</v>
      </c>
      <c r="T24" t="s">
        <v>346</v>
      </c>
      <c r="U24">
        <v>919</v>
      </c>
      <c r="V24">
        <v>5.6583242655059797E-2</v>
      </c>
      <c r="W24">
        <v>1</v>
      </c>
    </row>
    <row r="25" spans="1:23" x14ac:dyDescent="0.3">
      <c r="A25" s="1">
        <v>44193</v>
      </c>
      <c r="B25" s="2" t="s">
        <v>2</v>
      </c>
      <c r="C25">
        <v>77</v>
      </c>
      <c r="D25">
        <v>263</v>
      </c>
      <c r="E25">
        <v>51</v>
      </c>
      <c r="F25">
        <v>1177</v>
      </c>
      <c r="G25">
        <v>10801</v>
      </c>
      <c r="H25">
        <v>51</v>
      </c>
      <c r="I25">
        <v>12</v>
      </c>
      <c r="J25">
        <v>236261</v>
      </c>
      <c r="K25">
        <v>57983</v>
      </c>
      <c r="L25">
        <v>262</v>
      </c>
      <c r="M25">
        <v>15</v>
      </c>
      <c r="N25">
        <v>44</v>
      </c>
      <c r="O25">
        <v>12</v>
      </c>
      <c r="P25">
        <v>712</v>
      </c>
      <c r="Q25">
        <v>107</v>
      </c>
      <c r="R25">
        <v>1.0127442650807137</v>
      </c>
      <c r="S25">
        <v>61</v>
      </c>
      <c r="T25" t="s">
        <v>347</v>
      </c>
      <c r="U25">
        <v>819</v>
      </c>
      <c r="V25">
        <v>9.4017094017094002E-2</v>
      </c>
      <c r="W25">
        <v>1</v>
      </c>
    </row>
    <row r="26" spans="1:23" x14ac:dyDescent="0.3">
      <c r="A26" s="1">
        <v>44194</v>
      </c>
      <c r="B26" s="2" t="s">
        <v>2</v>
      </c>
      <c r="C26">
        <v>75</v>
      </c>
      <c r="D26">
        <v>267</v>
      </c>
      <c r="E26">
        <v>70</v>
      </c>
      <c r="F26">
        <v>1192</v>
      </c>
      <c r="G26">
        <v>10862</v>
      </c>
      <c r="H26">
        <v>44</v>
      </c>
      <c r="I26">
        <v>12</v>
      </c>
      <c r="J26">
        <v>236973</v>
      </c>
      <c r="K26">
        <v>58090</v>
      </c>
      <c r="L26">
        <v>263</v>
      </c>
      <c r="M26">
        <v>-19</v>
      </c>
      <c r="N26">
        <v>40</v>
      </c>
      <c r="O26">
        <v>11</v>
      </c>
      <c r="P26">
        <v>1361</v>
      </c>
      <c r="Q26">
        <v>107</v>
      </c>
      <c r="R26">
        <v>0.98406040268456374</v>
      </c>
      <c r="S26">
        <v>90</v>
      </c>
      <c r="T26" t="s">
        <v>348</v>
      </c>
      <c r="U26">
        <v>1468</v>
      </c>
      <c r="V26">
        <v>5.1089918256130802E-2</v>
      </c>
      <c r="W26">
        <v>4</v>
      </c>
    </row>
    <row r="27" spans="1:23" x14ac:dyDescent="0.3">
      <c r="A27" s="1">
        <v>44195</v>
      </c>
      <c r="B27" s="2" t="s">
        <v>2</v>
      </c>
      <c r="C27">
        <v>91</v>
      </c>
      <c r="D27">
        <v>270</v>
      </c>
      <c r="E27">
        <v>73</v>
      </c>
      <c r="F27">
        <v>1173</v>
      </c>
      <c r="G27">
        <v>10952</v>
      </c>
      <c r="H27">
        <v>40</v>
      </c>
      <c r="I27">
        <v>11</v>
      </c>
      <c r="J27">
        <v>238334</v>
      </c>
      <c r="K27">
        <v>58197</v>
      </c>
      <c r="L27">
        <v>267</v>
      </c>
      <c r="M27">
        <v>-36</v>
      </c>
      <c r="N27">
        <v>42</v>
      </c>
      <c r="O27">
        <v>11</v>
      </c>
      <c r="P27">
        <v>1488</v>
      </c>
      <c r="Q27">
        <v>121</v>
      </c>
      <c r="R27">
        <v>0.96930946291560105</v>
      </c>
      <c r="S27">
        <v>124</v>
      </c>
      <c r="T27" t="s">
        <v>349</v>
      </c>
      <c r="U27">
        <v>1609</v>
      </c>
      <c r="V27">
        <v>5.6556867619639503E-2</v>
      </c>
      <c r="W27">
        <v>3</v>
      </c>
    </row>
    <row r="28" spans="1:23" x14ac:dyDescent="0.3">
      <c r="A28" s="1">
        <v>44196</v>
      </c>
      <c r="B28" s="2" t="s">
        <v>2</v>
      </c>
      <c r="C28">
        <v>131</v>
      </c>
      <c r="D28">
        <v>271</v>
      </c>
      <c r="E28">
        <v>78</v>
      </c>
      <c r="F28">
        <v>1137</v>
      </c>
      <c r="G28">
        <v>11076</v>
      </c>
      <c r="H28">
        <v>42</v>
      </c>
      <c r="I28">
        <v>11</v>
      </c>
      <c r="J28">
        <v>239822</v>
      </c>
      <c r="K28">
        <v>58318</v>
      </c>
      <c r="L28">
        <v>270</v>
      </c>
      <c r="M28">
        <v>44</v>
      </c>
      <c r="N28">
        <v>40</v>
      </c>
      <c r="O28">
        <v>9</v>
      </c>
      <c r="P28">
        <v>1688</v>
      </c>
      <c r="Q28">
        <v>121</v>
      </c>
      <c r="R28">
        <v>1.0386983289357961</v>
      </c>
      <c r="S28">
        <v>86</v>
      </c>
      <c r="T28" t="s">
        <v>350</v>
      </c>
      <c r="U28">
        <v>1809</v>
      </c>
      <c r="V28">
        <v>7.2415699281370899E-2</v>
      </c>
      <c r="W28">
        <v>1</v>
      </c>
    </row>
    <row r="29" spans="1:23" x14ac:dyDescent="0.3">
      <c r="A29" s="1">
        <v>44197</v>
      </c>
      <c r="B29" s="2" t="s">
        <v>2</v>
      </c>
      <c r="C29">
        <v>71</v>
      </c>
      <c r="D29">
        <v>271</v>
      </c>
      <c r="E29">
        <v>110</v>
      </c>
      <c r="F29">
        <v>1181</v>
      </c>
      <c r="G29">
        <v>11162</v>
      </c>
      <c r="H29">
        <v>40</v>
      </c>
      <c r="I29">
        <v>9</v>
      </c>
      <c r="J29">
        <v>241510</v>
      </c>
      <c r="K29">
        <v>58439</v>
      </c>
      <c r="L29">
        <v>271</v>
      </c>
      <c r="M29">
        <v>-6</v>
      </c>
      <c r="N29">
        <v>41</v>
      </c>
      <c r="O29">
        <v>11</v>
      </c>
      <c r="P29">
        <v>837</v>
      </c>
      <c r="Q29">
        <v>53</v>
      </c>
      <c r="R29">
        <v>0.99491955969517354</v>
      </c>
      <c r="S29">
        <v>77</v>
      </c>
      <c r="T29" t="s">
        <v>351</v>
      </c>
      <c r="U29">
        <v>890</v>
      </c>
      <c r="V29">
        <v>7.9775280898876394E-2</v>
      </c>
      <c r="W29">
        <v>0</v>
      </c>
    </row>
    <row r="30" spans="1:23" x14ac:dyDescent="0.3">
      <c r="A30" s="1">
        <v>44198</v>
      </c>
      <c r="B30" s="2" t="s">
        <v>2</v>
      </c>
      <c r="C30">
        <v>85</v>
      </c>
      <c r="D30">
        <v>271</v>
      </c>
      <c r="E30">
        <v>65</v>
      </c>
      <c r="F30">
        <v>1175</v>
      </c>
      <c r="G30">
        <v>11239</v>
      </c>
      <c r="H30">
        <v>41</v>
      </c>
      <c r="I30">
        <v>11</v>
      </c>
      <c r="J30">
        <v>242347</v>
      </c>
      <c r="K30">
        <v>58492</v>
      </c>
      <c r="L30">
        <v>271</v>
      </c>
      <c r="M30">
        <v>-2</v>
      </c>
      <c r="N30">
        <v>43</v>
      </c>
      <c r="O30">
        <v>12</v>
      </c>
      <c r="P30">
        <v>1047</v>
      </c>
      <c r="Q30">
        <v>67</v>
      </c>
      <c r="R30">
        <v>0.99829787234042555</v>
      </c>
      <c r="S30">
        <v>87</v>
      </c>
      <c r="T30" t="s">
        <v>352</v>
      </c>
      <c r="U30">
        <v>1114</v>
      </c>
      <c r="V30">
        <v>7.6301615798922806E-2</v>
      </c>
      <c r="W30">
        <v>0</v>
      </c>
    </row>
    <row r="31" spans="1:23" x14ac:dyDescent="0.3">
      <c r="A31" s="1">
        <v>44199</v>
      </c>
      <c r="B31" s="2" t="s">
        <v>2</v>
      </c>
      <c r="C31">
        <v>33</v>
      </c>
      <c r="D31">
        <v>272</v>
      </c>
      <c r="E31">
        <v>87</v>
      </c>
      <c r="F31">
        <v>1173</v>
      </c>
      <c r="G31">
        <v>11326</v>
      </c>
      <c r="H31">
        <v>43</v>
      </c>
      <c r="I31">
        <v>12</v>
      </c>
      <c r="J31">
        <v>243394</v>
      </c>
      <c r="K31">
        <v>58559</v>
      </c>
      <c r="L31">
        <v>271</v>
      </c>
      <c r="M31">
        <v>-39</v>
      </c>
      <c r="N31">
        <v>51</v>
      </c>
      <c r="O31">
        <v>11</v>
      </c>
      <c r="P31">
        <v>1156</v>
      </c>
      <c r="Q31">
        <v>56</v>
      </c>
      <c r="R31">
        <v>0.96675191815856776</v>
      </c>
      <c r="S31">
        <v>71</v>
      </c>
      <c r="T31" t="s">
        <v>353</v>
      </c>
      <c r="U31">
        <v>1212</v>
      </c>
      <c r="V31">
        <v>2.72277227722772E-2</v>
      </c>
      <c r="W31">
        <v>1</v>
      </c>
    </row>
    <row r="32" spans="1:23" x14ac:dyDescent="0.3">
      <c r="A32" s="1">
        <v>44200</v>
      </c>
      <c r="B32" s="2" t="s">
        <v>2</v>
      </c>
      <c r="C32">
        <v>32</v>
      </c>
      <c r="D32">
        <v>272</v>
      </c>
      <c r="E32">
        <v>28</v>
      </c>
      <c r="F32">
        <v>1134</v>
      </c>
      <c r="G32">
        <v>11397</v>
      </c>
      <c r="H32">
        <v>51</v>
      </c>
      <c r="I32">
        <v>11</v>
      </c>
      <c r="J32">
        <v>244550</v>
      </c>
      <c r="K32">
        <v>58615</v>
      </c>
      <c r="L32">
        <v>272</v>
      </c>
      <c r="M32">
        <v>-21</v>
      </c>
      <c r="N32">
        <v>49</v>
      </c>
      <c r="O32">
        <v>12</v>
      </c>
      <c r="P32">
        <v>725</v>
      </c>
      <c r="Q32">
        <v>109</v>
      </c>
      <c r="R32">
        <v>0.98148148148148151</v>
      </c>
      <c r="S32">
        <v>53</v>
      </c>
      <c r="T32" t="s">
        <v>354</v>
      </c>
      <c r="U32">
        <v>834</v>
      </c>
      <c r="V32">
        <v>3.83693045563549E-2</v>
      </c>
      <c r="W32">
        <v>0</v>
      </c>
    </row>
    <row r="33" spans="1:23" x14ac:dyDescent="0.3">
      <c r="A33" s="1">
        <v>44201</v>
      </c>
      <c r="B33" s="2" t="s">
        <v>2</v>
      </c>
      <c r="C33">
        <v>95</v>
      </c>
      <c r="D33">
        <v>273</v>
      </c>
      <c r="E33">
        <v>29</v>
      </c>
      <c r="F33">
        <v>1113</v>
      </c>
      <c r="G33">
        <v>11450</v>
      </c>
      <c r="H33">
        <v>49</v>
      </c>
      <c r="I33">
        <v>12</v>
      </c>
      <c r="J33">
        <v>245275</v>
      </c>
      <c r="K33">
        <v>58724</v>
      </c>
      <c r="L33">
        <v>272</v>
      </c>
      <c r="M33">
        <v>33</v>
      </c>
      <c r="N33">
        <v>41</v>
      </c>
      <c r="O33">
        <v>13</v>
      </c>
      <c r="P33">
        <v>1307</v>
      </c>
      <c r="Q33">
        <v>138</v>
      </c>
      <c r="R33">
        <v>1.0296495956873315</v>
      </c>
      <c r="S33">
        <v>61</v>
      </c>
      <c r="T33" t="s">
        <v>355</v>
      </c>
      <c r="U33">
        <v>1445</v>
      </c>
      <c r="V33">
        <v>6.5743944636678195E-2</v>
      </c>
      <c r="W33">
        <v>1</v>
      </c>
    </row>
    <row r="34" spans="1:23" x14ac:dyDescent="0.3">
      <c r="A34" s="1">
        <v>44202</v>
      </c>
      <c r="B34" s="2" t="s">
        <v>2</v>
      </c>
      <c r="C34">
        <v>184</v>
      </c>
      <c r="D34">
        <v>273</v>
      </c>
      <c r="E34">
        <v>90</v>
      </c>
      <c r="F34">
        <v>1146</v>
      </c>
      <c r="G34">
        <v>11511</v>
      </c>
      <c r="H34">
        <v>41</v>
      </c>
      <c r="I34">
        <v>13</v>
      </c>
      <c r="J34">
        <v>246582</v>
      </c>
      <c r="K34">
        <v>58862</v>
      </c>
      <c r="L34">
        <v>273</v>
      </c>
      <c r="M34">
        <v>114</v>
      </c>
      <c r="N34">
        <v>45</v>
      </c>
      <c r="O34">
        <v>14</v>
      </c>
      <c r="P34">
        <v>1489</v>
      </c>
      <c r="Q34">
        <v>77</v>
      </c>
      <c r="R34">
        <v>1.0994764397905759</v>
      </c>
      <c r="S34">
        <v>70</v>
      </c>
      <c r="T34" t="s">
        <v>356</v>
      </c>
      <c r="U34">
        <v>1566</v>
      </c>
      <c r="V34">
        <v>0.11749680715198001</v>
      </c>
      <c r="W34">
        <v>0</v>
      </c>
    </row>
    <row r="35" spans="1:23" x14ac:dyDescent="0.3">
      <c r="A35" s="1">
        <v>44203</v>
      </c>
      <c r="B35" s="2" t="s">
        <v>2</v>
      </c>
      <c r="C35">
        <v>78</v>
      </c>
      <c r="D35">
        <v>276</v>
      </c>
      <c r="E35">
        <v>181</v>
      </c>
      <c r="F35">
        <v>1260</v>
      </c>
      <c r="G35">
        <v>11581</v>
      </c>
      <c r="H35">
        <v>45</v>
      </c>
      <c r="I35">
        <v>14</v>
      </c>
      <c r="J35">
        <v>248071</v>
      </c>
      <c r="K35">
        <v>58939</v>
      </c>
      <c r="L35">
        <v>273</v>
      </c>
      <c r="M35">
        <v>-38</v>
      </c>
      <c r="N35">
        <v>39</v>
      </c>
      <c r="O35">
        <v>16</v>
      </c>
      <c r="P35">
        <v>661</v>
      </c>
      <c r="Q35">
        <v>98</v>
      </c>
      <c r="R35">
        <v>0.96984126984126984</v>
      </c>
      <c r="S35">
        <v>113</v>
      </c>
      <c r="T35" t="s">
        <v>387</v>
      </c>
      <c r="U35">
        <v>759</v>
      </c>
      <c r="V35">
        <v>0.102766798418972</v>
      </c>
      <c r="W35">
        <v>3</v>
      </c>
    </row>
    <row r="36" spans="1:23" x14ac:dyDescent="0.3">
      <c r="A36" s="1">
        <v>44204</v>
      </c>
      <c r="B36" s="2" t="s">
        <v>2</v>
      </c>
      <c r="C36">
        <v>220</v>
      </c>
      <c r="D36">
        <v>277</v>
      </c>
      <c r="E36">
        <v>66</v>
      </c>
      <c r="F36">
        <v>1222</v>
      </c>
      <c r="G36">
        <v>11694</v>
      </c>
      <c r="H36">
        <v>39</v>
      </c>
      <c r="I36">
        <v>16</v>
      </c>
      <c r="J36">
        <v>248732</v>
      </c>
      <c r="K36">
        <v>59037</v>
      </c>
      <c r="L36">
        <v>276</v>
      </c>
      <c r="M36">
        <v>108</v>
      </c>
      <c r="N36">
        <v>41</v>
      </c>
      <c r="O36">
        <v>18</v>
      </c>
      <c r="P36">
        <v>1867</v>
      </c>
      <c r="Q36">
        <v>189</v>
      </c>
      <c r="R36">
        <v>1.0883797054009821</v>
      </c>
      <c r="S36">
        <v>111</v>
      </c>
      <c r="T36" t="s">
        <v>398</v>
      </c>
      <c r="U36">
        <v>2056</v>
      </c>
      <c r="V36">
        <v>0.107003891050584</v>
      </c>
      <c r="W36">
        <v>1</v>
      </c>
    </row>
    <row r="37" spans="1:23" x14ac:dyDescent="0.3">
      <c r="A37" s="1">
        <v>44205</v>
      </c>
      <c r="B37" s="2" t="s">
        <v>2</v>
      </c>
      <c r="C37">
        <v>136</v>
      </c>
      <c r="D37">
        <v>277</v>
      </c>
      <c r="E37">
        <v>209</v>
      </c>
      <c r="F37">
        <v>1330</v>
      </c>
      <c r="G37">
        <v>11805</v>
      </c>
      <c r="H37">
        <v>41</v>
      </c>
      <c r="I37">
        <v>18</v>
      </c>
      <c r="J37">
        <v>250599</v>
      </c>
      <c r="K37">
        <v>59226</v>
      </c>
      <c r="L37">
        <v>277</v>
      </c>
      <c r="M37">
        <v>67</v>
      </c>
      <c r="N37">
        <v>41</v>
      </c>
      <c r="O37">
        <v>16</v>
      </c>
      <c r="P37">
        <v>1747</v>
      </c>
      <c r="Q37">
        <v>79</v>
      </c>
      <c r="R37">
        <v>1.050375939849624</v>
      </c>
      <c r="S37">
        <v>69</v>
      </c>
      <c r="T37" t="s">
        <v>399</v>
      </c>
      <c r="U37">
        <v>1826</v>
      </c>
      <c r="V37">
        <v>7.4479737130339493E-2</v>
      </c>
      <c r="W37">
        <v>0</v>
      </c>
    </row>
    <row r="38" spans="1:23" x14ac:dyDescent="0.3">
      <c r="A38" s="1">
        <v>44206</v>
      </c>
      <c r="B38" s="2" t="s">
        <v>2</v>
      </c>
      <c r="C38">
        <v>120</v>
      </c>
      <c r="D38">
        <v>277</v>
      </c>
      <c r="E38">
        <v>133</v>
      </c>
      <c r="F38">
        <v>1397</v>
      </c>
      <c r="G38">
        <v>11874</v>
      </c>
      <c r="H38">
        <v>41</v>
      </c>
      <c r="I38">
        <v>16</v>
      </c>
      <c r="J38">
        <v>252346</v>
      </c>
      <c r="K38">
        <v>59305</v>
      </c>
      <c r="L38">
        <v>277</v>
      </c>
      <c r="M38">
        <v>87</v>
      </c>
      <c r="N38">
        <v>42</v>
      </c>
      <c r="O38">
        <v>19</v>
      </c>
      <c r="P38">
        <v>1702</v>
      </c>
      <c r="Q38">
        <v>39</v>
      </c>
      <c r="R38">
        <v>1.0622763063707945</v>
      </c>
      <c r="S38">
        <v>32</v>
      </c>
      <c r="T38" t="s">
        <v>400</v>
      </c>
      <c r="U38">
        <v>1741</v>
      </c>
      <c r="V38">
        <v>6.8925904652498607E-2</v>
      </c>
      <c r="W38">
        <v>0</v>
      </c>
    </row>
    <row r="39" spans="1:23" x14ac:dyDescent="0.3">
      <c r="A39" s="1">
        <v>44207</v>
      </c>
      <c r="B39" s="2" t="s">
        <v>2</v>
      </c>
      <c r="C39">
        <v>148</v>
      </c>
      <c r="D39">
        <v>279</v>
      </c>
      <c r="E39">
        <v>111</v>
      </c>
      <c r="F39">
        <v>1484</v>
      </c>
      <c r="G39">
        <v>11906</v>
      </c>
      <c r="H39">
        <v>42</v>
      </c>
      <c r="I39">
        <v>19</v>
      </c>
      <c r="J39">
        <v>254048</v>
      </c>
      <c r="K39">
        <v>59344</v>
      </c>
      <c r="L39">
        <v>277</v>
      </c>
      <c r="M39">
        <v>95</v>
      </c>
      <c r="N39">
        <v>45</v>
      </c>
      <c r="O39">
        <v>20</v>
      </c>
      <c r="P39">
        <v>1316</v>
      </c>
      <c r="Q39">
        <v>106</v>
      </c>
      <c r="R39">
        <v>1.0640161725067385</v>
      </c>
      <c r="S39">
        <v>51</v>
      </c>
      <c r="T39" t="s">
        <v>401</v>
      </c>
      <c r="U39">
        <v>1422</v>
      </c>
      <c r="V39">
        <v>0.10407876230661001</v>
      </c>
      <c r="W39">
        <v>2</v>
      </c>
    </row>
    <row r="40" spans="1:23" x14ac:dyDescent="0.3">
      <c r="A40" s="1">
        <v>44208</v>
      </c>
      <c r="B40" s="2" t="s">
        <v>2</v>
      </c>
      <c r="C40">
        <v>221</v>
      </c>
      <c r="D40">
        <v>280</v>
      </c>
      <c r="E40">
        <v>140</v>
      </c>
      <c r="F40">
        <v>1579</v>
      </c>
      <c r="G40">
        <v>11957</v>
      </c>
      <c r="H40">
        <v>45</v>
      </c>
      <c r="I40">
        <v>20</v>
      </c>
      <c r="J40">
        <v>255364</v>
      </c>
      <c r="K40">
        <v>59450</v>
      </c>
      <c r="L40">
        <v>279</v>
      </c>
      <c r="M40">
        <v>141</v>
      </c>
      <c r="N40">
        <v>44</v>
      </c>
      <c r="O40">
        <v>22</v>
      </c>
      <c r="P40">
        <v>1975</v>
      </c>
      <c r="Q40">
        <v>218</v>
      </c>
      <c r="R40">
        <v>1.0892970234325523</v>
      </c>
      <c r="S40">
        <v>79</v>
      </c>
      <c r="T40" t="s">
        <v>403</v>
      </c>
      <c r="U40">
        <v>2193</v>
      </c>
      <c r="V40">
        <v>0.10077519379845</v>
      </c>
      <c r="W40">
        <v>1</v>
      </c>
    </row>
    <row r="41" spans="1:23" x14ac:dyDescent="0.3">
      <c r="A41" s="1">
        <v>44209</v>
      </c>
      <c r="B41" s="2" t="s">
        <v>2</v>
      </c>
      <c r="C41">
        <v>244</v>
      </c>
      <c r="D41">
        <v>281</v>
      </c>
      <c r="E41">
        <v>210</v>
      </c>
      <c r="F41">
        <v>1720</v>
      </c>
      <c r="G41">
        <v>12036</v>
      </c>
      <c r="H41">
        <v>44</v>
      </c>
      <c r="I41">
        <v>22</v>
      </c>
      <c r="J41">
        <v>257339</v>
      </c>
      <c r="K41">
        <v>59668</v>
      </c>
      <c r="L41">
        <v>280</v>
      </c>
      <c r="M41">
        <v>173</v>
      </c>
      <c r="N41">
        <v>47</v>
      </c>
      <c r="O41">
        <v>22</v>
      </c>
      <c r="P41">
        <v>2275</v>
      </c>
      <c r="Q41">
        <v>276</v>
      </c>
      <c r="R41">
        <v>1.1005813953488373</v>
      </c>
      <c r="S41">
        <v>70</v>
      </c>
      <c r="T41" t="s">
        <v>404</v>
      </c>
      <c r="U41">
        <v>2551</v>
      </c>
      <c r="V41">
        <v>9.5648765190121499E-2</v>
      </c>
      <c r="W41">
        <v>1</v>
      </c>
    </row>
    <row r="42" spans="1:23" x14ac:dyDescent="0.3">
      <c r="A42" s="1">
        <v>44210</v>
      </c>
      <c r="B42" s="2" t="s">
        <v>2</v>
      </c>
      <c r="C42">
        <v>191</v>
      </c>
      <c r="D42">
        <v>281</v>
      </c>
      <c r="E42">
        <v>214</v>
      </c>
      <c r="F42">
        <v>1893</v>
      </c>
      <c r="G42">
        <v>12106</v>
      </c>
      <c r="H42">
        <v>47</v>
      </c>
      <c r="I42">
        <v>22</v>
      </c>
      <c r="J42">
        <v>259614</v>
      </c>
      <c r="K42">
        <v>59944</v>
      </c>
      <c r="L42">
        <v>281</v>
      </c>
      <c r="M42">
        <v>101</v>
      </c>
      <c r="N42">
        <v>56</v>
      </c>
      <c r="O42">
        <v>22</v>
      </c>
      <c r="P42">
        <v>2082</v>
      </c>
      <c r="Q42">
        <v>371</v>
      </c>
      <c r="R42">
        <v>1.0533544638140517</v>
      </c>
      <c r="S42">
        <v>90</v>
      </c>
      <c r="T42" t="s">
        <v>405</v>
      </c>
      <c r="U42">
        <v>2453</v>
      </c>
      <c r="V42">
        <v>7.7863840195678796E-2</v>
      </c>
      <c r="W42">
        <v>0</v>
      </c>
    </row>
    <row r="43" spans="1:23" x14ac:dyDescent="0.3">
      <c r="A43" s="1">
        <v>44211</v>
      </c>
      <c r="B43" s="2" t="s">
        <v>2</v>
      </c>
      <c r="C43">
        <v>278</v>
      </c>
      <c r="D43">
        <v>284</v>
      </c>
      <c r="E43">
        <v>181</v>
      </c>
      <c r="F43">
        <v>1994</v>
      </c>
      <c r="G43">
        <v>12196</v>
      </c>
      <c r="H43">
        <v>56</v>
      </c>
      <c r="I43">
        <v>22</v>
      </c>
      <c r="J43">
        <v>261696</v>
      </c>
      <c r="K43">
        <v>60315</v>
      </c>
      <c r="L43">
        <v>281</v>
      </c>
      <c r="M43">
        <v>173</v>
      </c>
      <c r="N43">
        <v>50</v>
      </c>
      <c r="O43">
        <v>19</v>
      </c>
      <c r="P43">
        <v>2243</v>
      </c>
      <c r="Q43">
        <v>311</v>
      </c>
      <c r="R43">
        <v>1.0867602808425276</v>
      </c>
      <c r="S43">
        <v>102</v>
      </c>
      <c r="T43" t="s">
        <v>406</v>
      </c>
      <c r="U43">
        <v>2554</v>
      </c>
      <c r="V43">
        <v>0.10884886452623301</v>
      </c>
      <c r="W43">
        <v>3</v>
      </c>
    </row>
    <row r="44" spans="1:23" x14ac:dyDescent="0.3">
      <c r="A44" s="1">
        <v>44212</v>
      </c>
      <c r="B44" s="2" t="s">
        <v>2</v>
      </c>
      <c r="C44">
        <v>256</v>
      </c>
      <c r="D44">
        <v>284</v>
      </c>
      <c r="E44">
        <v>255</v>
      </c>
      <c r="F44">
        <v>2167</v>
      </c>
      <c r="G44">
        <v>12298</v>
      </c>
      <c r="H44">
        <v>50</v>
      </c>
      <c r="I44">
        <v>19</v>
      </c>
      <c r="J44">
        <v>263939</v>
      </c>
      <c r="K44">
        <v>60626</v>
      </c>
      <c r="L44">
        <v>284</v>
      </c>
      <c r="M44">
        <v>166</v>
      </c>
      <c r="N44">
        <v>66</v>
      </c>
      <c r="O44">
        <v>18</v>
      </c>
      <c r="P44">
        <v>2483</v>
      </c>
      <c r="Q44">
        <v>135</v>
      </c>
      <c r="R44">
        <v>1.0766035994462391</v>
      </c>
      <c r="S44">
        <v>90</v>
      </c>
      <c r="T44" t="s">
        <v>407</v>
      </c>
      <c r="U44">
        <v>2618</v>
      </c>
      <c r="V44">
        <v>9.7784568372803707E-2</v>
      </c>
      <c r="W44">
        <v>0</v>
      </c>
    </row>
    <row r="45" spans="1:23" x14ac:dyDescent="0.3">
      <c r="A45" s="1">
        <v>44213</v>
      </c>
      <c r="B45" s="2" t="s">
        <v>2</v>
      </c>
      <c r="C45">
        <v>154</v>
      </c>
      <c r="D45">
        <v>285</v>
      </c>
      <c r="E45">
        <v>252</v>
      </c>
      <c r="F45">
        <v>2333</v>
      </c>
      <c r="G45">
        <v>12388</v>
      </c>
      <c r="H45">
        <v>66</v>
      </c>
      <c r="I45">
        <v>18</v>
      </c>
      <c r="J45">
        <v>266422</v>
      </c>
      <c r="K45">
        <v>60761</v>
      </c>
      <c r="L45">
        <v>284</v>
      </c>
      <c r="M45">
        <v>119</v>
      </c>
      <c r="N45">
        <v>85</v>
      </c>
      <c r="O45">
        <v>20</v>
      </c>
      <c r="P45">
        <v>1467</v>
      </c>
      <c r="Q45">
        <v>126</v>
      </c>
      <c r="R45">
        <v>1.0510072867552507</v>
      </c>
      <c r="S45">
        <v>34</v>
      </c>
      <c r="T45" t="s">
        <v>408</v>
      </c>
      <c r="U45">
        <v>1593</v>
      </c>
      <c r="V45">
        <v>9.6672944130571203E-2</v>
      </c>
      <c r="W45">
        <v>1</v>
      </c>
    </row>
    <row r="46" spans="1:23" x14ac:dyDescent="0.3">
      <c r="A46" s="1">
        <v>44214</v>
      </c>
      <c r="B46" s="2" t="s">
        <v>2</v>
      </c>
      <c r="C46">
        <v>187</v>
      </c>
      <c r="D46">
        <v>289</v>
      </c>
      <c r="E46">
        <v>133</v>
      </c>
      <c r="F46">
        <v>2452</v>
      </c>
      <c r="G46">
        <v>12422</v>
      </c>
      <c r="H46">
        <v>85</v>
      </c>
      <c r="I46">
        <v>20</v>
      </c>
      <c r="J46">
        <v>267889</v>
      </c>
      <c r="K46">
        <v>60887</v>
      </c>
      <c r="L46">
        <v>285</v>
      </c>
      <c r="M46">
        <v>144</v>
      </c>
      <c r="N46">
        <v>90</v>
      </c>
      <c r="O46">
        <v>21</v>
      </c>
      <c r="P46">
        <v>2573</v>
      </c>
      <c r="Q46">
        <v>292</v>
      </c>
      <c r="R46">
        <v>1.0587275693311582</v>
      </c>
      <c r="S46">
        <v>39</v>
      </c>
      <c r="T46" t="s">
        <v>409</v>
      </c>
      <c r="U46">
        <v>2865</v>
      </c>
      <c r="V46">
        <v>6.5270506108202397E-2</v>
      </c>
      <c r="W46">
        <v>4</v>
      </c>
    </row>
    <row r="47" spans="1:23" x14ac:dyDescent="0.3">
      <c r="A47" s="1">
        <v>44215</v>
      </c>
      <c r="B47" s="2" t="s">
        <v>2</v>
      </c>
      <c r="C47">
        <v>239</v>
      </c>
      <c r="D47">
        <v>291</v>
      </c>
      <c r="E47">
        <v>169</v>
      </c>
      <c r="F47">
        <v>2596</v>
      </c>
      <c r="G47">
        <v>12461</v>
      </c>
      <c r="H47">
        <v>90</v>
      </c>
      <c r="I47">
        <v>21</v>
      </c>
      <c r="J47">
        <v>270462</v>
      </c>
      <c r="K47">
        <v>61179</v>
      </c>
      <c r="L47">
        <v>289</v>
      </c>
      <c r="M47">
        <v>180</v>
      </c>
      <c r="N47">
        <v>112</v>
      </c>
      <c r="O47">
        <v>22</v>
      </c>
      <c r="P47">
        <v>2579</v>
      </c>
      <c r="Q47">
        <v>260</v>
      </c>
      <c r="R47">
        <v>1.0693374422187982</v>
      </c>
      <c r="S47">
        <v>57</v>
      </c>
      <c r="T47" t="s">
        <v>410</v>
      </c>
      <c r="U47">
        <v>2839</v>
      </c>
      <c r="V47">
        <v>8.4184572032405799E-2</v>
      </c>
      <c r="W47">
        <v>2</v>
      </c>
    </row>
    <row r="48" spans="1:23" x14ac:dyDescent="0.3">
      <c r="A48" s="1">
        <v>44216</v>
      </c>
      <c r="B48" s="2" t="s">
        <v>2</v>
      </c>
      <c r="C48">
        <v>323</v>
      </c>
      <c r="D48">
        <v>296</v>
      </c>
      <c r="E48">
        <v>203</v>
      </c>
      <c r="F48">
        <v>2776</v>
      </c>
      <c r="G48">
        <v>12518</v>
      </c>
      <c r="H48">
        <v>112</v>
      </c>
      <c r="I48">
        <v>22</v>
      </c>
      <c r="J48">
        <v>273041</v>
      </c>
      <c r="K48">
        <v>61439</v>
      </c>
      <c r="L48">
        <v>291</v>
      </c>
      <c r="M48">
        <v>166</v>
      </c>
      <c r="N48">
        <v>117</v>
      </c>
      <c r="O48">
        <v>22</v>
      </c>
      <c r="P48">
        <v>3301</v>
      </c>
      <c r="Q48">
        <v>364</v>
      </c>
      <c r="R48">
        <v>1.0597982708933718</v>
      </c>
      <c r="S48">
        <v>152</v>
      </c>
      <c r="T48" t="s">
        <v>411</v>
      </c>
      <c r="U48">
        <v>3665</v>
      </c>
      <c r="V48">
        <v>8.8130968622101E-2</v>
      </c>
      <c r="W48">
        <v>5</v>
      </c>
    </row>
    <row r="49" spans="1:23" x14ac:dyDescent="0.3">
      <c r="A49" s="1">
        <v>44217</v>
      </c>
      <c r="B49" s="2" t="s">
        <v>2</v>
      </c>
      <c r="C49">
        <v>354</v>
      </c>
      <c r="D49">
        <v>301</v>
      </c>
      <c r="E49">
        <v>289</v>
      </c>
      <c r="F49">
        <v>2942</v>
      </c>
      <c r="G49">
        <v>12670</v>
      </c>
      <c r="H49">
        <v>117</v>
      </c>
      <c r="I49">
        <v>22</v>
      </c>
      <c r="J49">
        <v>276342</v>
      </c>
      <c r="K49">
        <v>61803</v>
      </c>
      <c r="L49">
        <v>296</v>
      </c>
      <c r="M49">
        <v>211</v>
      </c>
      <c r="N49">
        <v>116</v>
      </c>
      <c r="O49">
        <v>21</v>
      </c>
      <c r="P49">
        <v>2614</v>
      </c>
      <c r="Q49">
        <v>579</v>
      </c>
      <c r="R49">
        <v>1.0717199184228416</v>
      </c>
      <c r="S49">
        <v>139</v>
      </c>
      <c r="T49" t="s">
        <v>422</v>
      </c>
      <c r="U49">
        <v>3193</v>
      </c>
      <c r="V49">
        <v>0.110867522705919</v>
      </c>
      <c r="W49">
        <v>5</v>
      </c>
    </row>
    <row r="50" spans="1:23" x14ac:dyDescent="0.3">
      <c r="A50" s="1">
        <v>44218</v>
      </c>
      <c r="B50" s="2" t="s">
        <v>2</v>
      </c>
      <c r="C50">
        <v>331</v>
      </c>
      <c r="D50">
        <v>304</v>
      </c>
      <c r="E50">
        <v>332</v>
      </c>
      <c r="F50">
        <v>3153</v>
      </c>
      <c r="G50">
        <v>12809</v>
      </c>
      <c r="H50">
        <v>116</v>
      </c>
      <c r="I50">
        <v>21</v>
      </c>
      <c r="J50">
        <v>278956</v>
      </c>
      <c r="K50">
        <v>62382</v>
      </c>
      <c r="L50">
        <v>301</v>
      </c>
      <c r="M50">
        <v>196</v>
      </c>
      <c r="N50">
        <v>126</v>
      </c>
      <c r="O50">
        <v>22</v>
      </c>
      <c r="P50">
        <v>1994</v>
      </c>
      <c r="Q50">
        <v>351</v>
      </c>
      <c r="R50">
        <v>1.062163019346654</v>
      </c>
      <c r="S50">
        <v>132</v>
      </c>
      <c r="T50" t="s">
        <v>441</v>
      </c>
      <c r="U50">
        <v>2345</v>
      </c>
      <c r="V50">
        <v>0.14115138592750501</v>
      </c>
      <c r="W50">
        <v>3</v>
      </c>
    </row>
    <row r="51" spans="1:23" x14ac:dyDescent="0.3">
      <c r="A51" s="1">
        <v>44219</v>
      </c>
      <c r="B51" s="2" t="s">
        <v>2</v>
      </c>
      <c r="C51">
        <v>275</v>
      </c>
      <c r="D51">
        <v>307</v>
      </c>
      <c r="E51">
        <v>299</v>
      </c>
      <c r="F51">
        <v>3349</v>
      </c>
      <c r="G51">
        <v>12941</v>
      </c>
      <c r="H51">
        <v>126</v>
      </c>
      <c r="I51">
        <v>22</v>
      </c>
      <c r="J51">
        <v>280950</v>
      </c>
      <c r="K51">
        <v>62733</v>
      </c>
      <c r="L51">
        <v>304</v>
      </c>
      <c r="M51">
        <v>111</v>
      </c>
      <c r="N51">
        <v>139</v>
      </c>
      <c r="O51">
        <v>23</v>
      </c>
      <c r="P51">
        <v>2936</v>
      </c>
      <c r="Q51">
        <v>177</v>
      </c>
      <c r="R51">
        <v>1.0331442221558673</v>
      </c>
      <c r="S51">
        <v>161</v>
      </c>
      <c r="T51" t="s">
        <v>442</v>
      </c>
      <c r="U51">
        <v>3113</v>
      </c>
      <c r="V51">
        <v>8.8339222614841006E-2</v>
      </c>
      <c r="W51">
        <v>3</v>
      </c>
    </row>
    <row r="52" spans="1:23" x14ac:dyDescent="0.3">
      <c r="A52" s="1">
        <v>44220</v>
      </c>
      <c r="B52" s="2" t="s">
        <v>2</v>
      </c>
      <c r="C52">
        <v>230</v>
      </c>
      <c r="D52">
        <v>308</v>
      </c>
      <c r="E52">
        <v>268</v>
      </c>
      <c r="F52">
        <v>3460</v>
      </c>
      <c r="G52">
        <v>13102</v>
      </c>
      <c r="H52">
        <v>139</v>
      </c>
      <c r="I52">
        <v>23</v>
      </c>
      <c r="J52">
        <v>283886</v>
      </c>
      <c r="K52">
        <v>62910</v>
      </c>
      <c r="L52">
        <v>307</v>
      </c>
      <c r="M52">
        <v>82</v>
      </c>
      <c r="N52">
        <v>154</v>
      </c>
      <c r="O52">
        <v>21</v>
      </c>
      <c r="P52">
        <v>2791</v>
      </c>
      <c r="Q52">
        <v>134</v>
      </c>
      <c r="R52">
        <v>1.0236994219653179</v>
      </c>
      <c r="S52">
        <v>148</v>
      </c>
      <c r="T52" t="s">
        <v>461</v>
      </c>
      <c r="U52">
        <v>2925</v>
      </c>
      <c r="V52">
        <v>7.8632478632478603E-2</v>
      </c>
      <c r="W52">
        <v>1</v>
      </c>
    </row>
    <row r="53" spans="1:23" x14ac:dyDescent="0.3">
      <c r="A53" s="1">
        <v>44221</v>
      </c>
      <c r="B53" s="2" t="s">
        <v>2</v>
      </c>
      <c r="C53">
        <v>177</v>
      </c>
      <c r="D53">
        <v>311</v>
      </c>
      <c r="E53">
        <v>221</v>
      </c>
      <c r="F53">
        <v>3542</v>
      </c>
      <c r="G53">
        <v>13250</v>
      </c>
      <c r="H53">
        <v>154</v>
      </c>
      <c r="I53">
        <v>21</v>
      </c>
      <c r="J53">
        <v>286677</v>
      </c>
      <c r="K53">
        <v>63044</v>
      </c>
      <c r="L53">
        <v>308</v>
      </c>
      <c r="M53">
        <v>88</v>
      </c>
      <c r="N53">
        <v>159</v>
      </c>
      <c r="O53">
        <v>23</v>
      </c>
      <c r="P53">
        <v>1729</v>
      </c>
      <c r="Q53">
        <v>363</v>
      </c>
      <c r="R53">
        <v>1.0248447204968945</v>
      </c>
      <c r="S53">
        <v>86</v>
      </c>
      <c r="T53" t="s">
        <v>462</v>
      </c>
      <c r="U53">
        <v>2092</v>
      </c>
      <c r="V53">
        <v>8.4608030592734196E-2</v>
      </c>
      <c r="W53">
        <v>3</v>
      </c>
    </row>
    <row r="54" spans="1:23" x14ac:dyDescent="0.3">
      <c r="A54" s="1">
        <v>44222</v>
      </c>
      <c r="B54" s="2" t="s">
        <v>2</v>
      </c>
      <c r="C54">
        <v>225</v>
      </c>
      <c r="D54">
        <v>312</v>
      </c>
      <c r="E54">
        <v>151</v>
      </c>
      <c r="F54">
        <v>3630</v>
      </c>
      <c r="G54">
        <v>13336</v>
      </c>
      <c r="H54">
        <v>159</v>
      </c>
      <c r="I54">
        <v>23</v>
      </c>
      <c r="J54">
        <v>288406</v>
      </c>
      <c r="K54">
        <v>63407</v>
      </c>
      <c r="L54">
        <v>311</v>
      </c>
      <c r="M54">
        <v>50</v>
      </c>
      <c r="N54">
        <v>178</v>
      </c>
      <c r="O54">
        <v>23</v>
      </c>
      <c r="P54">
        <v>2582</v>
      </c>
      <c r="Q54">
        <v>442</v>
      </c>
      <c r="R54">
        <v>1.0137741046831956</v>
      </c>
      <c r="S54">
        <v>175</v>
      </c>
      <c r="T54" t="s">
        <v>463</v>
      </c>
      <c r="U54">
        <v>3024</v>
      </c>
      <c r="V54">
        <v>7.4404761904761904E-2</v>
      </c>
      <c r="W54">
        <v>1</v>
      </c>
    </row>
    <row r="55" spans="1:23" x14ac:dyDescent="0.3">
      <c r="A55" s="1">
        <v>44223</v>
      </c>
      <c r="B55" s="2" t="s">
        <v>2</v>
      </c>
      <c r="C55">
        <v>255</v>
      </c>
      <c r="D55">
        <v>316</v>
      </c>
      <c r="E55">
        <v>210</v>
      </c>
      <c r="F55">
        <v>3680</v>
      </c>
      <c r="G55">
        <v>13511</v>
      </c>
      <c r="H55">
        <v>178</v>
      </c>
      <c r="I55">
        <v>23</v>
      </c>
      <c r="J55">
        <v>290988</v>
      </c>
      <c r="K55">
        <v>63849</v>
      </c>
      <c r="L55">
        <v>312</v>
      </c>
      <c r="M55">
        <v>1</v>
      </c>
      <c r="N55">
        <v>172</v>
      </c>
      <c r="O55">
        <v>23</v>
      </c>
      <c r="P55">
        <v>2423</v>
      </c>
      <c r="Q55">
        <v>280</v>
      </c>
      <c r="R55">
        <v>1.0002717391304348</v>
      </c>
      <c r="S55">
        <v>250</v>
      </c>
      <c r="T55" t="s">
        <v>470</v>
      </c>
      <c r="U55">
        <v>2703</v>
      </c>
      <c r="V55">
        <v>9.4339622641509399E-2</v>
      </c>
      <c r="W55">
        <v>4</v>
      </c>
    </row>
    <row r="56" spans="1:23" x14ac:dyDescent="0.3">
      <c r="A56" s="1">
        <v>44224</v>
      </c>
      <c r="B56" s="2" t="s">
        <v>2</v>
      </c>
      <c r="C56">
        <v>349</v>
      </c>
      <c r="D56">
        <v>318</v>
      </c>
      <c r="E56">
        <v>201</v>
      </c>
      <c r="F56">
        <v>3681</v>
      </c>
      <c r="G56">
        <v>13761</v>
      </c>
      <c r="H56">
        <v>172</v>
      </c>
      <c r="I56">
        <v>23</v>
      </c>
      <c r="J56">
        <v>293411</v>
      </c>
      <c r="K56">
        <v>64129</v>
      </c>
      <c r="L56">
        <v>316</v>
      </c>
      <c r="M56">
        <v>118</v>
      </c>
      <c r="N56">
        <v>164</v>
      </c>
      <c r="O56">
        <v>23</v>
      </c>
      <c r="P56">
        <v>2928</v>
      </c>
      <c r="Q56">
        <v>383</v>
      </c>
      <c r="R56">
        <v>1.0320565063841347</v>
      </c>
      <c r="S56">
        <v>229</v>
      </c>
      <c r="T56" t="s">
        <v>472</v>
      </c>
      <c r="U56">
        <v>3311</v>
      </c>
      <c r="V56">
        <v>0.105406221685291</v>
      </c>
      <c r="W56">
        <v>2</v>
      </c>
    </row>
    <row r="57" spans="1:23" x14ac:dyDescent="0.3">
      <c r="A57" s="1">
        <v>44225</v>
      </c>
      <c r="B57" s="2" t="s">
        <v>2</v>
      </c>
      <c r="C57">
        <v>251</v>
      </c>
      <c r="D57">
        <v>326</v>
      </c>
      <c r="E57">
        <v>333</v>
      </c>
      <c r="F57">
        <v>3799</v>
      </c>
      <c r="G57">
        <v>13990</v>
      </c>
      <c r="H57">
        <v>164</v>
      </c>
      <c r="I57">
        <v>23</v>
      </c>
      <c r="J57">
        <v>296339</v>
      </c>
      <c r="K57">
        <v>64512</v>
      </c>
      <c r="L57">
        <v>318</v>
      </c>
      <c r="M57">
        <v>47</v>
      </c>
      <c r="N57">
        <v>153</v>
      </c>
      <c r="O57">
        <v>21</v>
      </c>
      <c r="P57">
        <v>2458</v>
      </c>
      <c r="Q57">
        <v>416</v>
      </c>
      <c r="R57">
        <v>1.0123716767570414</v>
      </c>
      <c r="S57">
        <v>196</v>
      </c>
      <c r="T57" t="s">
        <v>473</v>
      </c>
      <c r="U57">
        <v>2874</v>
      </c>
      <c r="V57">
        <v>8.7334725121781503E-2</v>
      </c>
      <c r="W57">
        <v>8</v>
      </c>
    </row>
    <row r="58" spans="1:23" x14ac:dyDescent="0.3">
      <c r="A58" s="1">
        <v>44226</v>
      </c>
      <c r="B58" s="2" t="s">
        <v>2</v>
      </c>
      <c r="C58">
        <v>277</v>
      </c>
      <c r="D58">
        <v>326</v>
      </c>
      <c r="E58">
        <v>236</v>
      </c>
      <c r="F58">
        <v>3846</v>
      </c>
      <c r="G58">
        <v>14186</v>
      </c>
      <c r="H58">
        <v>153</v>
      </c>
      <c r="I58">
        <v>21</v>
      </c>
      <c r="J58">
        <v>298797</v>
      </c>
      <c r="K58">
        <v>64928</v>
      </c>
      <c r="L58">
        <v>326</v>
      </c>
      <c r="M58">
        <v>5</v>
      </c>
      <c r="N58">
        <v>154</v>
      </c>
      <c r="O58">
        <v>21</v>
      </c>
      <c r="P58">
        <v>2553</v>
      </c>
      <c r="Q58">
        <v>714</v>
      </c>
      <c r="R58">
        <v>1.0013000520020801</v>
      </c>
      <c r="S58">
        <v>271</v>
      </c>
      <c r="T58" t="s">
        <v>474</v>
      </c>
      <c r="U58">
        <v>3267</v>
      </c>
      <c r="V58">
        <v>8.47872666054484E-2</v>
      </c>
      <c r="W58">
        <v>0</v>
      </c>
    </row>
    <row r="59" spans="1:23" x14ac:dyDescent="0.3">
      <c r="A59" s="1">
        <v>44227</v>
      </c>
      <c r="B59" s="2" t="s">
        <v>2</v>
      </c>
      <c r="C59">
        <v>153</v>
      </c>
      <c r="D59">
        <v>327</v>
      </c>
      <c r="E59">
        <v>261</v>
      </c>
      <c r="F59">
        <v>3851</v>
      </c>
      <c r="G59">
        <v>14457</v>
      </c>
      <c r="H59">
        <v>154</v>
      </c>
      <c r="I59">
        <v>21</v>
      </c>
      <c r="J59">
        <v>301350</v>
      </c>
      <c r="K59">
        <v>65642</v>
      </c>
      <c r="L59">
        <v>326</v>
      </c>
      <c r="M59">
        <v>-53</v>
      </c>
      <c r="N59">
        <v>166</v>
      </c>
      <c r="O59">
        <v>24</v>
      </c>
      <c r="P59">
        <v>2643</v>
      </c>
      <c r="Q59">
        <v>3975</v>
      </c>
      <c r="R59">
        <v>0.9862373409504025</v>
      </c>
      <c r="S59">
        <v>205</v>
      </c>
      <c r="T59" t="s">
        <v>475</v>
      </c>
      <c r="U59">
        <v>6618</v>
      </c>
      <c r="V59">
        <v>2.3118766999093401E-2</v>
      </c>
      <c r="W59">
        <v>1</v>
      </c>
    </row>
    <row r="60" spans="1:23" x14ac:dyDescent="0.3">
      <c r="A60" s="1">
        <v>44228</v>
      </c>
      <c r="B60" s="2" t="s">
        <v>2</v>
      </c>
      <c r="C60">
        <v>135</v>
      </c>
      <c r="D60">
        <v>333</v>
      </c>
      <c r="E60">
        <v>151</v>
      </c>
      <c r="F60">
        <v>3798</v>
      </c>
      <c r="G60">
        <v>14662</v>
      </c>
      <c r="H60">
        <v>166</v>
      </c>
      <c r="I60">
        <v>24</v>
      </c>
      <c r="J60">
        <v>303993</v>
      </c>
      <c r="K60">
        <v>69617</v>
      </c>
      <c r="L60">
        <v>327</v>
      </c>
      <c r="M60">
        <v>63</v>
      </c>
      <c r="N60">
        <v>172</v>
      </c>
      <c r="O60">
        <v>25</v>
      </c>
      <c r="P60">
        <v>1585</v>
      </c>
      <c r="Q60">
        <v>4474</v>
      </c>
      <c r="R60">
        <v>1.0165876777251184</v>
      </c>
      <c r="S60">
        <v>66</v>
      </c>
      <c r="T60" t="s">
        <v>479</v>
      </c>
      <c r="U60">
        <v>6059</v>
      </c>
      <c r="V60">
        <v>2.2280904439676501E-2</v>
      </c>
      <c r="W60">
        <v>6</v>
      </c>
    </row>
    <row r="61" spans="1:23" x14ac:dyDescent="0.3">
      <c r="A61" s="1">
        <v>44229</v>
      </c>
      <c r="B61" s="2" t="s">
        <v>2</v>
      </c>
      <c r="C61">
        <v>239</v>
      </c>
      <c r="D61">
        <v>336</v>
      </c>
      <c r="E61">
        <v>112</v>
      </c>
      <c r="F61">
        <v>3861</v>
      </c>
      <c r="G61">
        <v>14728</v>
      </c>
      <c r="H61">
        <v>172</v>
      </c>
      <c r="I61">
        <v>25</v>
      </c>
      <c r="J61">
        <v>305578</v>
      </c>
      <c r="K61">
        <v>74091</v>
      </c>
      <c r="L61">
        <v>333</v>
      </c>
      <c r="M61">
        <v>6</v>
      </c>
      <c r="N61">
        <v>165</v>
      </c>
      <c r="O61">
        <v>24</v>
      </c>
      <c r="P61">
        <v>2524</v>
      </c>
      <c r="Q61">
        <v>4573</v>
      </c>
      <c r="R61">
        <v>1.0015540015540016</v>
      </c>
      <c r="S61">
        <v>230</v>
      </c>
      <c r="T61" t="s">
        <v>480</v>
      </c>
      <c r="U61">
        <v>7097</v>
      </c>
      <c r="V61">
        <v>3.3676201211779597E-2</v>
      </c>
      <c r="W61">
        <v>3</v>
      </c>
    </row>
    <row r="62" spans="1:23" x14ac:dyDescent="0.3">
      <c r="A62" s="1">
        <v>44230</v>
      </c>
      <c r="B62" s="2" t="s">
        <v>2</v>
      </c>
      <c r="C62">
        <v>204</v>
      </c>
      <c r="D62">
        <v>340</v>
      </c>
      <c r="E62">
        <v>232</v>
      </c>
      <c r="F62">
        <v>3867</v>
      </c>
      <c r="G62">
        <v>14958</v>
      </c>
      <c r="H62">
        <v>165</v>
      </c>
      <c r="I62">
        <v>24</v>
      </c>
      <c r="J62">
        <v>308102</v>
      </c>
      <c r="K62">
        <v>78664</v>
      </c>
      <c r="L62">
        <v>336</v>
      </c>
      <c r="M62">
        <v>-37</v>
      </c>
      <c r="N62">
        <v>153</v>
      </c>
      <c r="O62">
        <v>25</v>
      </c>
      <c r="P62">
        <v>2821</v>
      </c>
      <c r="Q62">
        <v>4309</v>
      </c>
      <c r="R62">
        <v>0.99043185932247224</v>
      </c>
      <c r="S62">
        <v>237</v>
      </c>
      <c r="T62" t="s">
        <v>481</v>
      </c>
      <c r="U62">
        <v>7130</v>
      </c>
      <c r="V62">
        <v>2.86115007012623E-2</v>
      </c>
      <c r="W62">
        <v>4</v>
      </c>
    </row>
    <row r="63" spans="1:23" x14ac:dyDescent="0.3">
      <c r="A63" s="1">
        <v>44231</v>
      </c>
      <c r="B63" s="2" t="s">
        <v>2</v>
      </c>
      <c r="C63">
        <v>135</v>
      </c>
      <c r="D63">
        <v>347</v>
      </c>
      <c r="E63">
        <v>208</v>
      </c>
      <c r="F63">
        <v>3830</v>
      </c>
      <c r="G63">
        <v>15195</v>
      </c>
      <c r="H63">
        <v>153</v>
      </c>
      <c r="I63">
        <v>25</v>
      </c>
      <c r="J63">
        <v>310923</v>
      </c>
      <c r="K63">
        <v>82973</v>
      </c>
      <c r="L63">
        <v>340</v>
      </c>
      <c r="M63">
        <v>-183</v>
      </c>
      <c r="N63">
        <v>136</v>
      </c>
      <c r="O63">
        <v>26</v>
      </c>
      <c r="P63">
        <v>1771</v>
      </c>
      <c r="Q63">
        <v>4686</v>
      </c>
      <c r="R63">
        <v>0.95221932114882502</v>
      </c>
      <c r="S63">
        <v>311</v>
      </c>
      <c r="T63" t="s">
        <v>482</v>
      </c>
      <c r="U63">
        <v>6457</v>
      </c>
      <c r="V63">
        <v>2.0907542202261101E-2</v>
      </c>
      <c r="W63">
        <v>7</v>
      </c>
    </row>
    <row r="64" spans="1:23" x14ac:dyDescent="0.3">
      <c r="A64" s="1">
        <v>44232</v>
      </c>
      <c r="B64" s="2" t="s">
        <v>2</v>
      </c>
      <c r="C64">
        <v>156</v>
      </c>
      <c r="D64">
        <v>348</v>
      </c>
      <c r="E64">
        <v>127</v>
      </c>
      <c r="F64">
        <v>3647</v>
      </c>
      <c r="G64">
        <v>15506</v>
      </c>
      <c r="H64">
        <v>136</v>
      </c>
      <c r="I64">
        <v>26</v>
      </c>
      <c r="J64">
        <v>312694</v>
      </c>
      <c r="K64">
        <v>87659</v>
      </c>
      <c r="L64">
        <v>347</v>
      </c>
      <c r="M64">
        <v>-178</v>
      </c>
      <c r="N64">
        <v>135</v>
      </c>
      <c r="O64">
        <v>26</v>
      </c>
      <c r="P64">
        <v>2332</v>
      </c>
      <c r="Q64">
        <v>396</v>
      </c>
      <c r="R64">
        <v>0.95119276117356732</v>
      </c>
      <c r="S64">
        <v>333</v>
      </c>
      <c r="T64" t="s">
        <v>483</v>
      </c>
      <c r="U64">
        <v>2728</v>
      </c>
      <c r="V64">
        <v>5.71847507331378E-2</v>
      </c>
      <c r="W64">
        <v>1</v>
      </c>
    </row>
    <row r="65" spans="1:23" x14ac:dyDescent="0.3">
      <c r="A65" s="1">
        <v>44233</v>
      </c>
      <c r="B65" s="2" t="s">
        <v>2</v>
      </c>
      <c r="C65">
        <v>103</v>
      </c>
      <c r="D65">
        <v>348</v>
      </c>
      <c r="E65">
        <v>141</v>
      </c>
      <c r="F65">
        <v>3469</v>
      </c>
      <c r="G65">
        <v>15839</v>
      </c>
      <c r="H65">
        <v>135</v>
      </c>
      <c r="I65">
        <v>26</v>
      </c>
      <c r="J65">
        <v>315026</v>
      </c>
      <c r="K65">
        <v>88055</v>
      </c>
      <c r="L65">
        <v>348</v>
      </c>
      <c r="M65">
        <v>-168</v>
      </c>
      <c r="N65">
        <v>136</v>
      </c>
      <c r="O65">
        <v>30</v>
      </c>
      <c r="P65">
        <v>3270</v>
      </c>
      <c r="Q65">
        <v>332</v>
      </c>
      <c r="R65">
        <v>0.95157105794176999</v>
      </c>
      <c r="S65">
        <v>271</v>
      </c>
      <c r="T65" t="s">
        <v>484</v>
      </c>
      <c r="U65">
        <v>3602</v>
      </c>
      <c r="V65">
        <v>2.8595224875069401E-2</v>
      </c>
      <c r="W65">
        <v>0</v>
      </c>
    </row>
    <row r="66" spans="1:23" x14ac:dyDescent="0.3">
      <c r="A66" s="1">
        <v>44234</v>
      </c>
      <c r="B66" s="2" t="s">
        <v>2</v>
      </c>
      <c r="C66">
        <v>71</v>
      </c>
      <c r="D66">
        <v>351</v>
      </c>
      <c r="E66">
        <v>94</v>
      </c>
      <c r="F66">
        <v>3301</v>
      </c>
      <c r="G66">
        <v>16110</v>
      </c>
      <c r="H66">
        <v>136</v>
      </c>
      <c r="I66">
        <v>30</v>
      </c>
      <c r="J66">
        <v>318296</v>
      </c>
      <c r="K66">
        <v>88387</v>
      </c>
      <c r="L66">
        <v>348</v>
      </c>
      <c r="M66">
        <v>-155</v>
      </c>
      <c r="N66">
        <v>145</v>
      </c>
      <c r="O66">
        <v>29</v>
      </c>
      <c r="P66">
        <v>2034</v>
      </c>
      <c r="Q66">
        <v>160</v>
      </c>
      <c r="R66">
        <v>0.95304453196001215</v>
      </c>
      <c r="S66">
        <v>223</v>
      </c>
      <c r="T66" t="s">
        <v>485</v>
      </c>
      <c r="U66">
        <v>2194</v>
      </c>
      <c r="V66">
        <v>3.2360984503190499E-2</v>
      </c>
      <c r="W66">
        <v>3</v>
      </c>
    </row>
  </sheetData>
  <phoneticPr fontId="3" type="noConversion"/>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A4DE0D-A8A1-48A5-991A-C200DB244C93}">
  <sheetPr codeName="Sheet16"/>
  <dimension ref="A1:M721"/>
  <sheetViews>
    <sheetView showGridLines="0" topLeftCell="B1" workbookViewId="0">
      <selection activeCell="F1" sqref="F1"/>
    </sheetView>
  </sheetViews>
  <sheetFormatPr defaultRowHeight="14.4" x14ac:dyDescent="0.3"/>
  <cols>
    <col min="1" max="1" width="10.5546875" bestFit="1" customWidth="1"/>
    <col min="2" max="2" width="31.6640625" bestFit="1" customWidth="1"/>
    <col min="3" max="3" width="14.109375" bestFit="1" customWidth="1"/>
    <col min="4" max="4" width="35.77734375" bestFit="1" customWidth="1"/>
    <col min="5" max="5" width="19.88671875" bestFit="1" customWidth="1"/>
    <col min="6" max="6" width="20.5546875" bestFit="1" customWidth="1"/>
    <col min="7" max="7" width="23" bestFit="1" customWidth="1"/>
    <col min="8" max="8" width="22.33203125" bestFit="1" customWidth="1"/>
    <col min="9" max="9" width="23.77734375" bestFit="1" customWidth="1"/>
    <col min="10" max="10" width="28.44140625" bestFit="1" customWidth="1"/>
    <col min="11" max="11" width="16.77734375" bestFit="1" customWidth="1"/>
    <col min="12" max="12" width="7.21875" bestFit="1" customWidth="1"/>
    <col min="13" max="14" width="6.5546875" bestFit="1" customWidth="1"/>
    <col min="15" max="15" width="8" bestFit="1" customWidth="1"/>
  </cols>
  <sheetData>
    <row r="1" spans="1:13" x14ac:dyDescent="0.3">
      <c r="A1" t="s">
        <v>0</v>
      </c>
      <c r="B1" t="s">
        <v>1</v>
      </c>
      <c r="C1" t="s">
        <v>357</v>
      </c>
      <c r="D1" t="s">
        <v>358</v>
      </c>
      <c r="E1" t="s">
        <v>359</v>
      </c>
      <c r="F1" t="s">
        <v>360</v>
      </c>
      <c r="G1" t="s">
        <v>361</v>
      </c>
      <c r="H1" t="s">
        <v>362</v>
      </c>
      <c r="I1" t="s">
        <v>363</v>
      </c>
      <c r="J1" t="s">
        <v>364</v>
      </c>
      <c r="K1" t="s">
        <v>423</v>
      </c>
      <c r="L1" t="s">
        <v>365</v>
      </c>
      <c r="M1" t="s">
        <v>366</v>
      </c>
    </row>
    <row r="2" spans="1:13" hidden="1" x14ac:dyDescent="0.3">
      <c r="A2" s="1">
        <v>44145</v>
      </c>
      <c r="B2" s="2" t="s">
        <v>4</v>
      </c>
      <c r="C2">
        <v>10020</v>
      </c>
      <c r="D2">
        <v>114</v>
      </c>
      <c r="E2">
        <v>1921</v>
      </c>
      <c r="F2">
        <v>7857</v>
      </c>
      <c r="G2">
        <v>125</v>
      </c>
      <c r="H2">
        <v>24</v>
      </c>
      <c r="I2">
        <v>173347</v>
      </c>
      <c r="J2">
        <v>68275</v>
      </c>
      <c r="K2">
        <v>245</v>
      </c>
      <c r="L2">
        <v>1</v>
      </c>
      <c r="M2">
        <v>0</v>
      </c>
    </row>
    <row r="3" spans="1:13" hidden="1" x14ac:dyDescent="0.3">
      <c r="A3" s="1">
        <v>44146</v>
      </c>
      <c r="B3" s="2" t="s">
        <v>4</v>
      </c>
      <c r="C3">
        <v>10147</v>
      </c>
      <c r="D3">
        <v>122</v>
      </c>
      <c r="E3">
        <v>1855</v>
      </c>
      <c r="F3">
        <v>8048</v>
      </c>
      <c r="G3">
        <v>124</v>
      </c>
      <c r="H3">
        <v>23</v>
      </c>
      <c r="I3">
        <v>175420</v>
      </c>
      <c r="J3">
        <v>68393</v>
      </c>
      <c r="K3">
        <v>247</v>
      </c>
      <c r="L3">
        <v>2</v>
      </c>
      <c r="M3">
        <v>1</v>
      </c>
    </row>
    <row r="4" spans="1:13" hidden="1" x14ac:dyDescent="0.3">
      <c r="A4" s="1">
        <v>44147</v>
      </c>
      <c r="B4" s="2" t="s">
        <v>4</v>
      </c>
      <c r="C4">
        <v>10267</v>
      </c>
      <c r="D4">
        <v>111</v>
      </c>
      <c r="E4">
        <v>1840</v>
      </c>
      <c r="F4">
        <v>8182</v>
      </c>
      <c r="G4">
        <v>119</v>
      </c>
      <c r="H4">
        <v>24</v>
      </c>
      <c r="I4">
        <v>177814</v>
      </c>
      <c r="J4">
        <v>68610</v>
      </c>
      <c r="K4">
        <v>248</v>
      </c>
      <c r="L4">
        <v>3</v>
      </c>
      <c r="M4">
        <v>2</v>
      </c>
    </row>
    <row r="5" spans="1:13" hidden="1" x14ac:dyDescent="0.3">
      <c r="A5" s="1">
        <v>44148</v>
      </c>
      <c r="B5" s="2" t="s">
        <v>4</v>
      </c>
      <c r="C5">
        <v>10380</v>
      </c>
      <c r="D5">
        <v>103</v>
      </c>
      <c r="E5">
        <v>1847</v>
      </c>
      <c r="F5">
        <v>8284</v>
      </c>
      <c r="G5">
        <v>117</v>
      </c>
      <c r="H5">
        <v>24</v>
      </c>
      <c r="I5">
        <v>179335</v>
      </c>
      <c r="J5">
        <v>68794</v>
      </c>
      <c r="K5">
        <v>252</v>
      </c>
      <c r="L5">
        <v>4</v>
      </c>
      <c r="M5">
        <v>3</v>
      </c>
    </row>
    <row r="6" spans="1:13" hidden="1" x14ac:dyDescent="0.3">
      <c r="A6" s="1">
        <v>44149</v>
      </c>
      <c r="B6" s="2" t="s">
        <v>4</v>
      </c>
      <c r="C6">
        <v>10485</v>
      </c>
      <c r="D6">
        <v>104</v>
      </c>
      <c r="E6">
        <v>1820</v>
      </c>
      <c r="F6">
        <v>8415</v>
      </c>
      <c r="G6">
        <v>120</v>
      </c>
      <c r="H6">
        <v>28</v>
      </c>
      <c r="I6">
        <v>180819</v>
      </c>
      <c r="J6">
        <v>68856</v>
      </c>
      <c r="K6">
        <v>253</v>
      </c>
      <c r="L6">
        <v>5</v>
      </c>
      <c r="M6">
        <v>4</v>
      </c>
    </row>
    <row r="7" spans="1:13" hidden="1" x14ac:dyDescent="0.3">
      <c r="A7" s="1">
        <v>44150</v>
      </c>
      <c r="B7" s="2" t="s">
        <v>4</v>
      </c>
      <c r="C7">
        <v>10590</v>
      </c>
      <c r="D7">
        <v>104</v>
      </c>
      <c r="E7">
        <v>1840</v>
      </c>
      <c r="F7">
        <v>8500</v>
      </c>
      <c r="G7">
        <v>130</v>
      </c>
      <c r="H7">
        <v>31</v>
      </c>
      <c r="I7">
        <v>182085</v>
      </c>
      <c r="J7">
        <v>68920</v>
      </c>
      <c r="K7">
        <v>253</v>
      </c>
      <c r="L7">
        <v>6</v>
      </c>
      <c r="M7">
        <v>5</v>
      </c>
    </row>
    <row r="8" spans="1:13" hidden="1" x14ac:dyDescent="0.3">
      <c r="A8" s="1">
        <v>44151</v>
      </c>
      <c r="B8" s="2" t="s">
        <v>4</v>
      </c>
      <c r="C8">
        <v>10659</v>
      </c>
      <c r="D8">
        <v>63</v>
      </c>
      <c r="E8">
        <v>1835</v>
      </c>
      <c r="F8">
        <v>8574</v>
      </c>
      <c r="G8">
        <v>131</v>
      </c>
      <c r="H8">
        <v>31</v>
      </c>
      <c r="I8">
        <v>182732</v>
      </c>
      <c r="J8">
        <v>69095</v>
      </c>
      <c r="K8">
        <v>253</v>
      </c>
      <c r="L8">
        <v>7</v>
      </c>
      <c r="M8">
        <v>6</v>
      </c>
    </row>
    <row r="9" spans="1:13" hidden="1" x14ac:dyDescent="0.3">
      <c r="A9" s="1">
        <v>44152</v>
      </c>
      <c r="B9" s="2" t="s">
        <v>4</v>
      </c>
      <c r="C9">
        <v>10788</v>
      </c>
      <c r="D9">
        <v>122</v>
      </c>
      <c r="E9">
        <v>1876</v>
      </c>
      <c r="F9">
        <v>8660</v>
      </c>
      <c r="G9">
        <v>127</v>
      </c>
      <c r="H9">
        <v>30</v>
      </c>
      <c r="I9">
        <v>184180</v>
      </c>
      <c r="J9">
        <v>69798</v>
      </c>
      <c r="K9">
        <v>255</v>
      </c>
      <c r="L9">
        <v>8</v>
      </c>
      <c r="M9">
        <v>7</v>
      </c>
    </row>
    <row r="10" spans="1:13" hidden="1" x14ac:dyDescent="0.3">
      <c r="A10" s="1">
        <v>44153</v>
      </c>
      <c r="B10" s="2" t="s">
        <v>4</v>
      </c>
      <c r="C10">
        <v>10913</v>
      </c>
      <c r="D10">
        <v>122</v>
      </c>
      <c r="E10">
        <v>1888</v>
      </c>
      <c r="F10">
        <v>8770</v>
      </c>
      <c r="G10">
        <v>139</v>
      </c>
      <c r="H10">
        <v>29</v>
      </c>
      <c r="I10">
        <v>185484</v>
      </c>
      <c r="J10">
        <v>70076</v>
      </c>
      <c r="K10">
        <v>258</v>
      </c>
      <c r="L10">
        <v>9</v>
      </c>
      <c r="M10">
        <v>8</v>
      </c>
    </row>
    <row r="11" spans="1:13" hidden="1" x14ac:dyDescent="0.3">
      <c r="A11" s="1">
        <v>44154</v>
      </c>
      <c r="B11" s="2" t="s">
        <v>4</v>
      </c>
      <c r="C11">
        <v>11018</v>
      </c>
      <c r="D11">
        <v>102</v>
      </c>
      <c r="E11">
        <v>1869</v>
      </c>
      <c r="F11">
        <v>8893</v>
      </c>
      <c r="G11">
        <v>143</v>
      </c>
      <c r="H11">
        <v>29</v>
      </c>
      <c r="I11">
        <v>186802</v>
      </c>
      <c r="J11">
        <v>70265</v>
      </c>
      <c r="K11">
        <v>259</v>
      </c>
      <c r="L11">
        <v>10</v>
      </c>
      <c r="M11">
        <v>9</v>
      </c>
    </row>
    <row r="12" spans="1:13" hidden="1" x14ac:dyDescent="0.3">
      <c r="A12" s="1">
        <v>44155</v>
      </c>
      <c r="B12" s="2" t="s">
        <v>4</v>
      </c>
      <c r="C12">
        <v>11136</v>
      </c>
      <c r="D12">
        <v>110</v>
      </c>
      <c r="E12">
        <v>1854</v>
      </c>
      <c r="F12">
        <v>9024</v>
      </c>
      <c r="G12">
        <v>133</v>
      </c>
      <c r="H12">
        <v>29</v>
      </c>
      <c r="I12">
        <v>188277</v>
      </c>
      <c r="J12">
        <v>70541</v>
      </c>
      <c r="K12">
        <v>261</v>
      </c>
      <c r="L12">
        <v>11</v>
      </c>
      <c r="M12">
        <v>10</v>
      </c>
    </row>
    <row r="13" spans="1:13" hidden="1" x14ac:dyDescent="0.3">
      <c r="A13" s="1">
        <v>44156</v>
      </c>
      <c r="B13" s="2" t="s">
        <v>4</v>
      </c>
      <c r="C13">
        <v>11264</v>
      </c>
      <c r="D13">
        <v>125</v>
      </c>
      <c r="E13">
        <v>1842</v>
      </c>
      <c r="F13">
        <v>9164</v>
      </c>
      <c r="G13">
        <v>138</v>
      </c>
      <c r="H13">
        <v>29</v>
      </c>
      <c r="I13">
        <v>189726</v>
      </c>
      <c r="J13">
        <v>70656</v>
      </c>
      <c r="K13">
        <v>261</v>
      </c>
      <c r="L13">
        <v>12</v>
      </c>
      <c r="M13">
        <v>11</v>
      </c>
    </row>
    <row r="14" spans="1:13" hidden="1" x14ac:dyDescent="0.3">
      <c r="A14" s="1">
        <v>44157</v>
      </c>
      <c r="B14" s="2" t="s">
        <v>4</v>
      </c>
      <c r="C14">
        <v>11333</v>
      </c>
      <c r="D14">
        <v>68</v>
      </c>
      <c r="E14">
        <v>1798</v>
      </c>
      <c r="F14">
        <v>9273</v>
      </c>
      <c r="G14">
        <v>141</v>
      </c>
      <c r="H14">
        <v>30</v>
      </c>
      <c r="I14">
        <v>191179</v>
      </c>
      <c r="J14">
        <v>70698</v>
      </c>
      <c r="K14">
        <v>265</v>
      </c>
      <c r="L14">
        <v>13</v>
      </c>
      <c r="M14">
        <v>12</v>
      </c>
    </row>
    <row r="15" spans="1:13" hidden="1" x14ac:dyDescent="0.3">
      <c r="A15" s="1">
        <v>44158</v>
      </c>
      <c r="B15" s="2" t="s">
        <v>4</v>
      </c>
      <c r="C15">
        <v>11391</v>
      </c>
      <c r="D15">
        <v>53</v>
      </c>
      <c r="E15">
        <v>1759</v>
      </c>
      <c r="F15">
        <v>9365</v>
      </c>
      <c r="G15">
        <v>137</v>
      </c>
      <c r="H15">
        <v>31</v>
      </c>
      <c r="I15">
        <v>191850</v>
      </c>
      <c r="J15">
        <v>70874</v>
      </c>
      <c r="K15">
        <v>270</v>
      </c>
      <c r="L15">
        <v>14</v>
      </c>
      <c r="M15">
        <v>13</v>
      </c>
    </row>
    <row r="16" spans="1:13" hidden="1" x14ac:dyDescent="0.3">
      <c r="A16" s="1">
        <v>44159</v>
      </c>
      <c r="B16" s="2" t="s">
        <v>4</v>
      </c>
      <c r="C16">
        <v>11498</v>
      </c>
      <c r="D16">
        <v>100</v>
      </c>
      <c r="E16">
        <v>1766</v>
      </c>
      <c r="F16">
        <v>9462</v>
      </c>
      <c r="G16">
        <v>126</v>
      </c>
      <c r="H16">
        <v>35</v>
      </c>
      <c r="I16">
        <v>193074</v>
      </c>
      <c r="J16">
        <v>71185</v>
      </c>
      <c r="K16">
        <v>273</v>
      </c>
      <c r="L16">
        <v>15</v>
      </c>
      <c r="M16">
        <v>14</v>
      </c>
    </row>
    <row r="17" spans="1:13" hidden="1" x14ac:dyDescent="0.3">
      <c r="A17" s="1">
        <v>44160</v>
      </c>
      <c r="B17" s="2" t="s">
        <v>4</v>
      </c>
      <c r="C17">
        <v>11591</v>
      </c>
      <c r="D17">
        <v>86</v>
      </c>
      <c r="E17">
        <v>1743</v>
      </c>
      <c r="F17">
        <v>9577</v>
      </c>
      <c r="G17">
        <v>123</v>
      </c>
      <c r="H17">
        <v>32</v>
      </c>
      <c r="I17">
        <v>194773</v>
      </c>
      <c r="J17">
        <v>71453</v>
      </c>
      <c r="K17">
        <v>274</v>
      </c>
      <c r="L17">
        <v>16</v>
      </c>
      <c r="M17">
        <v>15</v>
      </c>
    </row>
    <row r="18" spans="1:13" hidden="1" x14ac:dyDescent="0.3">
      <c r="A18" s="1">
        <v>44161</v>
      </c>
      <c r="B18" s="2" t="s">
        <v>4</v>
      </c>
      <c r="C18">
        <v>11692</v>
      </c>
      <c r="D18">
        <v>91</v>
      </c>
      <c r="E18">
        <v>1724</v>
      </c>
      <c r="F18">
        <v>9696</v>
      </c>
      <c r="G18">
        <v>115</v>
      </c>
      <c r="H18">
        <v>33</v>
      </c>
      <c r="I18">
        <v>196416</v>
      </c>
      <c r="J18">
        <v>71736</v>
      </c>
      <c r="K18">
        <v>275</v>
      </c>
      <c r="L18">
        <v>17</v>
      </c>
      <c r="M18">
        <v>16</v>
      </c>
    </row>
    <row r="19" spans="1:13" hidden="1" x14ac:dyDescent="0.3">
      <c r="A19" s="1">
        <v>44162</v>
      </c>
      <c r="B19" s="2" t="s">
        <v>4</v>
      </c>
      <c r="C19">
        <v>11772</v>
      </c>
      <c r="D19">
        <v>73</v>
      </c>
      <c r="E19">
        <v>1697</v>
      </c>
      <c r="F19">
        <v>9800</v>
      </c>
      <c r="G19">
        <v>112</v>
      </c>
      <c r="H19">
        <v>33</v>
      </c>
      <c r="I19">
        <v>198065</v>
      </c>
      <c r="J19">
        <v>71984</v>
      </c>
      <c r="K19">
        <v>278</v>
      </c>
      <c r="L19">
        <v>18</v>
      </c>
      <c r="M19">
        <v>17</v>
      </c>
    </row>
    <row r="20" spans="1:13" hidden="1" x14ac:dyDescent="0.3">
      <c r="A20" s="1">
        <v>44163</v>
      </c>
      <c r="B20" s="2" t="s">
        <v>4</v>
      </c>
      <c r="C20">
        <v>11843</v>
      </c>
      <c r="D20">
        <v>63</v>
      </c>
      <c r="E20">
        <v>1675</v>
      </c>
      <c r="F20">
        <v>9893</v>
      </c>
      <c r="G20">
        <v>104</v>
      </c>
      <c r="H20">
        <v>32</v>
      </c>
      <c r="I20">
        <v>199255</v>
      </c>
      <c r="J20">
        <v>72122</v>
      </c>
      <c r="K20">
        <v>278</v>
      </c>
      <c r="L20">
        <v>19</v>
      </c>
      <c r="M20">
        <v>18</v>
      </c>
    </row>
    <row r="21" spans="1:13" hidden="1" x14ac:dyDescent="0.3">
      <c r="A21" s="1">
        <v>44164</v>
      </c>
      <c r="B21" s="2" t="s">
        <v>4</v>
      </c>
      <c r="C21">
        <v>11906</v>
      </c>
      <c r="D21">
        <v>62</v>
      </c>
      <c r="E21">
        <v>1659</v>
      </c>
      <c r="F21">
        <v>9970</v>
      </c>
      <c r="G21">
        <v>110</v>
      </c>
      <c r="H21">
        <v>28</v>
      </c>
      <c r="I21">
        <v>200166</v>
      </c>
      <c r="J21">
        <v>72194</v>
      </c>
      <c r="K21">
        <v>280</v>
      </c>
      <c r="L21">
        <v>20</v>
      </c>
      <c r="M21">
        <v>19</v>
      </c>
    </row>
    <row r="22" spans="1:13" hidden="1" x14ac:dyDescent="0.3">
      <c r="A22" s="1">
        <v>44165</v>
      </c>
      <c r="B22" s="2" t="s">
        <v>4</v>
      </c>
      <c r="C22">
        <v>11948</v>
      </c>
      <c r="D22">
        <v>36</v>
      </c>
      <c r="E22">
        <v>1606</v>
      </c>
      <c r="F22">
        <v>10064</v>
      </c>
      <c r="G22">
        <v>107</v>
      </c>
      <c r="H22">
        <v>22</v>
      </c>
      <c r="I22">
        <v>200652</v>
      </c>
      <c r="J22">
        <v>72389</v>
      </c>
      <c r="K22">
        <v>282</v>
      </c>
      <c r="L22">
        <v>21</v>
      </c>
      <c r="M22">
        <v>20</v>
      </c>
    </row>
    <row r="23" spans="1:13" hidden="1" x14ac:dyDescent="0.3">
      <c r="A23" s="1">
        <v>44166</v>
      </c>
      <c r="B23" s="2" t="s">
        <v>4</v>
      </c>
      <c r="C23">
        <v>12016</v>
      </c>
      <c r="D23">
        <v>52</v>
      </c>
      <c r="E23">
        <v>1575</v>
      </c>
      <c r="F23">
        <v>10160</v>
      </c>
      <c r="G23">
        <v>106</v>
      </c>
      <c r="H23">
        <v>22</v>
      </c>
      <c r="I23">
        <v>201862</v>
      </c>
      <c r="J23">
        <v>72618</v>
      </c>
      <c r="K23">
        <v>285</v>
      </c>
      <c r="L23">
        <v>22</v>
      </c>
      <c r="M23">
        <v>21</v>
      </c>
    </row>
    <row r="24" spans="1:13" hidden="1" x14ac:dyDescent="0.3">
      <c r="A24" s="1">
        <v>44167</v>
      </c>
      <c r="B24" s="2" t="s">
        <v>4</v>
      </c>
      <c r="C24">
        <v>12079</v>
      </c>
      <c r="D24">
        <v>61</v>
      </c>
      <c r="E24">
        <v>1525</v>
      </c>
      <c r="F24">
        <v>10271</v>
      </c>
      <c r="G24">
        <v>103</v>
      </c>
      <c r="H24">
        <v>23</v>
      </c>
      <c r="I24">
        <v>202865</v>
      </c>
      <c r="J24">
        <v>72853</v>
      </c>
      <c r="K24">
        <v>287</v>
      </c>
      <c r="L24">
        <v>23</v>
      </c>
      <c r="M24">
        <v>22</v>
      </c>
    </row>
    <row r="25" spans="1:13" hidden="1" x14ac:dyDescent="0.3">
      <c r="A25" s="1">
        <v>44168</v>
      </c>
      <c r="B25" s="2" t="s">
        <v>4</v>
      </c>
      <c r="C25">
        <v>12137</v>
      </c>
      <c r="D25">
        <v>53</v>
      </c>
      <c r="E25">
        <v>1472</v>
      </c>
      <c r="F25">
        <v>10380</v>
      </c>
      <c r="G25">
        <v>106</v>
      </c>
      <c r="H25">
        <v>21</v>
      </c>
      <c r="I25">
        <v>203721</v>
      </c>
      <c r="J25">
        <v>73075</v>
      </c>
      <c r="K25">
        <v>289</v>
      </c>
      <c r="L25">
        <v>24</v>
      </c>
      <c r="M25">
        <v>23</v>
      </c>
    </row>
    <row r="26" spans="1:13" hidden="1" x14ac:dyDescent="0.3">
      <c r="A26" s="1">
        <v>44169</v>
      </c>
      <c r="B26" s="2" t="s">
        <v>4</v>
      </c>
      <c r="C26">
        <v>12214</v>
      </c>
      <c r="D26">
        <v>68</v>
      </c>
      <c r="E26">
        <v>1430</v>
      </c>
      <c r="F26">
        <v>10497</v>
      </c>
      <c r="G26">
        <v>103</v>
      </c>
      <c r="H26">
        <v>22</v>
      </c>
      <c r="I26">
        <v>204705</v>
      </c>
      <c r="J26">
        <v>73260</v>
      </c>
      <c r="K26">
        <v>291</v>
      </c>
      <c r="L26">
        <v>25</v>
      </c>
      <c r="M26">
        <v>24</v>
      </c>
    </row>
    <row r="27" spans="1:13" hidden="1" x14ac:dyDescent="0.3">
      <c r="A27" s="1">
        <v>44170</v>
      </c>
      <c r="B27" s="2" t="s">
        <v>4</v>
      </c>
      <c r="C27">
        <v>12254</v>
      </c>
      <c r="D27">
        <v>40</v>
      </c>
      <c r="E27">
        <v>1376</v>
      </c>
      <c r="F27">
        <v>10591</v>
      </c>
      <c r="G27">
        <v>97</v>
      </c>
      <c r="H27">
        <v>23</v>
      </c>
      <c r="I27">
        <v>205739</v>
      </c>
      <c r="J27">
        <v>73340</v>
      </c>
      <c r="K27">
        <v>291</v>
      </c>
      <c r="L27">
        <v>26</v>
      </c>
      <c r="M27">
        <v>25</v>
      </c>
    </row>
    <row r="28" spans="1:13" hidden="1" x14ac:dyDescent="0.3">
      <c r="A28" s="1">
        <v>44171</v>
      </c>
      <c r="B28" s="2" t="s">
        <v>4</v>
      </c>
      <c r="C28">
        <v>12307</v>
      </c>
      <c r="D28">
        <v>52</v>
      </c>
      <c r="E28">
        <v>1349</v>
      </c>
      <c r="F28">
        <v>10671</v>
      </c>
      <c r="G28">
        <v>98</v>
      </c>
      <c r="H28">
        <v>22</v>
      </c>
      <c r="I28">
        <v>206505</v>
      </c>
      <c r="J28">
        <v>73398</v>
      </c>
      <c r="K28">
        <v>291</v>
      </c>
      <c r="L28">
        <v>27</v>
      </c>
      <c r="M28">
        <v>26</v>
      </c>
    </row>
    <row r="29" spans="1:13" hidden="1" x14ac:dyDescent="0.3">
      <c r="A29" s="1">
        <v>44172</v>
      </c>
      <c r="B29" s="2" t="s">
        <v>4</v>
      </c>
      <c r="C29">
        <v>12344</v>
      </c>
      <c r="D29">
        <v>26</v>
      </c>
      <c r="E29">
        <v>1244</v>
      </c>
      <c r="F29">
        <v>10811</v>
      </c>
      <c r="G29">
        <v>87</v>
      </c>
      <c r="H29">
        <v>17</v>
      </c>
      <c r="I29">
        <v>206951</v>
      </c>
      <c r="J29">
        <v>73566</v>
      </c>
      <c r="K29">
        <v>293</v>
      </c>
      <c r="L29">
        <v>28</v>
      </c>
      <c r="M29">
        <v>27</v>
      </c>
    </row>
    <row r="30" spans="1:13" hidden="1" x14ac:dyDescent="0.3">
      <c r="A30" s="1">
        <v>44173</v>
      </c>
      <c r="B30" s="2" t="s">
        <v>4</v>
      </c>
      <c r="C30">
        <v>12391</v>
      </c>
      <c r="D30">
        <v>45</v>
      </c>
      <c r="E30">
        <v>1193</v>
      </c>
      <c r="F30">
        <v>10909</v>
      </c>
      <c r="G30">
        <v>84</v>
      </c>
      <c r="H30">
        <v>16</v>
      </c>
      <c r="I30">
        <v>208362</v>
      </c>
      <c r="J30">
        <v>73636</v>
      </c>
      <c r="K30">
        <v>293</v>
      </c>
      <c r="L30">
        <v>29</v>
      </c>
      <c r="M30">
        <v>28</v>
      </c>
    </row>
    <row r="31" spans="1:13" hidden="1" x14ac:dyDescent="0.3">
      <c r="A31" s="1">
        <v>44174</v>
      </c>
      <c r="B31" s="2" t="s">
        <v>4</v>
      </c>
      <c r="C31">
        <v>12434</v>
      </c>
      <c r="D31">
        <v>35</v>
      </c>
      <c r="E31">
        <v>1146</v>
      </c>
      <c r="F31">
        <v>10999</v>
      </c>
      <c r="G31">
        <v>76</v>
      </c>
      <c r="H31">
        <v>14</v>
      </c>
      <c r="I31">
        <v>209050</v>
      </c>
      <c r="J31">
        <v>73846</v>
      </c>
      <c r="K31">
        <v>293</v>
      </c>
      <c r="L31">
        <v>30</v>
      </c>
      <c r="M31">
        <v>29</v>
      </c>
    </row>
    <row r="32" spans="1:13" hidden="1" x14ac:dyDescent="0.3">
      <c r="A32" s="1">
        <v>44175</v>
      </c>
      <c r="B32" s="2" t="s">
        <v>4</v>
      </c>
      <c r="C32">
        <v>12477</v>
      </c>
      <c r="D32">
        <v>34</v>
      </c>
      <c r="E32">
        <v>1093</v>
      </c>
      <c r="F32">
        <v>11095</v>
      </c>
      <c r="G32">
        <v>78</v>
      </c>
      <c r="H32">
        <v>13</v>
      </c>
      <c r="I32">
        <v>210400</v>
      </c>
      <c r="J32">
        <v>74050</v>
      </c>
      <c r="K32">
        <v>293</v>
      </c>
      <c r="L32">
        <v>31</v>
      </c>
      <c r="M32">
        <v>30</v>
      </c>
    </row>
    <row r="33" spans="1:13" hidden="1" x14ac:dyDescent="0.3">
      <c r="A33" s="1">
        <v>44176</v>
      </c>
      <c r="B33" s="2" t="s">
        <v>4</v>
      </c>
      <c r="C33">
        <v>12528</v>
      </c>
      <c r="D33">
        <v>43</v>
      </c>
      <c r="E33">
        <v>1017</v>
      </c>
      <c r="F33">
        <v>11219</v>
      </c>
      <c r="G33">
        <v>74</v>
      </c>
      <c r="H33">
        <v>13</v>
      </c>
      <c r="I33">
        <v>211869</v>
      </c>
      <c r="J33">
        <v>74253</v>
      </c>
      <c r="K33">
        <v>296</v>
      </c>
      <c r="L33">
        <v>32</v>
      </c>
      <c r="M33">
        <v>31</v>
      </c>
    </row>
    <row r="34" spans="1:13" hidden="1" x14ac:dyDescent="0.3">
      <c r="A34" s="1">
        <v>44177</v>
      </c>
      <c r="B34" s="2" t="s">
        <v>4</v>
      </c>
      <c r="C34">
        <v>12570</v>
      </c>
      <c r="D34">
        <v>41</v>
      </c>
      <c r="E34">
        <v>993</v>
      </c>
      <c r="F34">
        <v>11285</v>
      </c>
      <c r="G34">
        <v>74</v>
      </c>
      <c r="H34">
        <v>13</v>
      </c>
      <c r="I34">
        <v>213048</v>
      </c>
      <c r="J34">
        <v>74334</v>
      </c>
      <c r="K34">
        <v>296</v>
      </c>
      <c r="L34">
        <v>33</v>
      </c>
      <c r="M34">
        <v>32</v>
      </c>
    </row>
    <row r="35" spans="1:13" hidden="1" x14ac:dyDescent="0.3">
      <c r="A35" s="1">
        <v>44178</v>
      </c>
      <c r="B35" s="2" t="s">
        <v>4</v>
      </c>
      <c r="C35">
        <v>12635</v>
      </c>
      <c r="D35">
        <v>61</v>
      </c>
      <c r="E35">
        <v>955</v>
      </c>
      <c r="F35">
        <v>11386</v>
      </c>
      <c r="G35">
        <v>75</v>
      </c>
      <c r="H35">
        <v>13</v>
      </c>
      <c r="I35">
        <v>213772</v>
      </c>
      <c r="J35">
        <v>74419</v>
      </c>
      <c r="K35">
        <v>298</v>
      </c>
      <c r="L35">
        <v>34</v>
      </c>
      <c r="M35">
        <v>33</v>
      </c>
    </row>
    <row r="36" spans="1:13" hidden="1" x14ac:dyDescent="0.3">
      <c r="A36" s="1">
        <v>44179</v>
      </c>
      <c r="B36" s="2" t="s">
        <v>4</v>
      </c>
      <c r="C36">
        <v>12656</v>
      </c>
      <c r="D36">
        <v>17</v>
      </c>
      <c r="E36">
        <v>929</v>
      </c>
      <c r="F36">
        <v>11431</v>
      </c>
      <c r="G36">
        <v>72</v>
      </c>
      <c r="H36">
        <v>14</v>
      </c>
      <c r="I36">
        <v>214113</v>
      </c>
      <c r="J36">
        <v>74593</v>
      </c>
      <c r="K36">
        <v>300</v>
      </c>
      <c r="L36">
        <v>35</v>
      </c>
      <c r="M36">
        <v>34</v>
      </c>
    </row>
    <row r="37" spans="1:13" hidden="1" x14ac:dyDescent="0.3">
      <c r="A37" s="1">
        <v>44180</v>
      </c>
      <c r="B37" s="2" t="s">
        <v>4</v>
      </c>
      <c r="C37">
        <v>12701</v>
      </c>
      <c r="D37">
        <v>40</v>
      </c>
      <c r="E37">
        <v>907</v>
      </c>
      <c r="F37">
        <v>11497</v>
      </c>
      <c r="G37">
        <v>63</v>
      </c>
      <c r="H37">
        <v>13</v>
      </c>
      <c r="I37">
        <v>215114</v>
      </c>
      <c r="J37">
        <v>74812</v>
      </c>
      <c r="K37">
        <v>301</v>
      </c>
      <c r="L37">
        <v>36</v>
      </c>
      <c r="M37">
        <v>35</v>
      </c>
    </row>
    <row r="38" spans="1:13" hidden="1" x14ac:dyDescent="0.3">
      <c r="A38" s="1">
        <v>44181</v>
      </c>
      <c r="B38" s="2" t="s">
        <v>4</v>
      </c>
      <c r="C38">
        <v>12762</v>
      </c>
      <c r="D38">
        <v>53</v>
      </c>
      <c r="E38">
        <v>899</v>
      </c>
      <c r="F38">
        <v>11564</v>
      </c>
      <c r="G38">
        <v>69</v>
      </c>
      <c r="H38">
        <v>12</v>
      </c>
      <c r="I38">
        <v>215987</v>
      </c>
      <c r="J38">
        <v>75008</v>
      </c>
      <c r="K38">
        <v>303</v>
      </c>
      <c r="L38">
        <v>37</v>
      </c>
      <c r="M38">
        <v>36</v>
      </c>
    </row>
    <row r="39" spans="1:13" hidden="1" x14ac:dyDescent="0.3">
      <c r="A39" s="1">
        <v>44182</v>
      </c>
      <c r="B39" s="2" t="s">
        <v>4</v>
      </c>
      <c r="C39">
        <v>12806</v>
      </c>
      <c r="D39">
        <v>46</v>
      </c>
      <c r="E39">
        <v>861</v>
      </c>
      <c r="F39">
        <v>11644</v>
      </c>
      <c r="G39">
        <v>64</v>
      </c>
      <c r="H39">
        <v>14</v>
      </c>
      <c r="I39">
        <v>216767</v>
      </c>
      <c r="J39">
        <v>75203</v>
      </c>
      <c r="K39">
        <v>305</v>
      </c>
      <c r="L39">
        <v>38</v>
      </c>
      <c r="M39">
        <v>37</v>
      </c>
    </row>
    <row r="40" spans="1:13" hidden="1" x14ac:dyDescent="0.3">
      <c r="A40" s="1">
        <v>44183</v>
      </c>
      <c r="B40" s="2" t="s">
        <v>4</v>
      </c>
      <c r="C40">
        <v>12883</v>
      </c>
      <c r="D40">
        <v>69</v>
      </c>
      <c r="E40">
        <v>870</v>
      </c>
      <c r="F40">
        <v>11712</v>
      </c>
      <c r="G40">
        <v>58</v>
      </c>
      <c r="H40">
        <v>14</v>
      </c>
      <c r="I40">
        <v>218024</v>
      </c>
      <c r="J40">
        <v>75419</v>
      </c>
      <c r="K40">
        <v>305</v>
      </c>
      <c r="L40">
        <v>39</v>
      </c>
      <c r="M40">
        <v>38</v>
      </c>
    </row>
    <row r="41" spans="1:13" hidden="1" x14ac:dyDescent="0.3">
      <c r="A41" s="1">
        <v>44184</v>
      </c>
      <c r="B41" s="2" t="s">
        <v>4</v>
      </c>
      <c r="C41">
        <v>12950</v>
      </c>
      <c r="D41">
        <v>64</v>
      </c>
      <c r="E41">
        <v>887</v>
      </c>
      <c r="F41">
        <v>11762</v>
      </c>
      <c r="G41">
        <v>59</v>
      </c>
      <c r="H41">
        <v>14</v>
      </c>
      <c r="I41">
        <v>218913</v>
      </c>
      <c r="J41">
        <v>75492</v>
      </c>
      <c r="K41">
        <v>305</v>
      </c>
      <c r="L41">
        <v>40</v>
      </c>
      <c r="M41">
        <v>39</v>
      </c>
    </row>
    <row r="42" spans="1:13" hidden="1" x14ac:dyDescent="0.3">
      <c r="A42" s="1">
        <v>44185</v>
      </c>
      <c r="B42" s="2" t="s">
        <v>4</v>
      </c>
      <c r="C42">
        <v>13003</v>
      </c>
      <c r="D42">
        <v>46</v>
      </c>
      <c r="E42">
        <v>882</v>
      </c>
      <c r="F42">
        <v>11820</v>
      </c>
      <c r="G42">
        <v>60</v>
      </c>
      <c r="H42">
        <v>14</v>
      </c>
      <c r="I42">
        <v>219933</v>
      </c>
      <c r="J42">
        <v>75586</v>
      </c>
      <c r="K42">
        <v>305</v>
      </c>
      <c r="L42">
        <v>41</v>
      </c>
      <c r="M42">
        <v>40</v>
      </c>
    </row>
    <row r="43" spans="1:13" hidden="1" x14ac:dyDescent="0.3">
      <c r="A43" s="1">
        <v>44186</v>
      </c>
      <c r="B43" s="2" t="s">
        <v>4</v>
      </c>
      <c r="C43">
        <v>13026</v>
      </c>
      <c r="D43">
        <v>10</v>
      </c>
      <c r="E43">
        <v>866</v>
      </c>
      <c r="F43">
        <v>11859</v>
      </c>
      <c r="G43">
        <v>63</v>
      </c>
      <c r="H43">
        <v>15</v>
      </c>
      <c r="I43">
        <v>220477</v>
      </c>
      <c r="J43">
        <v>75831</v>
      </c>
      <c r="K43">
        <v>305</v>
      </c>
      <c r="L43">
        <v>42</v>
      </c>
      <c r="M43">
        <v>41</v>
      </c>
    </row>
    <row r="44" spans="1:13" hidden="1" x14ac:dyDescent="0.3">
      <c r="A44" s="1">
        <v>44187</v>
      </c>
      <c r="B44" s="2" t="s">
        <v>4</v>
      </c>
      <c r="C44">
        <v>13090</v>
      </c>
      <c r="D44">
        <v>68</v>
      </c>
      <c r="E44">
        <v>880</v>
      </c>
      <c r="F44">
        <v>11909</v>
      </c>
      <c r="G44">
        <v>56</v>
      </c>
      <c r="H44">
        <v>15</v>
      </c>
      <c r="I44">
        <v>222182</v>
      </c>
      <c r="J44">
        <v>76028</v>
      </c>
      <c r="K44">
        <v>305</v>
      </c>
      <c r="L44">
        <v>43</v>
      </c>
      <c r="M44">
        <v>42</v>
      </c>
    </row>
    <row r="45" spans="1:13" hidden="1" x14ac:dyDescent="0.3">
      <c r="A45" s="1">
        <v>44188</v>
      </c>
      <c r="B45" s="2" t="s">
        <v>4</v>
      </c>
      <c r="C45">
        <v>13150</v>
      </c>
      <c r="D45">
        <v>41</v>
      </c>
      <c r="E45">
        <v>878</v>
      </c>
      <c r="F45">
        <v>11971</v>
      </c>
      <c r="G45">
        <v>55</v>
      </c>
      <c r="H45">
        <v>17</v>
      </c>
      <c r="I45">
        <v>224846</v>
      </c>
      <c r="J45">
        <v>76244</v>
      </c>
      <c r="K45">
        <v>305</v>
      </c>
      <c r="L45">
        <v>44</v>
      </c>
      <c r="M45">
        <v>43</v>
      </c>
    </row>
    <row r="46" spans="1:13" hidden="1" x14ac:dyDescent="0.3">
      <c r="A46" s="1">
        <v>44189</v>
      </c>
      <c r="B46" s="2" t="s">
        <v>4</v>
      </c>
      <c r="C46">
        <v>13217</v>
      </c>
      <c r="D46">
        <v>64</v>
      </c>
      <c r="E46">
        <v>899</v>
      </c>
      <c r="F46">
        <v>12017</v>
      </c>
      <c r="G46">
        <v>56</v>
      </c>
      <c r="H46">
        <v>18</v>
      </c>
      <c r="I46">
        <v>227089</v>
      </c>
      <c r="J46">
        <v>76462</v>
      </c>
      <c r="K46">
        <v>305</v>
      </c>
      <c r="L46">
        <v>45</v>
      </c>
      <c r="M46">
        <v>44</v>
      </c>
    </row>
    <row r="47" spans="1:13" hidden="1" x14ac:dyDescent="0.3">
      <c r="A47" s="1">
        <v>44190</v>
      </c>
      <c r="B47" s="2" t="s">
        <v>4</v>
      </c>
      <c r="C47">
        <v>13276</v>
      </c>
      <c r="D47">
        <v>61</v>
      </c>
      <c r="E47">
        <v>901</v>
      </c>
      <c r="F47">
        <v>12072</v>
      </c>
      <c r="G47">
        <v>56</v>
      </c>
      <c r="H47">
        <v>17</v>
      </c>
      <c r="I47">
        <v>228245</v>
      </c>
      <c r="J47">
        <v>76537</v>
      </c>
      <c r="K47">
        <v>307</v>
      </c>
      <c r="L47">
        <v>46</v>
      </c>
      <c r="M47">
        <v>45</v>
      </c>
    </row>
    <row r="48" spans="1:13" hidden="1" x14ac:dyDescent="0.3">
      <c r="A48" s="1">
        <v>44191</v>
      </c>
      <c r="B48" s="2" t="s">
        <v>4</v>
      </c>
      <c r="C48">
        <v>13312</v>
      </c>
      <c r="D48">
        <v>32</v>
      </c>
      <c r="E48">
        <v>873</v>
      </c>
      <c r="F48">
        <v>12136</v>
      </c>
      <c r="G48">
        <v>61</v>
      </c>
      <c r="H48">
        <v>18</v>
      </c>
      <c r="I48">
        <v>228586</v>
      </c>
      <c r="J48">
        <v>76600</v>
      </c>
      <c r="K48">
        <v>307</v>
      </c>
      <c r="L48">
        <v>47</v>
      </c>
      <c r="M48">
        <v>46</v>
      </c>
    </row>
    <row r="49" spans="1:13" hidden="1" x14ac:dyDescent="0.3">
      <c r="A49" s="1">
        <v>44192</v>
      </c>
      <c r="B49" s="2" t="s">
        <v>4</v>
      </c>
      <c r="C49">
        <v>13360</v>
      </c>
      <c r="D49">
        <v>50</v>
      </c>
      <c r="E49">
        <v>860</v>
      </c>
      <c r="F49">
        <v>12197</v>
      </c>
      <c r="G49">
        <v>66</v>
      </c>
      <c r="H49">
        <v>17</v>
      </c>
      <c r="I49">
        <v>229720</v>
      </c>
      <c r="J49">
        <v>76680</v>
      </c>
      <c r="K49">
        <v>307</v>
      </c>
      <c r="L49">
        <v>48</v>
      </c>
      <c r="M49">
        <v>47</v>
      </c>
    </row>
    <row r="50" spans="1:13" hidden="1" x14ac:dyDescent="0.3">
      <c r="A50" s="1">
        <v>44193</v>
      </c>
      <c r="B50" s="2" t="s">
        <v>4</v>
      </c>
      <c r="C50">
        <v>13414</v>
      </c>
      <c r="D50">
        <v>42</v>
      </c>
      <c r="E50">
        <v>884</v>
      </c>
      <c r="F50">
        <v>12223</v>
      </c>
      <c r="G50">
        <v>71</v>
      </c>
      <c r="H50">
        <v>18</v>
      </c>
      <c r="I50">
        <v>230377</v>
      </c>
      <c r="J50">
        <v>76850</v>
      </c>
      <c r="K50">
        <v>311</v>
      </c>
      <c r="L50">
        <v>49</v>
      </c>
      <c r="M50">
        <v>48</v>
      </c>
    </row>
    <row r="51" spans="1:13" hidden="1" x14ac:dyDescent="0.3">
      <c r="A51" s="1">
        <v>44194</v>
      </c>
      <c r="B51" s="2" t="s">
        <v>4</v>
      </c>
      <c r="C51">
        <v>13535</v>
      </c>
      <c r="D51">
        <v>118</v>
      </c>
      <c r="E51">
        <v>956</v>
      </c>
      <c r="F51">
        <v>12272</v>
      </c>
      <c r="G51">
        <v>71</v>
      </c>
      <c r="H51">
        <v>18</v>
      </c>
      <c r="I51">
        <v>231633</v>
      </c>
      <c r="J51">
        <v>77039</v>
      </c>
      <c r="K51">
        <v>311</v>
      </c>
      <c r="L51">
        <v>50</v>
      </c>
      <c r="M51">
        <v>49</v>
      </c>
    </row>
    <row r="52" spans="1:13" hidden="1" x14ac:dyDescent="0.3">
      <c r="A52" s="1">
        <v>44195</v>
      </c>
      <c r="B52" s="2" t="s">
        <v>4</v>
      </c>
      <c r="C52">
        <v>13669</v>
      </c>
      <c r="D52">
        <v>115</v>
      </c>
      <c r="E52">
        <v>1029</v>
      </c>
      <c r="F52">
        <v>12333</v>
      </c>
      <c r="G52">
        <v>70</v>
      </c>
      <c r="H52">
        <v>19</v>
      </c>
      <c r="I52">
        <v>233058</v>
      </c>
      <c r="J52">
        <v>77228</v>
      </c>
      <c r="K52">
        <v>311</v>
      </c>
      <c r="L52">
        <v>51</v>
      </c>
      <c r="M52">
        <v>50</v>
      </c>
    </row>
    <row r="53" spans="1:13" hidden="1" x14ac:dyDescent="0.3">
      <c r="A53" s="1">
        <v>44196</v>
      </c>
      <c r="B53" s="2" t="s">
        <v>4</v>
      </c>
      <c r="C53">
        <v>13776</v>
      </c>
      <c r="D53">
        <v>97</v>
      </c>
      <c r="E53">
        <v>1091</v>
      </c>
      <c r="F53">
        <v>12377</v>
      </c>
      <c r="G53">
        <v>67</v>
      </c>
      <c r="H53">
        <v>20</v>
      </c>
      <c r="I53">
        <v>234308</v>
      </c>
      <c r="J53">
        <v>77433</v>
      </c>
      <c r="K53">
        <v>312</v>
      </c>
      <c r="L53">
        <v>52</v>
      </c>
      <c r="M53">
        <v>51</v>
      </c>
    </row>
    <row r="54" spans="1:13" hidden="1" x14ac:dyDescent="0.3">
      <c r="A54" s="1">
        <v>44197</v>
      </c>
      <c r="B54" s="2" t="s">
        <v>4</v>
      </c>
      <c r="C54">
        <v>13894</v>
      </c>
      <c r="D54">
        <v>116</v>
      </c>
      <c r="E54">
        <v>1150</v>
      </c>
      <c r="F54">
        <v>12434</v>
      </c>
      <c r="G54">
        <v>72</v>
      </c>
      <c r="H54">
        <v>20</v>
      </c>
      <c r="I54">
        <v>235418</v>
      </c>
      <c r="J54">
        <v>77528</v>
      </c>
      <c r="K54">
        <v>314</v>
      </c>
      <c r="L54">
        <v>53</v>
      </c>
      <c r="M54">
        <v>52</v>
      </c>
    </row>
    <row r="55" spans="1:13" hidden="1" x14ac:dyDescent="0.3">
      <c r="A55" s="1">
        <v>44198</v>
      </c>
      <c r="B55" s="2" t="s">
        <v>4</v>
      </c>
      <c r="C55">
        <v>13940</v>
      </c>
      <c r="D55">
        <v>43</v>
      </c>
      <c r="E55">
        <v>1134</v>
      </c>
      <c r="F55">
        <v>12496</v>
      </c>
      <c r="G55">
        <v>77</v>
      </c>
      <c r="H55">
        <v>18</v>
      </c>
      <c r="I55">
        <v>236006</v>
      </c>
      <c r="J55">
        <v>77651</v>
      </c>
      <c r="K55">
        <v>314</v>
      </c>
      <c r="L55">
        <v>54</v>
      </c>
      <c r="M55">
        <v>53</v>
      </c>
    </row>
    <row r="56" spans="1:13" hidden="1" x14ac:dyDescent="0.3">
      <c r="A56" s="1">
        <v>44199</v>
      </c>
      <c r="B56" s="2" t="s">
        <v>4</v>
      </c>
      <c r="C56">
        <v>14058</v>
      </c>
      <c r="D56">
        <v>103</v>
      </c>
      <c r="E56">
        <v>1193</v>
      </c>
      <c r="F56">
        <v>12554</v>
      </c>
      <c r="G56">
        <v>83</v>
      </c>
      <c r="H56">
        <v>19</v>
      </c>
      <c r="I56">
        <v>236832</v>
      </c>
      <c r="J56">
        <v>77770</v>
      </c>
      <c r="K56">
        <v>315</v>
      </c>
      <c r="L56">
        <v>55</v>
      </c>
      <c r="M56">
        <v>54</v>
      </c>
    </row>
    <row r="57" spans="1:13" hidden="1" x14ac:dyDescent="0.3">
      <c r="A57" s="1">
        <v>44200</v>
      </c>
      <c r="B57" s="2" t="s">
        <v>4</v>
      </c>
      <c r="C57">
        <v>14144</v>
      </c>
      <c r="D57">
        <v>71</v>
      </c>
      <c r="E57">
        <v>1224</v>
      </c>
      <c r="F57">
        <v>12604</v>
      </c>
      <c r="G57">
        <v>81</v>
      </c>
      <c r="H57">
        <v>17</v>
      </c>
      <c r="I57">
        <v>237316</v>
      </c>
      <c r="J57">
        <v>77919</v>
      </c>
      <c r="K57">
        <v>321</v>
      </c>
      <c r="L57">
        <v>56</v>
      </c>
      <c r="M57">
        <v>55</v>
      </c>
    </row>
    <row r="58" spans="1:13" hidden="1" x14ac:dyDescent="0.3">
      <c r="A58" s="1">
        <v>44201</v>
      </c>
      <c r="B58" s="2" t="s">
        <v>4</v>
      </c>
      <c r="C58">
        <v>14331</v>
      </c>
      <c r="D58">
        <v>166</v>
      </c>
      <c r="E58">
        <v>1377</v>
      </c>
      <c r="F58">
        <v>12637</v>
      </c>
      <c r="G58">
        <v>79</v>
      </c>
      <c r="H58">
        <v>18</v>
      </c>
      <c r="I58">
        <v>238580</v>
      </c>
      <c r="J58">
        <v>78160</v>
      </c>
      <c r="K58">
        <v>322</v>
      </c>
      <c r="L58">
        <v>57</v>
      </c>
      <c r="M58">
        <v>56</v>
      </c>
    </row>
    <row r="59" spans="1:13" hidden="1" x14ac:dyDescent="0.3">
      <c r="A59" s="1">
        <v>44202</v>
      </c>
      <c r="B59" s="2" t="s">
        <v>4</v>
      </c>
      <c r="C59">
        <v>14489</v>
      </c>
      <c r="D59">
        <v>157</v>
      </c>
      <c r="E59">
        <v>1470</v>
      </c>
      <c r="F59">
        <v>12700</v>
      </c>
      <c r="G59">
        <v>85</v>
      </c>
      <c r="H59">
        <v>19</v>
      </c>
      <c r="I59">
        <v>239718</v>
      </c>
      <c r="J59">
        <v>78249</v>
      </c>
      <c r="K59">
        <v>324</v>
      </c>
      <c r="L59">
        <v>58</v>
      </c>
      <c r="M59">
        <v>57</v>
      </c>
    </row>
    <row r="60" spans="1:13" hidden="1" x14ac:dyDescent="0.3">
      <c r="A60" s="1">
        <v>44203</v>
      </c>
      <c r="B60" s="2" t="s">
        <v>4</v>
      </c>
      <c r="C60">
        <v>14640</v>
      </c>
      <c r="D60">
        <v>124</v>
      </c>
      <c r="E60">
        <v>1557</v>
      </c>
      <c r="F60">
        <v>12764</v>
      </c>
      <c r="G60">
        <v>88</v>
      </c>
      <c r="H60">
        <v>21</v>
      </c>
      <c r="I60">
        <v>240574</v>
      </c>
      <c r="J60">
        <v>78450</v>
      </c>
      <c r="K60">
        <v>324</v>
      </c>
      <c r="L60">
        <v>59</v>
      </c>
      <c r="M60">
        <v>58</v>
      </c>
    </row>
    <row r="61" spans="1:13" hidden="1" x14ac:dyDescent="0.3">
      <c r="A61" s="1">
        <v>44204</v>
      </c>
      <c r="B61" s="2" t="s">
        <v>4</v>
      </c>
      <c r="C61">
        <v>14839</v>
      </c>
      <c r="D61">
        <v>171</v>
      </c>
      <c r="E61">
        <v>1696</v>
      </c>
      <c r="F61">
        <v>12822</v>
      </c>
      <c r="G61">
        <v>84</v>
      </c>
      <c r="H61">
        <v>18</v>
      </c>
      <c r="I61">
        <v>242068</v>
      </c>
      <c r="J61">
        <v>78718</v>
      </c>
      <c r="K61">
        <v>326</v>
      </c>
      <c r="L61">
        <v>60</v>
      </c>
      <c r="M61">
        <v>59</v>
      </c>
    </row>
    <row r="62" spans="1:13" hidden="1" x14ac:dyDescent="0.3">
      <c r="A62" s="1">
        <v>44205</v>
      </c>
      <c r="B62" s="2" t="s">
        <v>4</v>
      </c>
      <c r="C62">
        <v>15023</v>
      </c>
      <c r="D62">
        <v>177</v>
      </c>
      <c r="E62">
        <v>1831</v>
      </c>
      <c r="F62">
        <v>12871</v>
      </c>
      <c r="G62">
        <v>83</v>
      </c>
      <c r="H62">
        <v>18</v>
      </c>
      <c r="I62">
        <v>243463</v>
      </c>
      <c r="J62">
        <v>78812</v>
      </c>
      <c r="K62">
        <v>327</v>
      </c>
      <c r="L62">
        <v>61</v>
      </c>
      <c r="M62">
        <v>60</v>
      </c>
    </row>
    <row r="63" spans="1:13" hidden="1" x14ac:dyDescent="0.3">
      <c r="A63" s="1">
        <v>44206</v>
      </c>
      <c r="B63" s="2" t="s">
        <v>4</v>
      </c>
      <c r="C63">
        <v>15181</v>
      </c>
      <c r="D63">
        <v>151</v>
      </c>
      <c r="E63">
        <v>1944</v>
      </c>
      <c r="F63">
        <v>12916</v>
      </c>
      <c r="G63">
        <v>93</v>
      </c>
      <c r="H63">
        <v>21</v>
      </c>
      <c r="I63">
        <v>244567</v>
      </c>
      <c r="J63">
        <v>78963</v>
      </c>
      <c r="K63">
        <v>327</v>
      </c>
      <c r="L63">
        <v>62</v>
      </c>
      <c r="M63">
        <v>61</v>
      </c>
    </row>
    <row r="64" spans="1:13" hidden="1" x14ac:dyDescent="0.3">
      <c r="A64" s="1">
        <v>44207</v>
      </c>
      <c r="B64" s="2" t="s">
        <v>4</v>
      </c>
      <c r="C64">
        <v>15360</v>
      </c>
      <c r="D64">
        <v>144</v>
      </c>
      <c r="E64">
        <v>2064</v>
      </c>
      <c r="F64">
        <v>12973</v>
      </c>
      <c r="G64">
        <v>95</v>
      </c>
      <c r="H64">
        <v>22</v>
      </c>
      <c r="I64">
        <v>245390</v>
      </c>
      <c r="J64">
        <v>79413</v>
      </c>
      <c r="K64">
        <v>329</v>
      </c>
      <c r="L64">
        <v>63</v>
      </c>
      <c r="M64">
        <v>62</v>
      </c>
    </row>
    <row r="65" spans="1:13" hidden="1" x14ac:dyDescent="0.3">
      <c r="A65" s="1">
        <v>44208</v>
      </c>
      <c r="B65" s="2" t="s">
        <v>4</v>
      </c>
      <c r="C65">
        <v>15616</v>
      </c>
      <c r="D65">
        <v>229</v>
      </c>
      <c r="E65">
        <v>2260</v>
      </c>
      <c r="F65">
        <v>13031</v>
      </c>
      <c r="G65">
        <v>108</v>
      </c>
      <c r="H65">
        <v>22</v>
      </c>
      <c r="I65">
        <v>247114</v>
      </c>
      <c r="J65">
        <v>79691</v>
      </c>
      <c r="K65">
        <v>331</v>
      </c>
      <c r="L65">
        <v>64</v>
      </c>
      <c r="M65">
        <v>63</v>
      </c>
    </row>
    <row r="66" spans="1:13" hidden="1" x14ac:dyDescent="0.3">
      <c r="A66" s="1">
        <v>44209</v>
      </c>
      <c r="B66" s="2" t="s">
        <v>4</v>
      </c>
      <c r="C66">
        <v>15914</v>
      </c>
      <c r="D66">
        <v>256</v>
      </c>
      <c r="E66">
        <v>2469</v>
      </c>
      <c r="F66">
        <v>13119</v>
      </c>
      <c r="G66">
        <v>123</v>
      </c>
      <c r="H66">
        <v>27</v>
      </c>
      <c r="I66">
        <v>249368</v>
      </c>
      <c r="J66">
        <v>80099</v>
      </c>
      <c r="K66">
        <v>333</v>
      </c>
      <c r="L66">
        <v>65</v>
      </c>
      <c r="M66">
        <v>64</v>
      </c>
    </row>
    <row r="67" spans="1:13" hidden="1" x14ac:dyDescent="0.3">
      <c r="A67" s="1">
        <v>44210</v>
      </c>
      <c r="B67" s="2" t="s">
        <v>4</v>
      </c>
      <c r="C67">
        <v>16209</v>
      </c>
      <c r="D67">
        <v>251</v>
      </c>
      <c r="E67">
        <v>2635</v>
      </c>
      <c r="F67">
        <v>13248</v>
      </c>
      <c r="G67">
        <v>138</v>
      </c>
      <c r="H67">
        <v>26</v>
      </c>
      <c r="I67">
        <v>251728</v>
      </c>
      <c r="J67">
        <v>80515</v>
      </c>
      <c r="K67">
        <v>333</v>
      </c>
      <c r="L67">
        <v>66</v>
      </c>
      <c r="M67">
        <v>65</v>
      </c>
    </row>
    <row r="68" spans="1:13" hidden="1" x14ac:dyDescent="0.3">
      <c r="A68" s="1">
        <v>44211</v>
      </c>
      <c r="B68" s="2" t="s">
        <v>4</v>
      </c>
      <c r="C68">
        <v>16539</v>
      </c>
      <c r="D68">
        <v>261</v>
      </c>
      <c r="E68">
        <v>2843</v>
      </c>
      <c r="F68">
        <v>13366</v>
      </c>
      <c r="G68">
        <v>130</v>
      </c>
      <c r="H68">
        <v>26</v>
      </c>
      <c r="I68">
        <v>253873</v>
      </c>
      <c r="J68">
        <v>80867</v>
      </c>
      <c r="K68">
        <v>337</v>
      </c>
      <c r="L68">
        <v>67</v>
      </c>
      <c r="M68">
        <v>66</v>
      </c>
    </row>
    <row r="69" spans="1:13" hidden="1" x14ac:dyDescent="0.3">
      <c r="A69" s="1">
        <v>44212</v>
      </c>
      <c r="B69" s="2" t="s">
        <v>4</v>
      </c>
      <c r="C69">
        <v>16899</v>
      </c>
      <c r="D69">
        <v>337</v>
      </c>
      <c r="E69">
        <v>3129</v>
      </c>
      <c r="F69">
        <v>13440</v>
      </c>
      <c r="G69">
        <v>145</v>
      </c>
      <c r="H69">
        <v>28</v>
      </c>
      <c r="I69">
        <v>255964</v>
      </c>
      <c r="J69">
        <v>81079</v>
      </c>
      <c r="K69">
        <v>337</v>
      </c>
      <c r="L69">
        <v>68</v>
      </c>
      <c r="M69">
        <v>67</v>
      </c>
    </row>
    <row r="70" spans="1:13" hidden="1" x14ac:dyDescent="0.3">
      <c r="A70" s="1">
        <v>44213</v>
      </c>
      <c r="B70" s="2" t="s">
        <v>4</v>
      </c>
      <c r="C70">
        <v>17181</v>
      </c>
      <c r="D70">
        <v>242</v>
      </c>
      <c r="E70">
        <v>3346</v>
      </c>
      <c r="F70">
        <v>13502</v>
      </c>
      <c r="G70">
        <v>163</v>
      </c>
      <c r="H70">
        <v>31</v>
      </c>
      <c r="I70">
        <v>257591</v>
      </c>
      <c r="J70">
        <v>81240</v>
      </c>
      <c r="K70">
        <v>340</v>
      </c>
      <c r="L70">
        <v>69</v>
      </c>
      <c r="M70">
        <v>68</v>
      </c>
    </row>
    <row r="71" spans="1:13" hidden="1" x14ac:dyDescent="0.3">
      <c r="A71" s="1">
        <v>44214</v>
      </c>
      <c r="B71" s="2" t="s">
        <v>4</v>
      </c>
      <c r="C71">
        <v>17458</v>
      </c>
      <c r="D71">
        <v>205</v>
      </c>
      <c r="E71">
        <v>3533</v>
      </c>
      <c r="F71">
        <v>13584</v>
      </c>
      <c r="G71">
        <v>167</v>
      </c>
      <c r="H71">
        <v>36</v>
      </c>
      <c r="I71">
        <v>258846</v>
      </c>
      <c r="J71">
        <v>81702</v>
      </c>
      <c r="K71">
        <v>347</v>
      </c>
      <c r="L71">
        <v>70</v>
      </c>
      <c r="M71">
        <v>69</v>
      </c>
    </row>
    <row r="72" spans="1:13" hidden="1" x14ac:dyDescent="0.3">
      <c r="A72" s="1">
        <v>44215</v>
      </c>
      <c r="B72" s="2" t="s">
        <v>4</v>
      </c>
      <c r="C72">
        <v>17893</v>
      </c>
      <c r="D72">
        <v>348</v>
      </c>
      <c r="E72">
        <v>3839</v>
      </c>
      <c r="F72">
        <v>13711</v>
      </c>
      <c r="G72">
        <v>179</v>
      </c>
      <c r="H72">
        <v>39</v>
      </c>
      <c r="I72">
        <v>261208</v>
      </c>
      <c r="J72">
        <v>82356</v>
      </c>
      <c r="K72">
        <v>349</v>
      </c>
      <c r="L72">
        <v>71</v>
      </c>
      <c r="M72">
        <v>70</v>
      </c>
    </row>
    <row r="73" spans="1:13" hidden="1" x14ac:dyDescent="0.3">
      <c r="A73" s="1">
        <v>44216</v>
      </c>
      <c r="B73" s="2" t="s">
        <v>4</v>
      </c>
      <c r="C73">
        <v>18335</v>
      </c>
      <c r="D73">
        <v>281</v>
      </c>
      <c r="E73">
        <v>4124</v>
      </c>
      <c r="F73">
        <v>13867</v>
      </c>
      <c r="G73">
        <v>188</v>
      </c>
      <c r="H73">
        <v>38</v>
      </c>
      <c r="I73">
        <v>263615</v>
      </c>
      <c r="J73">
        <v>83883</v>
      </c>
      <c r="K73">
        <v>350</v>
      </c>
      <c r="L73">
        <v>72</v>
      </c>
      <c r="M73">
        <v>71</v>
      </c>
    </row>
    <row r="74" spans="1:13" hidden="1" x14ac:dyDescent="0.3">
      <c r="A74" s="1">
        <v>44217</v>
      </c>
      <c r="B74" s="2" t="s">
        <v>4</v>
      </c>
      <c r="C74">
        <v>18781</v>
      </c>
      <c r="D74">
        <v>346</v>
      </c>
      <c r="E74">
        <v>4414</v>
      </c>
      <c r="F74">
        <v>14019</v>
      </c>
      <c r="G74">
        <v>210</v>
      </c>
      <c r="H74">
        <v>38</v>
      </c>
      <c r="I74">
        <v>266269</v>
      </c>
      <c r="J74">
        <v>84532</v>
      </c>
      <c r="K74">
        <v>353</v>
      </c>
      <c r="L74">
        <v>73</v>
      </c>
      <c r="M74">
        <v>72</v>
      </c>
    </row>
    <row r="75" spans="1:13" hidden="1" x14ac:dyDescent="0.3">
      <c r="A75" s="1">
        <v>44218</v>
      </c>
      <c r="B75" s="2" t="s">
        <v>4</v>
      </c>
      <c r="C75">
        <v>19330</v>
      </c>
      <c r="D75">
        <v>433</v>
      </c>
      <c r="E75">
        <v>4826</v>
      </c>
      <c r="F75">
        <v>14151</v>
      </c>
      <c r="G75">
        <v>226</v>
      </c>
      <c r="H75">
        <v>38</v>
      </c>
      <c r="I75">
        <v>269435</v>
      </c>
      <c r="J75">
        <v>85491</v>
      </c>
      <c r="K75">
        <v>358</v>
      </c>
      <c r="L75">
        <v>74</v>
      </c>
      <c r="M75">
        <v>73</v>
      </c>
    </row>
    <row r="76" spans="1:13" hidden="1" x14ac:dyDescent="0.3">
      <c r="A76" s="1">
        <v>44219</v>
      </c>
      <c r="B76" s="2" t="s">
        <v>4</v>
      </c>
      <c r="C76">
        <v>19779</v>
      </c>
      <c r="D76">
        <v>390</v>
      </c>
      <c r="E76">
        <v>5057</v>
      </c>
      <c r="F76">
        <v>14368</v>
      </c>
      <c r="G76">
        <v>248</v>
      </c>
      <c r="H76">
        <v>39</v>
      </c>
      <c r="I76">
        <v>272183</v>
      </c>
      <c r="J76">
        <v>86440</v>
      </c>
      <c r="K76">
        <v>359</v>
      </c>
      <c r="L76">
        <v>75</v>
      </c>
      <c r="M76">
        <v>74</v>
      </c>
    </row>
    <row r="77" spans="1:13" hidden="1" x14ac:dyDescent="0.3">
      <c r="A77" s="1">
        <v>44220</v>
      </c>
      <c r="B77" s="2" t="s">
        <v>4</v>
      </c>
      <c r="C77">
        <v>20079</v>
      </c>
      <c r="D77">
        <v>251</v>
      </c>
      <c r="E77">
        <v>5225</v>
      </c>
      <c r="F77">
        <v>14492</v>
      </c>
      <c r="G77">
        <v>272</v>
      </c>
      <c r="H77">
        <v>43</v>
      </c>
      <c r="I77">
        <v>274248</v>
      </c>
      <c r="J77">
        <v>86912</v>
      </c>
      <c r="K77">
        <v>367</v>
      </c>
      <c r="L77">
        <v>76</v>
      </c>
      <c r="M77">
        <v>75</v>
      </c>
    </row>
    <row r="78" spans="1:13" hidden="1" x14ac:dyDescent="0.3">
      <c r="A78" s="1">
        <v>44221</v>
      </c>
      <c r="B78" s="2" t="s">
        <v>4</v>
      </c>
      <c r="C78">
        <v>20426</v>
      </c>
      <c r="D78">
        <v>252</v>
      </c>
      <c r="E78">
        <v>5389</v>
      </c>
      <c r="F78">
        <v>14668</v>
      </c>
      <c r="G78">
        <v>282</v>
      </c>
      <c r="H78">
        <v>47</v>
      </c>
      <c r="I78">
        <v>275827</v>
      </c>
      <c r="J78">
        <v>87598</v>
      </c>
      <c r="K78">
        <v>376</v>
      </c>
      <c r="L78">
        <v>77</v>
      </c>
      <c r="M78">
        <v>76</v>
      </c>
    </row>
    <row r="79" spans="1:13" hidden="1" x14ac:dyDescent="0.3">
      <c r="A79" s="1">
        <v>44222</v>
      </c>
      <c r="B79" s="2" t="s">
        <v>4</v>
      </c>
      <c r="C79">
        <v>20872</v>
      </c>
      <c r="D79">
        <v>366</v>
      </c>
      <c r="E79">
        <v>5679</v>
      </c>
      <c r="F79">
        <v>14821</v>
      </c>
      <c r="G79">
        <v>305</v>
      </c>
      <c r="H79">
        <v>48</v>
      </c>
      <c r="I79">
        <v>278486</v>
      </c>
      <c r="J79">
        <v>88439</v>
      </c>
      <c r="K79">
        <v>379</v>
      </c>
      <c r="L79">
        <v>78</v>
      </c>
      <c r="M79">
        <v>77</v>
      </c>
    </row>
    <row r="80" spans="1:13" hidden="1" x14ac:dyDescent="0.3">
      <c r="A80" s="1">
        <v>44223</v>
      </c>
      <c r="B80" s="2" t="s">
        <v>4</v>
      </c>
      <c r="C80">
        <v>21281</v>
      </c>
      <c r="D80">
        <v>277</v>
      </c>
      <c r="E80">
        <v>5855</v>
      </c>
      <c r="F80">
        <v>15043</v>
      </c>
      <c r="G80">
        <v>310</v>
      </c>
      <c r="H80">
        <v>59</v>
      </c>
      <c r="I80">
        <v>281768</v>
      </c>
      <c r="J80">
        <v>89637</v>
      </c>
      <c r="K80">
        <v>391</v>
      </c>
      <c r="L80">
        <v>79</v>
      </c>
      <c r="M80">
        <v>78</v>
      </c>
    </row>
    <row r="81" spans="1:13" hidden="1" x14ac:dyDescent="0.3">
      <c r="A81" s="1">
        <v>44224</v>
      </c>
      <c r="B81" s="2" t="s">
        <v>4</v>
      </c>
      <c r="C81">
        <v>21646</v>
      </c>
      <c r="D81">
        <v>250</v>
      </c>
      <c r="E81">
        <v>5912</v>
      </c>
      <c r="F81">
        <v>15343</v>
      </c>
      <c r="G81">
        <v>321</v>
      </c>
      <c r="H81">
        <v>69</v>
      </c>
      <c r="I81">
        <v>284869</v>
      </c>
      <c r="J81">
        <v>91501</v>
      </c>
      <c r="K81">
        <v>400</v>
      </c>
      <c r="L81">
        <v>80</v>
      </c>
      <c r="M81">
        <v>79</v>
      </c>
    </row>
    <row r="82" spans="1:13" hidden="1" x14ac:dyDescent="0.3">
      <c r="A82" s="1">
        <v>44225</v>
      </c>
      <c r="B82" s="2" t="s">
        <v>4</v>
      </c>
      <c r="C82">
        <v>21966</v>
      </c>
      <c r="D82">
        <v>251</v>
      </c>
      <c r="E82">
        <v>5984</v>
      </c>
      <c r="F82">
        <v>15580</v>
      </c>
      <c r="G82">
        <v>313</v>
      </c>
      <c r="H82">
        <v>79</v>
      </c>
      <c r="I82">
        <v>288049</v>
      </c>
      <c r="J82">
        <v>93212</v>
      </c>
      <c r="K82">
        <v>412</v>
      </c>
      <c r="L82">
        <v>81</v>
      </c>
      <c r="M82">
        <v>80</v>
      </c>
    </row>
    <row r="83" spans="1:13" hidden="1" x14ac:dyDescent="0.3">
      <c r="A83" s="1">
        <v>44226</v>
      </c>
      <c r="B83" s="2" t="s">
        <v>4</v>
      </c>
      <c r="C83">
        <v>22305</v>
      </c>
      <c r="D83">
        <v>293</v>
      </c>
      <c r="E83">
        <v>6020</v>
      </c>
      <c r="F83">
        <v>15876</v>
      </c>
      <c r="G83">
        <v>326</v>
      </c>
      <c r="H83">
        <v>82</v>
      </c>
      <c r="I83">
        <v>290745</v>
      </c>
      <c r="J83">
        <v>96962</v>
      </c>
      <c r="K83">
        <v>419</v>
      </c>
      <c r="L83">
        <v>82</v>
      </c>
      <c r="M83">
        <v>81</v>
      </c>
    </row>
    <row r="84" spans="1:13" hidden="1" x14ac:dyDescent="0.3">
      <c r="A84" s="1">
        <v>44227</v>
      </c>
      <c r="B84" s="2" t="s">
        <v>4</v>
      </c>
      <c r="C84">
        <v>22519</v>
      </c>
      <c r="D84">
        <v>182</v>
      </c>
      <c r="E84">
        <v>5934</v>
      </c>
      <c r="F84">
        <v>16175</v>
      </c>
      <c r="G84">
        <v>341</v>
      </c>
      <c r="H84">
        <v>86</v>
      </c>
      <c r="I84">
        <v>293160</v>
      </c>
      <c r="J84">
        <v>100476</v>
      </c>
      <c r="K84">
        <v>420</v>
      </c>
      <c r="L84">
        <v>83</v>
      </c>
      <c r="M84">
        <v>82</v>
      </c>
    </row>
    <row r="85" spans="1:13" hidden="1" x14ac:dyDescent="0.3">
      <c r="A85" s="1">
        <v>44228</v>
      </c>
      <c r="B85" s="2" t="s">
        <v>4</v>
      </c>
      <c r="C85">
        <v>22751</v>
      </c>
      <c r="D85">
        <v>172</v>
      </c>
      <c r="E85">
        <v>5883</v>
      </c>
      <c r="F85">
        <v>16443</v>
      </c>
      <c r="G85">
        <v>323</v>
      </c>
      <c r="H85">
        <v>93</v>
      </c>
      <c r="I85">
        <v>294574</v>
      </c>
      <c r="J85">
        <v>103932</v>
      </c>
      <c r="K85">
        <v>435</v>
      </c>
      <c r="L85">
        <v>84</v>
      </c>
      <c r="M85">
        <v>83</v>
      </c>
    </row>
    <row r="86" spans="1:13" hidden="1" x14ac:dyDescent="0.3">
      <c r="A86" s="1">
        <v>44229</v>
      </c>
      <c r="B86" s="2" t="s">
        <v>4</v>
      </c>
      <c r="C86">
        <v>23044</v>
      </c>
      <c r="D86">
        <v>203</v>
      </c>
      <c r="E86">
        <v>5889</v>
      </c>
      <c r="F86">
        <v>16721</v>
      </c>
      <c r="G86">
        <v>306</v>
      </c>
      <c r="H86">
        <v>85</v>
      </c>
      <c r="I86">
        <v>296696</v>
      </c>
      <c r="J86">
        <v>108037</v>
      </c>
      <c r="K86">
        <v>444</v>
      </c>
      <c r="L86">
        <v>85</v>
      </c>
      <c r="M86">
        <v>84</v>
      </c>
    </row>
    <row r="87" spans="1:13" hidden="1" x14ac:dyDescent="0.3">
      <c r="A87" s="1">
        <v>44230</v>
      </c>
      <c r="B87" s="2" t="s">
        <v>4</v>
      </c>
      <c r="C87">
        <v>23341</v>
      </c>
      <c r="D87">
        <v>278</v>
      </c>
      <c r="E87">
        <v>5845</v>
      </c>
      <c r="F87">
        <v>17052</v>
      </c>
      <c r="G87">
        <v>282</v>
      </c>
      <c r="H87">
        <v>87</v>
      </c>
      <c r="I87">
        <v>299577</v>
      </c>
      <c r="J87">
        <v>112289</v>
      </c>
      <c r="K87">
        <v>455</v>
      </c>
      <c r="L87">
        <v>86</v>
      </c>
      <c r="M87">
        <v>85</v>
      </c>
    </row>
    <row r="88" spans="1:13" hidden="1" x14ac:dyDescent="0.3">
      <c r="A88" s="1">
        <v>44231</v>
      </c>
      <c r="B88" s="2" t="s">
        <v>4</v>
      </c>
      <c r="C88">
        <v>23600</v>
      </c>
      <c r="D88">
        <v>207</v>
      </c>
      <c r="E88">
        <v>5713</v>
      </c>
      <c r="F88">
        <v>17438</v>
      </c>
      <c r="G88">
        <v>276</v>
      </c>
      <c r="H88">
        <v>85</v>
      </c>
      <c r="I88">
        <v>302122</v>
      </c>
      <c r="J88">
        <v>116496</v>
      </c>
      <c r="K88">
        <v>459</v>
      </c>
      <c r="L88">
        <v>87</v>
      </c>
      <c r="M88">
        <v>86</v>
      </c>
    </row>
    <row r="89" spans="1:13" hidden="1" x14ac:dyDescent="0.3">
      <c r="A89" s="1">
        <v>44232</v>
      </c>
      <c r="B89" s="2" t="s">
        <v>4</v>
      </c>
      <c r="C89">
        <v>23861</v>
      </c>
      <c r="D89">
        <v>218</v>
      </c>
      <c r="E89">
        <v>5542</v>
      </c>
      <c r="F89">
        <v>17860</v>
      </c>
      <c r="G89">
        <v>287</v>
      </c>
      <c r="H89">
        <v>81</v>
      </c>
      <c r="I89">
        <v>305833</v>
      </c>
      <c r="J89">
        <v>122720</v>
      </c>
      <c r="K89">
        <v>469</v>
      </c>
      <c r="L89">
        <v>88</v>
      </c>
      <c r="M89">
        <v>87</v>
      </c>
    </row>
    <row r="90" spans="1:13" hidden="1" x14ac:dyDescent="0.3">
      <c r="A90" s="1">
        <v>44233</v>
      </c>
      <c r="B90" s="2" t="s">
        <v>4</v>
      </c>
      <c r="C90">
        <v>24146</v>
      </c>
      <c r="D90">
        <v>264</v>
      </c>
      <c r="E90">
        <v>5319</v>
      </c>
      <c r="F90">
        <v>18360</v>
      </c>
      <c r="G90">
        <v>286</v>
      </c>
      <c r="H90">
        <v>81</v>
      </c>
      <c r="I90">
        <v>308186</v>
      </c>
      <c r="J90">
        <v>127954</v>
      </c>
      <c r="K90">
        <v>477</v>
      </c>
      <c r="L90">
        <v>89</v>
      </c>
      <c r="M90">
        <v>88</v>
      </c>
    </row>
    <row r="91" spans="1:13" hidden="1" x14ac:dyDescent="0.3">
      <c r="A91" s="1">
        <v>44234</v>
      </c>
      <c r="B91" s="2" t="s">
        <v>4</v>
      </c>
      <c r="C91">
        <v>24323</v>
      </c>
      <c r="D91">
        <v>166</v>
      </c>
      <c r="E91">
        <v>5161</v>
      </c>
      <c r="F91">
        <v>18691</v>
      </c>
      <c r="G91">
        <v>287</v>
      </c>
      <c r="H91">
        <v>85</v>
      </c>
      <c r="I91">
        <v>311146</v>
      </c>
      <c r="J91">
        <v>133087</v>
      </c>
      <c r="K91">
        <v>482</v>
      </c>
      <c r="L91">
        <v>90</v>
      </c>
      <c r="M91">
        <v>89</v>
      </c>
    </row>
    <row r="92" spans="1:13" hidden="1" x14ac:dyDescent="0.3">
      <c r="A92" s="1">
        <v>44145</v>
      </c>
      <c r="B92" s="2" t="s">
        <v>5</v>
      </c>
      <c r="C92">
        <v>2654</v>
      </c>
      <c r="D92">
        <v>37</v>
      </c>
      <c r="E92">
        <v>978</v>
      </c>
      <c r="F92">
        <v>1622</v>
      </c>
      <c r="G92">
        <v>50</v>
      </c>
      <c r="H92">
        <v>8</v>
      </c>
      <c r="I92">
        <v>52823</v>
      </c>
      <c r="J92">
        <v>26836</v>
      </c>
      <c r="K92">
        <v>52</v>
      </c>
      <c r="L92">
        <v>91</v>
      </c>
      <c r="M92">
        <v>90</v>
      </c>
    </row>
    <row r="93" spans="1:13" hidden="1" x14ac:dyDescent="0.3">
      <c r="A93" s="1">
        <v>44146</v>
      </c>
      <c r="B93" s="2" t="s">
        <v>5</v>
      </c>
      <c r="C93">
        <v>2678</v>
      </c>
      <c r="D93">
        <v>24</v>
      </c>
      <c r="E93">
        <v>931</v>
      </c>
      <c r="F93">
        <v>1690</v>
      </c>
      <c r="G93">
        <v>48</v>
      </c>
      <c r="H93">
        <v>8</v>
      </c>
      <c r="I93">
        <v>53340</v>
      </c>
      <c r="J93">
        <v>26857</v>
      </c>
      <c r="K93">
        <v>55</v>
      </c>
      <c r="L93">
        <v>92</v>
      </c>
      <c r="M93">
        <v>91</v>
      </c>
    </row>
    <row r="94" spans="1:13" hidden="1" x14ac:dyDescent="0.3">
      <c r="A94" s="1">
        <v>44147</v>
      </c>
      <c r="B94" s="2" t="s">
        <v>5</v>
      </c>
      <c r="C94">
        <v>2724</v>
      </c>
      <c r="D94">
        <v>46</v>
      </c>
      <c r="E94">
        <v>915</v>
      </c>
      <c r="F94">
        <v>1752</v>
      </c>
      <c r="G94">
        <v>52</v>
      </c>
      <c r="H94">
        <v>8</v>
      </c>
      <c r="I94">
        <v>53898</v>
      </c>
      <c r="J94">
        <v>26979</v>
      </c>
      <c r="K94">
        <v>55</v>
      </c>
      <c r="L94">
        <v>93</v>
      </c>
      <c r="M94">
        <v>92</v>
      </c>
    </row>
    <row r="95" spans="1:13" hidden="1" x14ac:dyDescent="0.3">
      <c r="A95" s="1">
        <v>44148</v>
      </c>
      <c r="B95" s="2" t="s">
        <v>5</v>
      </c>
      <c r="C95">
        <v>2772</v>
      </c>
      <c r="D95">
        <v>50</v>
      </c>
      <c r="E95">
        <v>872</v>
      </c>
      <c r="F95">
        <v>1842</v>
      </c>
      <c r="G95">
        <v>53</v>
      </c>
      <c r="H95">
        <v>10</v>
      </c>
      <c r="I95">
        <v>54511</v>
      </c>
      <c r="J95">
        <v>27100</v>
      </c>
      <c r="K95">
        <v>56</v>
      </c>
      <c r="L95">
        <v>94</v>
      </c>
      <c r="M95">
        <v>93</v>
      </c>
    </row>
    <row r="96" spans="1:13" hidden="1" x14ac:dyDescent="0.3">
      <c r="A96" s="1">
        <v>44149</v>
      </c>
      <c r="B96" s="2" t="s">
        <v>5</v>
      </c>
      <c r="C96">
        <v>2793</v>
      </c>
      <c r="D96">
        <v>22</v>
      </c>
      <c r="E96">
        <v>841</v>
      </c>
      <c r="F96">
        <v>1893</v>
      </c>
      <c r="G96">
        <v>47</v>
      </c>
      <c r="H96">
        <v>11</v>
      </c>
      <c r="I96">
        <v>55011</v>
      </c>
      <c r="J96">
        <v>27255</v>
      </c>
      <c r="K96">
        <v>57</v>
      </c>
      <c r="L96">
        <v>95</v>
      </c>
      <c r="M96">
        <v>94</v>
      </c>
    </row>
    <row r="97" spans="1:13" hidden="1" x14ac:dyDescent="0.3">
      <c r="A97" s="1">
        <v>44150</v>
      </c>
      <c r="B97" s="2" t="s">
        <v>5</v>
      </c>
      <c r="C97">
        <v>2821</v>
      </c>
      <c r="D97">
        <v>28</v>
      </c>
      <c r="E97">
        <v>786</v>
      </c>
      <c r="F97">
        <v>1973</v>
      </c>
      <c r="G97">
        <v>50</v>
      </c>
      <c r="H97">
        <v>11</v>
      </c>
      <c r="I97">
        <v>55441</v>
      </c>
      <c r="J97">
        <v>27295</v>
      </c>
      <c r="K97">
        <v>60</v>
      </c>
      <c r="L97">
        <v>96</v>
      </c>
      <c r="M97">
        <v>95</v>
      </c>
    </row>
    <row r="98" spans="1:13" hidden="1" x14ac:dyDescent="0.3">
      <c r="A98" s="1">
        <v>44151</v>
      </c>
      <c r="B98" s="2" t="s">
        <v>5</v>
      </c>
      <c r="C98">
        <v>2860</v>
      </c>
      <c r="D98">
        <v>39</v>
      </c>
      <c r="E98">
        <v>777</v>
      </c>
      <c r="F98">
        <v>2019</v>
      </c>
      <c r="G98">
        <v>46</v>
      </c>
      <c r="H98">
        <v>12</v>
      </c>
      <c r="I98">
        <v>55787</v>
      </c>
      <c r="J98">
        <v>27329</v>
      </c>
      <c r="K98">
        <v>62</v>
      </c>
      <c r="L98">
        <v>97</v>
      </c>
      <c r="M98">
        <v>96</v>
      </c>
    </row>
    <row r="99" spans="1:13" hidden="1" x14ac:dyDescent="0.3">
      <c r="A99" s="1">
        <v>44152</v>
      </c>
      <c r="B99" s="2" t="s">
        <v>5</v>
      </c>
      <c r="C99">
        <v>2882</v>
      </c>
      <c r="D99">
        <v>21</v>
      </c>
      <c r="E99">
        <v>749</v>
      </c>
      <c r="F99">
        <v>2069</v>
      </c>
      <c r="G99">
        <v>40</v>
      </c>
      <c r="H99">
        <v>12</v>
      </c>
      <c r="I99">
        <v>56191</v>
      </c>
      <c r="J99">
        <v>27371</v>
      </c>
      <c r="K99">
        <v>62</v>
      </c>
      <c r="L99">
        <v>98</v>
      </c>
      <c r="M99">
        <v>97</v>
      </c>
    </row>
    <row r="100" spans="1:13" hidden="1" x14ac:dyDescent="0.3">
      <c r="A100" s="1">
        <v>44153</v>
      </c>
      <c r="B100" s="2" t="s">
        <v>5</v>
      </c>
      <c r="C100">
        <v>2915</v>
      </c>
      <c r="D100">
        <v>34</v>
      </c>
      <c r="E100">
        <v>724</v>
      </c>
      <c r="F100">
        <v>2125</v>
      </c>
      <c r="G100">
        <v>39</v>
      </c>
      <c r="H100">
        <v>11</v>
      </c>
      <c r="I100">
        <v>56687</v>
      </c>
      <c r="J100">
        <v>27424</v>
      </c>
      <c r="K100">
        <v>64</v>
      </c>
      <c r="L100">
        <v>99</v>
      </c>
      <c r="M100">
        <v>98</v>
      </c>
    </row>
    <row r="101" spans="1:13" hidden="1" x14ac:dyDescent="0.3">
      <c r="A101" s="1">
        <v>44154</v>
      </c>
      <c r="B101" s="2" t="s">
        <v>5</v>
      </c>
      <c r="C101">
        <v>2955</v>
      </c>
      <c r="D101">
        <v>40</v>
      </c>
      <c r="E101">
        <v>680</v>
      </c>
      <c r="F101">
        <v>2208</v>
      </c>
      <c r="G101">
        <v>33</v>
      </c>
      <c r="H101">
        <v>11</v>
      </c>
      <c r="I101">
        <v>57179</v>
      </c>
      <c r="J101">
        <v>27439</v>
      </c>
      <c r="K101">
        <v>65</v>
      </c>
      <c r="L101">
        <v>100</v>
      </c>
      <c r="M101">
        <v>99</v>
      </c>
    </row>
    <row r="102" spans="1:13" hidden="1" x14ac:dyDescent="0.3">
      <c r="A102" s="1">
        <v>44155</v>
      </c>
      <c r="B102" s="2" t="s">
        <v>5</v>
      </c>
      <c r="C102">
        <v>2990</v>
      </c>
      <c r="D102">
        <v>35</v>
      </c>
      <c r="E102">
        <v>661</v>
      </c>
      <c r="F102">
        <v>2262</v>
      </c>
      <c r="G102">
        <v>34</v>
      </c>
      <c r="H102">
        <v>9</v>
      </c>
      <c r="I102">
        <v>57496</v>
      </c>
      <c r="J102">
        <v>27467</v>
      </c>
      <c r="K102">
        <v>65</v>
      </c>
      <c r="L102">
        <v>101</v>
      </c>
      <c r="M102">
        <v>100</v>
      </c>
    </row>
    <row r="103" spans="1:13" hidden="1" x14ac:dyDescent="0.3">
      <c r="A103" s="1">
        <v>44156</v>
      </c>
      <c r="B103" s="2" t="s">
        <v>5</v>
      </c>
      <c r="C103">
        <v>3041</v>
      </c>
      <c r="D103">
        <v>51</v>
      </c>
      <c r="E103">
        <v>675</v>
      </c>
      <c r="F103">
        <v>2297</v>
      </c>
      <c r="G103">
        <v>32</v>
      </c>
      <c r="H103">
        <v>12</v>
      </c>
      <c r="I103">
        <v>57898</v>
      </c>
      <c r="J103">
        <v>27483</v>
      </c>
      <c r="K103">
        <v>67</v>
      </c>
      <c r="L103">
        <v>102</v>
      </c>
      <c r="M103">
        <v>101</v>
      </c>
    </row>
    <row r="104" spans="1:13" hidden="1" x14ac:dyDescent="0.3">
      <c r="A104" s="1">
        <v>44157</v>
      </c>
      <c r="B104" s="2" t="s">
        <v>5</v>
      </c>
      <c r="C104">
        <v>3083</v>
      </c>
      <c r="D104">
        <v>41</v>
      </c>
      <c r="E104">
        <v>684</v>
      </c>
      <c r="F104">
        <v>2330</v>
      </c>
      <c r="G104">
        <v>32</v>
      </c>
      <c r="H104">
        <v>13</v>
      </c>
      <c r="I104">
        <v>58315</v>
      </c>
      <c r="J104">
        <v>27505</v>
      </c>
      <c r="K104">
        <v>67</v>
      </c>
      <c r="L104">
        <v>103</v>
      </c>
      <c r="M104">
        <v>102</v>
      </c>
    </row>
    <row r="105" spans="1:13" hidden="1" x14ac:dyDescent="0.3">
      <c r="A105" s="1">
        <v>44158</v>
      </c>
      <c r="B105" s="2" t="s">
        <v>5</v>
      </c>
      <c r="C105">
        <v>3111</v>
      </c>
      <c r="D105">
        <v>28</v>
      </c>
      <c r="E105">
        <v>697</v>
      </c>
      <c r="F105">
        <v>2345</v>
      </c>
      <c r="G105">
        <v>35</v>
      </c>
      <c r="H105">
        <v>10</v>
      </c>
      <c r="I105">
        <v>58647</v>
      </c>
      <c r="J105">
        <v>27714</v>
      </c>
      <c r="K105">
        <v>67</v>
      </c>
      <c r="L105">
        <v>104</v>
      </c>
      <c r="M105">
        <v>103</v>
      </c>
    </row>
    <row r="106" spans="1:13" hidden="1" x14ac:dyDescent="0.3">
      <c r="A106" s="1">
        <v>44159</v>
      </c>
      <c r="B106" s="2" t="s">
        <v>5</v>
      </c>
      <c r="C106">
        <v>3130</v>
      </c>
      <c r="D106">
        <v>19</v>
      </c>
      <c r="E106">
        <v>689</v>
      </c>
      <c r="F106">
        <v>2371</v>
      </c>
      <c r="G106">
        <v>41</v>
      </c>
      <c r="H106">
        <v>10</v>
      </c>
      <c r="I106">
        <v>59222</v>
      </c>
      <c r="J106">
        <v>27736</v>
      </c>
      <c r="K106">
        <v>68</v>
      </c>
      <c r="L106">
        <v>105</v>
      </c>
      <c r="M106">
        <v>104</v>
      </c>
    </row>
    <row r="107" spans="1:13" hidden="1" x14ac:dyDescent="0.3">
      <c r="A107" s="1">
        <v>44160</v>
      </c>
      <c r="B107" s="2" t="s">
        <v>5</v>
      </c>
      <c r="C107">
        <v>3175</v>
      </c>
      <c r="D107">
        <v>47</v>
      </c>
      <c r="E107">
        <v>707</v>
      </c>
      <c r="F107">
        <v>2398</v>
      </c>
      <c r="G107">
        <v>41</v>
      </c>
      <c r="H107">
        <v>9</v>
      </c>
      <c r="I107">
        <v>59994</v>
      </c>
      <c r="J107">
        <v>27762</v>
      </c>
      <c r="K107">
        <v>68</v>
      </c>
      <c r="L107">
        <v>106</v>
      </c>
      <c r="M107">
        <v>105</v>
      </c>
    </row>
    <row r="108" spans="1:13" hidden="1" x14ac:dyDescent="0.3">
      <c r="A108" s="1">
        <v>44161</v>
      </c>
      <c r="B108" s="2" t="s">
        <v>5</v>
      </c>
      <c r="C108">
        <v>3241</v>
      </c>
      <c r="D108">
        <v>66</v>
      </c>
      <c r="E108">
        <v>737</v>
      </c>
      <c r="F108">
        <v>2434</v>
      </c>
      <c r="G108">
        <v>42</v>
      </c>
      <c r="H108">
        <v>9</v>
      </c>
      <c r="I108">
        <v>60613</v>
      </c>
      <c r="J108">
        <v>27799</v>
      </c>
      <c r="K108">
        <v>68</v>
      </c>
      <c r="L108">
        <v>107</v>
      </c>
      <c r="M108">
        <v>106</v>
      </c>
    </row>
    <row r="109" spans="1:13" hidden="1" x14ac:dyDescent="0.3">
      <c r="A109" s="1">
        <v>44162</v>
      </c>
      <c r="B109" s="2" t="s">
        <v>5</v>
      </c>
      <c r="C109">
        <v>3251</v>
      </c>
      <c r="D109">
        <v>36</v>
      </c>
      <c r="E109">
        <v>706</v>
      </c>
      <c r="F109">
        <v>2471</v>
      </c>
      <c r="G109">
        <v>44</v>
      </c>
      <c r="H109">
        <v>8</v>
      </c>
      <c r="I109">
        <v>61349</v>
      </c>
      <c r="J109">
        <v>27933</v>
      </c>
      <c r="K109">
        <v>72</v>
      </c>
      <c r="L109">
        <v>108</v>
      </c>
      <c r="M109">
        <v>107</v>
      </c>
    </row>
    <row r="110" spans="1:13" hidden="1" x14ac:dyDescent="0.3">
      <c r="A110" s="1">
        <v>44163</v>
      </c>
      <c r="B110" s="2" t="s">
        <v>5</v>
      </c>
      <c r="C110">
        <v>3268</v>
      </c>
      <c r="D110">
        <v>17</v>
      </c>
      <c r="E110">
        <v>688</v>
      </c>
      <c r="F110">
        <v>2506</v>
      </c>
      <c r="G110">
        <v>44</v>
      </c>
      <c r="H110">
        <v>8</v>
      </c>
      <c r="I110">
        <v>61701</v>
      </c>
      <c r="J110">
        <v>27938</v>
      </c>
      <c r="K110">
        <v>72</v>
      </c>
      <c r="L110">
        <v>109</v>
      </c>
      <c r="M110">
        <v>108</v>
      </c>
    </row>
    <row r="111" spans="1:13" hidden="1" x14ac:dyDescent="0.3">
      <c r="A111" s="1">
        <v>44164</v>
      </c>
      <c r="B111" s="2" t="s">
        <v>5</v>
      </c>
      <c r="C111">
        <v>3296</v>
      </c>
      <c r="D111">
        <v>27</v>
      </c>
      <c r="E111">
        <v>701</v>
      </c>
      <c r="F111">
        <v>2519</v>
      </c>
      <c r="G111">
        <v>47</v>
      </c>
      <c r="H111">
        <v>7</v>
      </c>
      <c r="I111">
        <v>62110</v>
      </c>
      <c r="J111">
        <v>28055</v>
      </c>
      <c r="K111">
        <v>74</v>
      </c>
      <c r="L111">
        <v>110</v>
      </c>
      <c r="M111">
        <v>109</v>
      </c>
    </row>
    <row r="112" spans="1:13" hidden="1" x14ac:dyDescent="0.3">
      <c r="A112" s="1">
        <v>44165</v>
      </c>
      <c r="B112" s="2" t="s">
        <v>5</v>
      </c>
      <c r="C112">
        <v>3308</v>
      </c>
      <c r="D112">
        <v>12</v>
      </c>
      <c r="E112">
        <v>681</v>
      </c>
      <c r="F112">
        <v>2551</v>
      </c>
      <c r="G112">
        <v>41</v>
      </c>
      <c r="H112">
        <v>8</v>
      </c>
      <c r="I112">
        <v>62656</v>
      </c>
      <c r="J112">
        <v>28251</v>
      </c>
      <c r="K112">
        <v>74</v>
      </c>
      <c r="L112">
        <v>111</v>
      </c>
      <c r="M112">
        <v>110</v>
      </c>
    </row>
    <row r="113" spans="1:13" hidden="1" x14ac:dyDescent="0.3">
      <c r="A113" s="1">
        <v>44166</v>
      </c>
      <c r="B113" s="2" t="s">
        <v>5</v>
      </c>
      <c r="C113">
        <v>3336</v>
      </c>
      <c r="D113">
        <v>30</v>
      </c>
      <c r="E113">
        <v>675</v>
      </c>
      <c r="F113">
        <v>2584</v>
      </c>
      <c r="G113">
        <v>39</v>
      </c>
      <c r="H113">
        <v>7</v>
      </c>
      <c r="I113">
        <v>63088</v>
      </c>
      <c r="J113">
        <v>28500</v>
      </c>
      <c r="K113">
        <v>75</v>
      </c>
      <c r="L113">
        <v>112</v>
      </c>
      <c r="M113">
        <v>111</v>
      </c>
    </row>
    <row r="114" spans="1:13" hidden="1" x14ac:dyDescent="0.3">
      <c r="A114" s="1">
        <v>44167</v>
      </c>
      <c r="B114" s="2" t="s">
        <v>5</v>
      </c>
      <c r="C114">
        <v>3356</v>
      </c>
      <c r="D114">
        <v>20</v>
      </c>
      <c r="E114">
        <v>651</v>
      </c>
      <c r="F114">
        <v>2627</v>
      </c>
      <c r="G114">
        <v>37</v>
      </c>
      <c r="H114">
        <v>5</v>
      </c>
      <c r="I114">
        <v>63618</v>
      </c>
      <c r="J114">
        <v>28668</v>
      </c>
      <c r="K114">
        <v>76</v>
      </c>
      <c r="L114">
        <v>113</v>
      </c>
      <c r="M114">
        <v>112</v>
      </c>
    </row>
    <row r="115" spans="1:13" hidden="1" x14ac:dyDescent="0.3">
      <c r="A115" s="1">
        <v>44168</v>
      </c>
      <c r="B115" s="2" t="s">
        <v>5</v>
      </c>
      <c r="C115">
        <v>3373</v>
      </c>
      <c r="D115">
        <v>16</v>
      </c>
      <c r="E115">
        <v>615</v>
      </c>
      <c r="F115">
        <v>2679</v>
      </c>
      <c r="G115">
        <v>32</v>
      </c>
      <c r="H115">
        <v>7</v>
      </c>
      <c r="I115">
        <v>64034</v>
      </c>
      <c r="J115">
        <v>28833</v>
      </c>
      <c r="K115">
        <v>77</v>
      </c>
      <c r="L115">
        <v>114</v>
      </c>
      <c r="M115">
        <v>113</v>
      </c>
    </row>
    <row r="116" spans="1:13" hidden="1" x14ac:dyDescent="0.3">
      <c r="A116" s="1">
        <v>44169</v>
      </c>
      <c r="B116" s="2" t="s">
        <v>5</v>
      </c>
      <c r="C116">
        <v>3407</v>
      </c>
      <c r="D116">
        <v>33</v>
      </c>
      <c r="E116">
        <v>596</v>
      </c>
      <c r="F116">
        <v>2731</v>
      </c>
      <c r="G116">
        <v>29</v>
      </c>
      <c r="H116">
        <v>6</v>
      </c>
      <c r="I116">
        <v>64424</v>
      </c>
      <c r="J116">
        <v>29119</v>
      </c>
      <c r="K116">
        <v>78</v>
      </c>
      <c r="L116">
        <v>115</v>
      </c>
      <c r="M116">
        <v>114</v>
      </c>
    </row>
    <row r="117" spans="1:13" hidden="1" x14ac:dyDescent="0.3">
      <c r="A117" s="1">
        <v>44170</v>
      </c>
      <c r="B117" s="2" t="s">
        <v>5</v>
      </c>
      <c r="C117">
        <v>3430</v>
      </c>
      <c r="D117">
        <v>23</v>
      </c>
      <c r="E117">
        <v>586</v>
      </c>
      <c r="F117">
        <v>2764</v>
      </c>
      <c r="G117">
        <v>27</v>
      </c>
      <c r="H117">
        <v>8</v>
      </c>
      <c r="I117">
        <v>64784</v>
      </c>
      <c r="J117">
        <v>29150</v>
      </c>
      <c r="K117">
        <v>78</v>
      </c>
      <c r="L117">
        <v>116</v>
      </c>
      <c r="M117">
        <v>115</v>
      </c>
    </row>
    <row r="118" spans="1:13" hidden="1" x14ac:dyDescent="0.3">
      <c r="A118" s="1">
        <v>44171</v>
      </c>
      <c r="B118" s="2" t="s">
        <v>5</v>
      </c>
      <c r="C118">
        <v>3466</v>
      </c>
      <c r="D118">
        <v>36</v>
      </c>
      <c r="E118">
        <v>576</v>
      </c>
      <c r="F118">
        <v>2810</v>
      </c>
      <c r="G118">
        <v>30</v>
      </c>
      <c r="H118">
        <v>6</v>
      </c>
      <c r="I118">
        <v>65009</v>
      </c>
      <c r="J118">
        <v>29240</v>
      </c>
      <c r="K118">
        <v>78</v>
      </c>
      <c r="L118">
        <v>117</v>
      </c>
      <c r="M118">
        <v>116</v>
      </c>
    </row>
    <row r="119" spans="1:13" hidden="1" x14ac:dyDescent="0.3">
      <c r="A119" s="1">
        <v>44172</v>
      </c>
      <c r="B119" s="2" t="s">
        <v>5</v>
      </c>
      <c r="C119">
        <v>3482</v>
      </c>
      <c r="D119">
        <v>16</v>
      </c>
      <c r="E119">
        <v>552</v>
      </c>
      <c r="F119">
        <v>2849</v>
      </c>
      <c r="G119">
        <v>29</v>
      </c>
      <c r="H119">
        <v>4</v>
      </c>
      <c r="I119">
        <v>65342</v>
      </c>
      <c r="J119">
        <v>29311</v>
      </c>
      <c r="K119">
        <v>79</v>
      </c>
      <c r="L119">
        <v>118</v>
      </c>
      <c r="M119">
        <v>117</v>
      </c>
    </row>
    <row r="120" spans="1:13" hidden="1" x14ac:dyDescent="0.3">
      <c r="A120" s="1">
        <v>44173</v>
      </c>
      <c r="B120" s="2" t="s">
        <v>5</v>
      </c>
      <c r="C120">
        <v>3533</v>
      </c>
      <c r="D120">
        <v>51</v>
      </c>
      <c r="E120">
        <v>596</v>
      </c>
      <c r="F120">
        <v>2855</v>
      </c>
      <c r="G120">
        <v>28</v>
      </c>
      <c r="H120">
        <v>4</v>
      </c>
      <c r="I120">
        <v>65972</v>
      </c>
      <c r="J120">
        <v>29341</v>
      </c>
      <c r="K120">
        <v>80</v>
      </c>
      <c r="L120">
        <v>119</v>
      </c>
      <c r="M120">
        <v>118</v>
      </c>
    </row>
    <row r="121" spans="1:13" hidden="1" x14ac:dyDescent="0.3">
      <c r="A121" s="1">
        <v>44174</v>
      </c>
      <c r="B121" s="2" t="s">
        <v>5</v>
      </c>
      <c r="C121">
        <v>3557</v>
      </c>
      <c r="D121">
        <v>25</v>
      </c>
      <c r="E121">
        <v>596</v>
      </c>
      <c r="F121">
        <v>2878</v>
      </c>
      <c r="G121">
        <v>27</v>
      </c>
      <c r="H121">
        <v>3</v>
      </c>
      <c r="I121">
        <v>66283</v>
      </c>
      <c r="J121">
        <v>29384</v>
      </c>
      <c r="K121">
        <v>81</v>
      </c>
      <c r="L121">
        <v>120</v>
      </c>
      <c r="M121">
        <v>119</v>
      </c>
    </row>
    <row r="122" spans="1:13" hidden="1" x14ac:dyDescent="0.3">
      <c r="A122" s="1">
        <v>44175</v>
      </c>
      <c r="B122" s="2" t="s">
        <v>5</v>
      </c>
      <c r="C122">
        <v>3580</v>
      </c>
      <c r="D122">
        <v>21</v>
      </c>
      <c r="E122">
        <v>573</v>
      </c>
      <c r="F122">
        <v>2924</v>
      </c>
      <c r="G122">
        <v>28</v>
      </c>
      <c r="H122">
        <v>3</v>
      </c>
      <c r="I122">
        <v>66878</v>
      </c>
      <c r="J122">
        <v>29423</v>
      </c>
      <c r="K122">
        <v>81</v>
      </c>
      <c r="L122">
        <v>121</v>
      </c>
      <c r="M122">
        <v>120</v>
      </c>
    </row>
    <row r="123" spans="1:13" hidden="1" x14ac:dyDescent="0.3">
      <c r="A123" s="1">
        <v>44176</v>
      </c>
      <c r="B123" s="2" t="s">
        <v>5</v>
      </c>
      <c r="C123">
        <v>3611</v>
      </c>
      <c r="D123">
        <v>28</v>
      </c>
      <c r="E123">
        <v>547</v>
      </c>
      <c r="F123">
        <v>2981</v>
      </c>
      <c r="G123">
        <v>29</v>
      </c>
      <c r="H123">
        <v>4</v>
      </c>
      <c r="I123">
        <v>67485</v>
      </c>
      <c r="J123">
        <v>29469</v>
      </c>
      <c r="K123">
        <v>81</v>
      </c>
      <c r="L123">
        <v>122</v>
      </c>
      <c r="M123">
        <v>121</v>
      </c>
    </row>
    <row r="124" spans="1:13" hidden="1" x14ac:dyDescent="0.3">
      <c r="A124" s="1">
        <v>44177</v>
      </c>
      <c r="B124" s="2" t="s">
        <v>5</v>
      </c>
      <c r="C124">
        <v>3637</v>
      </c>
      <c r="D124">
        <v>26</v>
      </c>
      <c r="E124">
        <v>533</v>
      </c>
      <c r="F124">
        <v>3020</v>
      </c>
      <c r="G124">
        <v>28</v>
      </c>
      <c r="H124">
        <v>4</v>
      </c>
      <c r="I124">
        <v>68004</v>
      </c>
      <c r="J124">
        <v>29495</v>
      </c>
      <c r="K124">
        <v>82</v>
      </c>
      <c r="L124">
        <v>123</v>
      </c>
      <c r="M124">
        <v>122</v>
      </c>
    </row>
    <row r="125" spans="1:13" hidden="1" x14ac:dyDescent="0.3">
      <c r="A125" s="1">
        <v>44178</v>
      </c>
      <c r="B125" s="2" t="s">
        <v>5</v>
      </c>
      <c r="C125">
        <v>3686</v>
      </c>
      <c r="D125">
        <v>48</v>
      </c>
      <c r="E125">
        <v>563</v>
      </c>
      <c r="F125">
        <v>3037</v>
      </c>
      <c r="G125">
        <v>30</v>
      </c>
      <c r="H125">
        <v>4</v>
      </c>
      <c r="I125">
        <v>69010</v>
      </c>
      <c r="J125">
        <v>29513</v>
      </c>
      <c r="K125">
        <v>84</v>
      </c>
      <c r="L125">
        <v>124</v>
      </c>
      <c r="M125">
        <v>123</v>
      </c>
    </row>
    <row r="126" spans="1:13" hidden="1" x14ac:dyDescent="0.3">
      <c r="A126" s="1">
        <v>44179</v>
      </c>
      <c r="B126" s="2" t="s">
        <v>5</v>
      </c>
      <c r="C126">
        <v>3704</v>
      </c>
      <c r="D126">
        <v>18</v>
      </c>
      <c r="E126">
        <v>562</v>
      </c>
      <c r="F126">
        <v>3056</v>
      </c>
      <c r="G126">
        <v>30</v>
      </c>
      <c r="H126">
        <v>5</v>
      </c>
      <c r="I126">
        <v>69859</v>
      </c>
      <c r="J126">
        <v>29565</v>
      </c>
      <c r="K126">
        <v>84</v>
      </c>
      <c r="L126">
        <v>125</v>
      </c>
      <c r="M126">
        <v>124</v>
      </c>
    </row>
    <row r="127" spans="1:13" hidden="1" x14ac:dyDescent="0.3">
      <c r="A127" s="1">
        <v>44180</v>
      </c>
      <c r="B127" s="2" t="s">
        <v>5</v>
      </c>
      <c r="C127">
        <v>3738</v>
      </c>
      <c r="D127">
        <v>32</v>
      </c>
      <c r="E127">
        <v>570</v>
      </c>
      <c r="F127">
        <v>3082</v>
      </c>
      <c r="G127">
        <v>30</v>
      </c>
      <c r="H127">
        <v>4</v>
      </c>
      <c r="I127">
        <v>70459</v>
      </c>
      <c r="J127">
        <v>29598</v>
      </c>
      <c r="K127">
        <v>84</v>
      </c>
      <c r="L127">
        <v>126</v>
      </c>
      <c r="M127">
        <v>125</v>
      </c>
    </row>
    <row r="128" spans="1:13" hidden="1" x14ac:dyDescent="0.3">
      <c r="A128" s="1">
        <v>44181</v>
      </c>
      <c r="B128" s="2" t="s">
        <v>5</v>
      </c>
      <c r="C128">
        <v>3754</v>
      </c>
      <c r="D128">
        <v>15</v>
      </c>
      <c r="E128">
        <v>555</v>
      </c>
      <c r="F128">
        <v>3113</v>
      </c>
      <c r="G128">
        <v>28</v>
      </c>
      <c r="H128">
        <v>4</v>
      </c>
      <c r="I128">
        <v>70950</v>
      </c>
      <c r="J128">
        <v>29632</v>
      </c>
      <c r="K128">
        <v>84</v>
      </c>
      <c r="L128">
        <v>127</v>
      </c>
      <c r="M128">
        <v>126</v>
      </c>
    </row>
    <row r="129" spans="1:13" hidden="1" x14ac:dyDescent="0.3">
      <c r="A129" s="1">
        <v>44182</v>
      </c>
      <c r="B129" s="2" t="s">
        <v>5</v>
      </c>
      <c r="C129">
        <v>3783</v>
      </c>
      <c r="D129">
        <v>29</v>
      </c>
      <c r="E129">
        <v>556</v>
      </c>
      <c r="F129">
        <v>3141</v>
      </c>
      <c r="G129">
        <v>30</v>
      </c>
      <c r="H129">
        <v>5</v>
      </c>
      <c r="I129">
        <v>71398</v>
      </c>
      <c r="J129">
        <v>29675</v>
      </c>
      <c r="K129">
        <v>84</v>
      </c>
      <c r="L129">
        <v>128</v>
      </c>
      <c r="M129">
        <v>127</v>
      </c>
    </row>
    <row r="130" spans="1:13" hidden="1" x14ac:dyDescent="0.3">
      <c r="A130" s="1">
        <v>44183</v>
      </c>
      <c r="B130" s="2" t="s">
        <v>5</v>
      </c>
      <c r="C130">
        <v>3793</v>
      </c>
      <c r="D130">
        <v>9</v>
      </c>
      <c r="E130">
        <v>534</v>
      </c>
      <c r="F130">
        <v>3173</v>
      </c>
      <c r="G130">
        <v>31</v>
      </c>
      <c r="H130">
        <v>6</v>
      </c>
      <c r="I130">
        <v>71661</v>
      </c>
      <c r="J130">
        <v>29755</v>
      </c>
      <c r="K130">
        <v>84</v>
      </c>
      <c r="L130">
        <v>129</v>
      </c>
      <c r="M130">
        <v>128</v>
      </c>
    </row>
    <row r="131" spans="1:13" hidden="1" x14ac:dyDescent="0.3">
      <c r="A131" s="1">
        <v>44184</v>
      </c>
      <c r="B131" s="2" t="s">
        <v>5</v>
      </c>
      <c r="C131">
        <v>3804</v>
      </c>
      <c r="D131">
        <v>12</v>
      </c>
      <c r="E131">
        <v>486</v>
      </c>
      <c r="F131">
        <v>3232</v>
      </c>
      <c r="G131">
        <v>29</v>
      </c>
      <c r="H131">
        <v>5</v>
      </c>
      <c r="I131">
        <v>72008</v>
      </c>
      <c r="J131">
        <v>29777</v>
      </c>
      <c r="K131">
        <v>84</v>
      </c>
      <c r="L131">
        <v>130</v>
      </c>
      <c r="M131">
        <v>129</v>
      </c>
    </row>
    <row r="132" spans="1:13" hidden="1" x14ac:dyDescent="0.3">
      <c r="A132" s="1">
        <v>44185</v>
      </c>
      <c r="B132" s="2" t="s">
        <v>5</v>
      </c>
      <c r="C132">
        <v>3817</v>
      </c>
      <c r="D132">
        <v>13</v>
      </c>
      <c r="E132">
        <v>458</v>
      </c>
      <c r="F132">
        <v>3273</v>
      </c>
      <c r="G132">
        <v>30</v>
      </c>
      <c r="H132">
        <v>4</v>
      </c>
      <c r="I132">
        <v>72321</v>
      </c>
      <c r="J132">
        <v>29805</v>
      </c>
      <c r="K132">
        <v>84</v>
      </c>
      <c r="L132">
        <v>131</v>
      </c>
      <c r="M132">
        <v>130</v>
      </c>
    </row>
    <row r="133" spans="1:13" hidden="1" x14ac:dyDescent="0.3">
      <c r="A133" s="1">
        <v>44186</v>
      </c>
      <c r="B133" s="2" t="s">
        <v>5</v>
      </c>
      <c r="C133">
        <v>3829</v>
      </c>
      <c r="D133">
        <v>12</v>
      </c>
      <c r="E133">
        <v>446</v>
      </c>
      <c r="F133">
        <v>3296</v>
      </c>
      <c r="G133">
        <v>33</v>
      </c>
      <c r="H133">
        <v>4</v>
      </c>
      <c r="I133">
        <v>72601</v>
      </c>
      <c r="J133">
        <v>29871</v>
      </c>
      <c r="K133">
        <v>85</v>
      </c>
      <c r="L133">
        <v>132</v>
      </c>
      <c r="M133">
        <v>131</v>
      </c>
    </row>
    <row r="134" spans="1:13" hidden="1" x14ac:dyDescent="0.3">
      <c r="A134" s="1">
        <v>44187</v>
      </c>
      <c r="B134" s="2" t="s">
        <v>5</v>
      </c>
      <c r="C134">
        <v>3846</v>
      </c>
      <c r="D134">
        <v>15</v>
      </c>
      <c r="E134">
        <v>426</v>
      </c>
      <c r="F134">
        <v>3333</v>
      </c>
      <c r="G134">
        <v>30</v>
      </c>
      <c r="H134">
        <v>3</v>
      </c>
      <c r="I134">
        <v>73442</v>
      </c>
      <c r="J134">
        <v>29928</v>
      </c>
      <c r="K134">
        <v>85</v>
      </c>
      <c r="L134">
        <v>133</v>
      </c>
      <c r="M134">
        <v>132</v>
      </c>
    </row>
    <row r="135" spans="1:13" hidden="1" x14ac:dyDescent="0.3">
      <c r="A135" s="1">
        <v>44188</v>
      </c>
      <c r="B135" s="2" t="s">
        <v>5</v>
      </c>
      <c r="C135">
        <v>3866</v>
      </c>
      <c r="D135">
        <v>18</v>
      </c>
      <c r="E135">
        <v>395</v>
      </c>
      <c r="F135">
        <v>3384</v>
      </c>
      <c r="G135">
        <v>30</v>
      </c>
      <c r="H135">
        <v>2</v>
      </c>
      <c r="I135">
        <v>74153</v>
      </c>
      <c r="J135">
        <v>29966</v>
      </c>
      <c r="K135">
        <v>85</v>
      </c>
      <c r="L135">
        <v>134</v>
      </c>
      <c r="M135">
        <v>133</v>
      </c>
    </row>
    <row r="136" spans="1:13" hidden="1" x14ac:dyDescent="0.3">
      <c r="A136" s="1">
        <v>44189</v>
      </c>
      <c r="B136" s="2" t="s">
        <v>5</v>
      </c>
      <c r="C136">
        <v>3888</v>
      </c>
      <c r="D136">
        <v>20</v>
      </c>
      <c r="E136">
        <v>398</v>
      </c>
      <c r="F136">
        <v>3403</v>
      </c>
      <c r="G136">
        <v>29</v>
      </c>
      <c r="H136">
        <v>1</v>
      </c>
      <c r="I136">
        <v>74785</v>
      </c>
      <c r="J136">
        <v>30005</v>
      </c>
      <c r="K136">
        <v>85</v>
      </c>
      <c r="L136">
        <v>135</v>
      </c>
      <c r="M136">
        <v>134</v>
      </c>
    </row>
    <row r="137" spans="1:13" hidden="1" x14ac:dyDescent="0.3">
      <c r="A137" s="1">
        <v>44190</v>
      </c>
      <c r="B137" s="2" t="s">
        <v>5</v>
      </c>
      <c r="C137">
        <v>3900</v>
      </c>
      <c r="D137">
        <v>12</v>
      </c>
      <c r="E137">
        <v>382</v>
      </c>
      <c r="F137">
        <v>3429</v>
      </c>
      <c r="G137">
        <v>26</v>
      </c>
      <c r="H137">
        <v>2</v>
      </c>
      <c r="I137">
        <v>75272</v>
      </c>
      <c r="J137">
        <v>30026</v>
      </c>
      <c r="K137">
        <v>87</v>
      </c>
      <c r="L137">
        <v>136</v>
      </c>
      <c r="M137">
        <v>135</v>
      </c>
    </row>
    <row r="138" spans="1:13" hidden="1" x14ac:dyDescent="0.3">
      <c r="A138" s="1">
        <v>44191</v>
      </c>
      <c r="B138" s="2" t="s">
        <v>5</v>
      </c>
      <c r="C138">
        <v>3909</v>
      </c>
      <c r="D138">
        <v>8</v>
      </c>
      <c r="E138">
        <v>348</v>
      </c>
      <c r="F138">
        <v>3472</v>
      </c>
      <c r="G138">
        <v>25</v>
      </c>
      <c r="H138">
        <v>3</v>
      </c>
      <c r="I138">
        <v>75538</v>
      </c>
      <c r="J138">
        <v>30043</v>
      </c>
      <c r="K138">
        <v>87</v>
      </c>
      <c r="L138">
        <v>137</v>
      </c>
      <c r="M138">
        <v>136</v>
      </c>
    </row>
    <row r="139" spans="1:13" hidden="1" x14ac:dyDescent="0.3">
      <c r="A139" s="1">
        <v>44192</v>
      </c>
      <c r="B139" s="2" t="s">
        <v>5</v>
      </c>
      <c r="C139">
        <v>3925</v>
      </c>
      <c r="D139">
        <v>14</v>
      </c>
      <c r="E139">
        <v>336</v>
      </c>
      <c r="F139">
        <v>3500</v>
      </c>
      <c r="G139">
        <v>24</v>
      </c>
      <c r="H139">
        <v>4</v>
      </c>
      <c r="I139">
        <v>75919</v>
      </c>
      <c r="J139">
        <v>30082</v>
      </c>
      <c r="K139">
        <v>87</v>
      </c>
      <c r="L139">
        <v>138</v>
      </c>
      <c r="M139">
        <v>137</v>
      </c>
    </row>
    <row r="140" spans="1:13" hidden="1" x14ac:dyDescent="0.3">
      <c r="A140" s="1">
        <v>44193</v>
      </c>
      <c r="B140" s="2" t="s">
        <v>5</v>
      </c>
      <c r="C140">
        <v>3954</v>
      </c>
      <c r="D140">
        <v>30</v>
      </c>
      <c r="E140">
        <v>337</v>
      </c>
      <c r="F140">
        <v>3527</v>
      </c>
      <c r="G140">
        <v>27</v>
      </c>
      <c r="H140">
        <v>4</v>
      </c>
      <c r="I140">
        <v>76156</v>
      </c>
      <c r="J140">
        <v>30134</v>
      </c>
      <c r="K140">
        <v>88</v>
      </c>
      <c r="L140">
        <v>139</v>
      </c>
      <c r="M140">
        <v>138</v>
      </c>
    </row>
    <row r="141" spans="1:13" hidden="1" x14ac:dyDescent="0.3">
      <c r="A141" s="1">
        <v>44194</v>
      </c>
      <c r="B141" s="2" t="s">
        <v>5</v>
      </c>
      <c r="C141">
        <v>3969</v>
      </c>
      <c r="D141">
        <v>13</v>
      </c>
      <c r="E141">
        <v>327</v>
      </c>
      <c r="F141">
        <v>3551</v>
      </c>
      <c r="G141">
        <v>31</v>
      </c>
      <c r="H141">
        <v>3</v>
      </c>
      <c r="I141">
        <v>76468</v>
      </c>
      <c r="J141">
        <v>30177</v>
      </c>
      <c r="K141">
        <v>89</v>
      </c>
      <c r="L141">
        <v>140</v>
      </c>
      <c r="M141">
        <v>139</v>
      </c>
    </row>
    <row r="142" spans="1:13" hidden="1" x14ac:dyDescent="0.3">
      <c r="A142" s="1">
        <v>44195</v>
      </c>
      <c r="B142" s="2" t="s">
        <v>5</v>
      </c>
      <c r="C142">
        <v>3993</v>
      </c>
      <c r="D142">
        <v>26</v>
      </c>
      <c r="E142">
        <v>312</v>
      </c>
      <c r="F142">
        <v>3589</v>
      </c>
      <c r="G142">
        <v>33</v>
      </c>
      <c r="H142">
        <v>3</v>
      </c>
      <c r="I142">
        <v>76840</v>
      </c>
      <c r="J142">
        <v>30208</v>
      </c>
      <c r="K142">
        <v>90</v>
      </c>
      <c r="L142">
        <v>141</v>
      </c>
      <c r="M142">
        <v>140</v>
      </c>
    </row>
    <row r="143" spans="1:13" hidden="1" x14ac:dyDescent="0.3">
      <c r="A143" s="1">
        <v>44196</v>
      </c>
      <c r="B143" s="2" t="s">
        <v>5</v>
      </c>
      <c r="C143">
        <v>4017</v>
      </c>
      <c r="D143">
        <v>19</v>
      </c>
      <c r="E143">
        <v>307</v>
      </c>
      <c r="F143">
        <v>3618</v>
      </c>
      <c r="G143">
        <v>35</v>
      </c>
      <c r="H143">
        <v>2</v>
      </c>
      <c r="I143">
        <v>77124</v>
      </c>
      <c r="J143">
        <v>30256</v>
      </c>
      <c r="K143">
        <v>90</v>
      </c>
      <c r="L143">
        <v>142</v>
      </c>
      <c r="M143">
        <v>141</v>
      </c>
    </row>
    <row r="144" spans="1:13" hidden="1" x14ac:dyDescent="0.3">
      <c r="A144" s="1">
        <v>44197</v>
      </c>
      <c r="B144" s="2" t="s">
        <v>5</v>
      </c>
      <c r="C144">
        <v>4038</v>
      </c>
      <c r="D144">
        <v>21</v>
      </c>
      <c r="E144">
        <v>309</v>
      </c>
      <c r="F144">
        <v>3637</v>
      </c>
      <c r="G144">
        <v>37</v>
      </c>
      <c r="H144">
        <v>2</v>
      </c>
      <c r="I144">
        <v>77386</v>
      </c>
      <c r="J144">
        <v>30271</v>
      </c>
      <c r="K144">
        <v>90</v>
      </c>
      <c r="L144">
        <v>143</v>
      </c>
      <c r="M144">
        <v>142</v>
      </c>
    </row>
    <row r="145" spans="1:13" hidden="1" x14ac:dyDescent="0.3">
      <c r="A145" s="1">
        <v>44198</v>
      </c>
      <c r="B145" s="2" t="s">
        <v>5</v>
      </c>
      <c r="C145">
        <v>4049</v>
      </c>
      <c r="D145">
        <v>9</v>
      </c>
      <c r="E145">
        <v>295</v>
      </c>
      <c r="F145">
        <v>3662</v>
      </c>
      <c r="G145">
        <v>41</v>
      </c>
      <c r="H145">
        <v>2</v>
      </c>
      <c r="I145">
        <v>77572</v>
      </c>
      <c r="J145">
        <v>30286</v>
      </c>
      <c r="K145">
        <v>90</v>
      </c>
      <c r="L145">
        <v>144</v>
      </c>
      <c r="M145">
        <v>143</v>
      </c>
    </row>
    <row r="146" spans="1:13" hidden="1" x14ac:dyDescent="0.3">
      <c r="A146" s="1">
        <v>44199</v>
      </c>
      <c r="B146" s="2" t="s">
        <v>5</v>
      </c>
      <c r="C146">
        <v>4103</v>
      </c>
      <c r="D146">
        <v>54</v>
      </c>
      <c r="E146">
        <v>343</v>
      </c>
      <c r="F146">
        <v>3668</v>
      </c>
      <c r="G146">
        <v>45</v>
      </c>
      <c r="H146">
        <v>1</v>
      </c>
      <c r="I146">
        <v>77922</v>
      </c>
      <c r="J146">
        <v>30308</v>
      </c>
      <c r="K146">
        <v>90</v>
      </c>
      <c r="L146">
        <v>145</v>
      </c>
      <c r="M146">
        <v>144</v>
      </c>
    </row>
    <row r="147" spans="1:13" hidden="1" x14ac:dyDescent="0.3">
      <c r="A147" s="1">
        <v>44200</v>
      </c>
      <c r="B147" s="2" t="s">
        <v>5</v>
      </c>
      <c r="C147">
        <v>4125</v>
      </c>
      <c r="D147">
        <v>23</v>
      </c>
      <c r="E147">
        <v>348</v>
      </c>
      <c r="F147">
        <v>3685</v>
      </c>
      <c r="G147">
        <v>50</v>
      </c>
      <c r="H147">
        <v>1</v>
      </c>
      <c r="I147">
        <v>78261</v>
      </c>
      <c r="J147">
        <v>30348</v>
      </c>
      <c r="K147">
        <v>90</v>
      </c>
      <c r="L147">
        <v>146</v>
      </c>
      <c r="M147">
        <v>145</v>
      </c>
    </row>
    <row r="148" spans="1:13" hidden="1" x14ac:dyDescent="0.3">
      <c r="A148" s="1">
        <v>44201</v>
      </c>
      <c r="B148" s="2" t="s">
        <v>5</v>
      </c>
      <c r="C148">
        <v>4180</v>
      </c>
      <c r="D148">
        <v>52</v>
      </c>
      <c r="E148">
        <v>387</v>
      </c>
      <c r="F148">
        <v>3700</v>
      </c>
      <c r="G148">
        <v>46</v>
      </c>
      <c r="H148">
        <v>1</v>
      </c>
      <c r="I148">
        <v>78862</v>
      </c>
      <c r="J148">
        <v>30389</v>
      </c>
      <c r="K148">
        <v>91</v>
      </c>
      <c r="L148">
        <v>147</v>
      </c>
      <c r="M148">
        <v>146</v>
      </c>
    </row>
    <row r="149" spans="1:13" hidden="1" x14ac:dyDescent="0.3">
      <c r="A149" s="1">
        <v>44202</v>
      </c>
      <c r="B149" s="2" t="s">
        <v>5</v>
      </c>
      <c r="C149">
        <v>4211</v>
      </c>
      <c r="D149">
        <v>29</v>
      </c>
      <c r="E149">
        <v>399</v>
      </c>
      <c r="F149">
        <v>3718</v>
      </c>
      <c r="G149">
        <v>44</v>
      </c>
      <c r="H149">
        <v>3</v>
      </c>
      <c r="I149">
        <v>79320</v>
      </c>
      <c r="J149">
        <v>30418</v>
      </c>
      <c r="K149">
        <v>92</v>
      </c>
      <c r="L149">
        <v>148</v>
      </c>
      <c r="M149">
        <v>147</v>
      </c>
    </row>
    <row r="150" spans="1:13" hidden="1" x14ac:dyDescent="0.3">
      <c r="A150" s="1">
        <v>44203</v>
      </c>
      <c r="B150" s="2" t="s">
        <v>5</v>
      </c>
      <c r="C150">
        <v>4261</v>
      </c>
      <c r="D150">
        <v>46</v>
      </c>
      <c r="E150">
        <v>432</v>
      </c>
      <c r="F150">
        <v>3735</v>
      </c>
      <c r="G150">
        <v>43</v>
      </c>
      <c r="H150">
        <v>3</v>
      </c>
      <c r="I150">
        <v>79637</v>
      </c>
      <c r="J150">
        <v>30461</v>
      </c>
      <c r="K150">
        <v>92</v>
      </c>
      <c r="L150">
        <v>149</v>
      </c>
      <c r="M150">
        <v>148</v>
      </c>
    </row>
    <row r="151" spans="1:13" hidden="1" x14ac:dyDescent="0.3">
      <c r="A151" s="1">
        <v>44204</v>
      </c>
      <c r="B151" s="2" t="s">
        <v>5</v>
      </c>
      <c r="C151">
        <v>4294</v>
      </c>
      <c r="D151">
        <v>28</v>
      </c>
      <c r="E151">
        <v>437</v>
      </c>
      <c r="F151">
        <v>3762</v>
      </c>
      <c r="G151">
        <v>35</v>
      </c>
      <c r="H151">
        <v>4</v>
      </c>
      <c r="I151">
        <v>80005</v>
      </c>
      <c r="J151">
        <v>30507</v>
      </c>
      <c r="K151">
        <v>93</v>
      </c>
      <c r="L151">
        <v>150</v>
      </c>
      <c r="M151">
        <v>149</v>
      </c>
    </row>
    <row r="152" spans="1:13" hidden="1" x14ac:dyDescent="0.3">
      <c r="A152" s="1">
        <v>44205</v>
      </c>
      <c r="B152" s="2" t="s">
        <v>5</v>
      </c>
      <c r="C152">
        <v>4358</v>
      </c>
      <c r="D152">
        <v>61</v>
      </c>
      <c r="E152">
        <v>491</v>
      </c>
      <c r="F152">
        <v>3772</v>
      </c>
      <c r="G152">
        <v>43</v>
      </c>
      <c r="H152">
        <v>3</v>
      </c>
      <c r="I152">
        <v>80740</v>
      </c>
      <c r="J152">
        <v>30543</v>
      </c>
      <c r="K152">
        <v>93</v>
      </c>
      <c r="L152">
        <v>151</v>
      </c>
      <c r="M152">
        <v>150</v>
      </c>
    </row>
    <row r="153" spans="1:13" hidden="1" x14ac:dyDescent="0.3">
      <c r="A153" s="1">
        <v>44206</v>
      </c>
      <c r="B153" s="2" t="s">
        <v>5</v>
      </c>
      <c r="C153">
        <v>4445</v>
      </c>
      <c r="D153">
        <v>86</v>
      </c>
      <c r="E153">
        <v>567</v>
      </c>
      <c r="F153">
        <v>3783</v>
      </c>
      <c r="G153">
        <v>54</v>
      </c>
      <c r="H153">
        <v>6</v>
      </c>
      <c r="I153">
        <v>81369</v>
      </c>
      <c r="J153">
        <v>30566</v>
      </c>
      <c r="K153">
        <v>93</v>
      </c>
      <c r="L153">
        <v>152</v>
      </c>
      <c r="M153">
        <v>151</v>
      </c>
    </row>
    <row r="154" spans="1:13" hidden="1" x14ac:dyDescent="0.3">
      <c r="A154" s="1">
        <v>44207</v>
      </c>
      <c r="B154" s="2" t="s">
        <v>5</v>
      </c>
      <c r="C154">
        <v>4496</v>
      </c>
      <c r="D154">
        <v>49</v>
      </c>
      <c r="E154">
        <v>598</v>
      </c>
      <c r="F154">
        <v>3800</v>
      </c>
      <c r="G154">
        <v>62</v>
      </c>
      <c r="H154">
        <v>5</v>
      </c>
      <c r="I154">
        <v>81907</v>
      </c>
      <c r="J154">
        <v>30633</v>
      </c>
      <c r="K154">
        <v>96</v>
      </c>
      <c r="L154">
        <v>153</v>
      </c>
      <c r="M154">
        <v>152</v>
      </c>
    </row>
    <row r="155" spans="1:13" hidden="1" x14ac:dyDescent="0.3">
      <c r="A155" s="1">
        <v>44208</v>
      </c>
      <c r="B155" s="2" t="s">
        <v>5</v>
      </c>
      <c r="C155">
        <v>4570</v>
      </c>
      <c r="D155">
        <v>71</v>
      </c>
      <c r="E155">
        <v>659</v>
      </c>
      <c r="F155">
        <v>3813</v>
      </c>
      <c r="G155">
        <v>74</v>
      </c>
      <c r="H155">
        <v>5</v>
      </c>
      <c r="I155">
        <v>82576</v>
      </c>
      <c r="J155">
        <v>30702</v>
      </c>
      <c r="K155">
        <v>96</v>
      </c>
      <c r="L155">
        <v>154</v>
      </c>
      <c r="M155">
        <v>153</v>
      </c>
    </row>
    <row r="156" spans="1:13" hidden="1" x14ac:dyDescent="0.3">
      <c r="A156" s="1">
        <v>44209</v>
      </c>
      <c r="B156" s="2" t="s">
        <v>5</v>
      </c>
      <c r="C156">
        <v>4638</v>
      </c>
      <c r="D156">
        <v>61</v>
      </c>
      <c r="E156">
        <v>710</v>
      </c>
      <c r="F156">
        <v>3830</v>
      </c>
      <c r="G156">
        <v>73</v>
      </c>
      <c r="H156">
        <v>6</v>
      </c>
      <c r="I156">
        <v>83246</v>
      </c>
      <c r="J156">
        <v>30746</v>
      </c>
      <c r="K156">
        <v>96</v>
      </c>
      <c r="L156">
        <v>155</v>
      </c>
      <c r="M156">
        <v>154</v>
      </c>
    </row>
    <row r="157" spans="1:13" hidden="1" x14ac:dyDescent="0.3">
      <c r="A157" s="1">
        <v>44210</v>
      </c>
      <c r="B157" s="2" t="s">
        <v>5</v>
      </c>
      <c r="C157">
        <v>4751</v>
      </c>
      <c r="D157">
        <v>108</v>
      </c>
      <c r="E157">
        <v>796</v>
      </c>
      <c r="F157">
        <v>3855</v>
      </c>
      <c r="G157">
        <v>77</v>
      </c>
      <c r="H157">
        <v>9</v>
      </c>
      <c r="I157">
        <v>83828</v>
      </c>
      <c r="J157">
        <v>30818</v>
      </c>
      <c r="K157">
        <v>98</v>
      </c>
      <c r="L157">
        <v>156</v>
      </c>
      <c r="M157">
        <v>155</v>
      </c>
    </row>
    <row r="158" spans="1:13" hidden="1" x14ac:dyDescent="0.3">
      <c r="A158" s="1">
        <v>44211</v>
      </c>
      <c r="B158" s="2" t="s">
        <v>5</v>
      </c>
      <c r="C158">
        <v>4897</v>
      </c>
      <c r="D158">
        <v>140</v>
      </c>
      <c r="E158">
        <v>909</v>
      </c>
      <c r="F158">
        <v>3887</v>
      </c>
      <c r="G158">
        <v>80</v>
      </c>
      <c r="H158">
        <v>9</v>
      </c>
      <c r="I158">
        <v>84460</v>
      </c>
      <c r="J158">
        <v>30951</v>
      </c>
      <c r="K158">
        <v>99</v>
      </c>
      <c r="L158">
        <v>157</v>
      </c>
      <c r="M158">
        <v>156</v>
      </c>
    </row>
    <row r="159" spans="1:13" hidden="1" x14ac:dyDescent="0.3">
      <c r="A159" s="1">
        <v>44212</v>
      </c>
      <c r="B159" s="2" t="s">
        <v>5</v>
      </c>
      <c r="C159">
        <v>4981</v>
      </c>
      <c r="D159">
        <v>70</v>
      </c>
      <c r="E159">
        <v>981</v>
      </c>
      <c r="F159">
        <v>3899</v>
      </c>
      <c r="G159">
        <v>83</v>
      </c>
      <c r="H159">
        <v>13</v>
      </c>
      <c r="I159">
        <v>84829</v>
      </c>
      <c r="J159">
        <v>31005</v>
      </c>
      <c r="K159">
        <v>99</v>
      </c>
      <c r="L159">
        <v>158</v>
      </c>
      <c r="M159">
        <v>157</v>
      </c>
    </row>
    <row r="160" spans="1:13" hidden="1" x14ac:dyDescent="0.3">
      <c r="A160" s="1">
        <v>44213</v>
      </c>
      <c r="B160" s="2" t="s">
        <v>5</v>
      </c>
      <c r="C160">
        <v>5080</v>
      </c>
      <c r="D160">
        <v>94</v>
      </c>
      <c r="E160">
        <v>1049</v>
      </c>
      <c r="F160">
        <v>3928</v>
      </c>
      <c r="G160">
        <v>89</v>
      </c>
      <c r="H160">
        <v>11</v>
      </c>
      <c r="I160">
        <v>85439</v>
      </c>
      <c r="J160">
        <v>31106</v>
      </c>
      <c r="K160">
        <v>101</v>
      </c>
      <c r="L160">
        <v>159</v>
      </c>
      <c r="M160">
        <v>158</v>
      </c>
    </row>
    <row r="161" spans="1:13" hidden="1" x14ac:dyDescent="0.3">
      <c r="A161" s="1">
        <v>44214</v>
      </c>
      <c r="B161" s="2" t="s">
        <v>5</v>
      </c>
      <c r="C161">
        <v>5184</v>
      </c>
      <c r="D161">
        <v>99</v>
      </c>
      <c r="E161">
        <v>1124</v>
      </c>
      <c r="F161">
        <v>3953</v>
      </c>
      <c r="G161">
        <v>96</v>
      </c>
      <c r="H161">
        <v>11</v>
      </c>
      <c r="I161">
        <v>86034</v>
      </c>
      <c r="J161">
        <v>31270</v>
      </c>
      <c r="K161">
        <v>105</v>
      </c>
      <c r="L161">
        <v>160</v>
      </c>
      <c r="M161">
        <v>159</v>
      </c>
    </row>
    <row r="162" spans="1:13" hidden="1" x14ac:dyDescent="0.3">
      <c r="A162" s="1">
        <v>44215</v>
      </c>
      <c r="B162" s="2" t="s">
        <v>5</v>
      </c>
      <c r="C162">
        <v>5282</v>
      </c>
      <c r="D162">
        <v>88</v>
      </c>
      <c r="E162">
        <v>1192</v>
      </c>
      <c r="F162">
        <v>3982</v>
      </c>
      <c r="G162">
        <v>97</v>
      </c>
      <c r="H162">
        <v>13</v>
      </c>
      <c r="I162">
        <v>86893</v>
      </c>
      <c r="J162">
        <v>31412</v>
      </c>
      <c r="K162">
        <v>106</v>
      </c>
      <c r="L162">
        <v>161</v>
      </c>
      <c r="M162">
        <v>160</v>
      </c>
    </row>
    <row r="163" spans="1:13" hidden="1" x14ac:dyDescent="0.3">
      <c r="A163" s="1">
        <v>44216</v>
      </c>
      <c r="B163" s="2" t="s">
        <v>5</v>
      </c>
      <c r="C163">
        <v>5423</v>
      </c>
      <c r="D163">
        <v>128</v>
      </c>
      <c r="E163">
        <v>1284</v>
      </c>
      <c r="F163">
        <v>4031</v>
      </c>
      <c r="G163">
        <v>104</v>
      </c>
      <c r="H163">
        <v>14</v>
      </c>
      <c r="I163">
        <v>87871</v>
      </c>
      <c r="J163">
        <v>31531</v>
      </c>
      <c r="K163">
        <v>106</v>
      </c>
      <c r="L163">
        <v>162</v>
      </c>
      <c r="M163">
        <v>161</v>
      </c>
    </row>
    <row r="164" spans="1:13" hidden="1" x14ac:dyDescent="0.3">
      <c r="A164" s="1">
        <v>44217</v>
      </c>
      <c r="B164" s="2" t="s">
        <v>5</v>
      </c>
      <c r="C164">
        <v>5552</v>
      </c>
      <c r="D164">
        <v>120</v>
      </c>
      <c r="E164">
        <v>1368</v>
      </c>
      <c r="F164">
        <v>4073</v>
      </c>
      <c r="G164">
        <v>117</v>
      </c>
      <c r="H164">
        <v>16</v>
      </c>
      <c r="I164">
        <v>88679</v>
      </c>
      <c r="J164">
        <v>31633</v>
      </c>
      <c r="K164">
        <v>109</v>
      </c>
      <c r="L164">
        <v>163</v>
      </c>
      <c r="M164">
        <v>162</v>
      </c>
    </row>
    <row r="165" spans="1:13" hidden="1" x14ac:dyDescent="0.3">
      <c r="A165" s="1">
        <v>44218</v>
      </c>
      <c r="B165" s="2" t="s">
        <v>5</v>
      </c>
      <c r="C165">
        <v>5701</v>
      </c>
      <c r="D165">
        <v>138</v>
      </c>
      <c r="E165">
        <v>1472</v>
      </c>
      <c r="F165">
        <v>4116</v>
      </c>
      <c r="G165">
        <v>113</v>
      </c>
      <c r="H165">
        <v>19</v>
      </c>
      <c r="I165">
        <v>89631</v>
      </c>
      <c r="J165">
        <v>31783</v>
      </c>
      <c r="K165">
        <v>111</v>
      </c>
      <c r="L165">
        <v>164</v>
      </c>
      <c r="M165">
        <v>163</v>
      </c>
    </row>
    <row r="166" spans="1:13" hidden="1" x14ac:dyDescent="0.3">
      <c r="A166" s="1">
        <v>44219</v>
      </c>
      <c r="B166" s="2" t="s">
        <v>5</v>
      </c>
      <c r="C166">
        <v>5808</v>
      </c>
      <c r="D166">
        <v>98</v>
      </c>
      <c r="E166">
        <v>1544</v>
      </c>
      <c r="F166">
        <v>4149</v>
      </c>
      <c r="G166">
        <v>124</v>
      </c>
      <c r="H166">
        <v>21</v>
      </c>
      <c r="I166">
        <v>90517</v>
      </c>
      <c r="J166">
        <v>31852</v>
      </c>
      <c r="K166">
        <v>113</v>
      </c>
      <c r="L166">
        <v>165</v>
      </c>
      <c r="M166">
        <v>164</v>
      </c>
    </row>
    <row r="167" spans="1:13" hidden="1" x14ac:dyDescent="0.3">
      <c r="A167" s="1">
        <v>44220</v>
      </c>
      <c r="B167" s="2" t="s">
        <v>5</v>
      </c>
      <c r="C167">
        <v>5914</v>
      </c>
      <c r="D167">
        <v>98</v>
      </c>
      <c r="E167">
        <v>1573</v>
      </c>
      <c r="F167">
        <v>4226</v>
      </c>
      <c r="G167">
        <v>131</v>
      </c>
      <c r="H167">
        <v>23</v>
      </c>
      <c r="I167">
        <v>91143</v>
      </c>
      <c r="J167">
        <v>31920</v>
      </c>
      <c r="K167">
        <v>113</v>
      </c>
      <c r="L167">
        <v>166</v>
      </c>
      <c r="M167">
        <v>165</v>
      </c>
    </row>
    <row r="168" spans="1:13" hidden="1" x14ac:dyDescent="0.3">
      <c r="A168" s="1">
        <v>44221</v>
      </c>
      <c r="B168" s="2" t="s">
        <v>5</v>
      </c>
      <c r="C168">
        <v>6019</v>
      </c>
      <c r="D168">
        <v>95</v>
      </c>
      <c r="E168">
        <v>1616</v>
      </c>
      <c r="F168">
        <v>4283</v>
      </c>
      <c r="G168">
        <v>132</v>
      </c>
      <c r="H168">
        <v>24</v>
      </c>
      <c r="I168">
        <v>91947</v>
      </c>
      <c r="J168">
        <v>32101</v>
      </c>
      <c r="K168">
        <v>118</v>
      </c>
      <c r="L168">
        <v>167</v>
      </c>
      <c r="M168">
        <v>166</v>
      </c>
    </row>
    <row r="169" spans="1:13" hidden="1" x14ac:dyDescent="0.3">
      <c r="A169" s="1">
        <v>44222</v>
      </c>
      <c r="B169" s="2" t="s">
        <v>5</v>
      </c>
      <c r="C169">
        <v>6115</v>
      </c>
      <c r="D169">
        <v>85</v>
      </c>
      <c r="E169">
        <v>1669</v>
      </c>
      <c r="F169">
        <v>4324</v>
      </c>
      <c r="G169">
        <v>136</v>
      </c>
      <c r="H169">
        <v>26</v>
      </c>
      <c r="I169">
        <v>92922</v>
      </c>
      <c r="J169">
        <v>32216</v>
      </c>
      <c r="K169">
        <v>120</v>
      </c>
      <c r="L169">
        <v>168</v>
      </c>
      <c r="M169">
        <v>167</v>
      </c>
    </row>
    <row r="170" spans="1:13" hidden="1" x14ac:dyDescent="0.3">
      <c r="A170" s="1">
        <v>44223</v>
      </c>
      <c r="B170" s="2" t="s">
        <v>5</v>
      </c>
      <c r="C170">
        <v>6230</v>
      </c>
      <c r="D170">
        <v>101</v>
      </c>
      <c r="E170">
        <v>1706</v>
      </c>
      <c r="F170">
        <v>4402</v>
      </c>
      <c r="G170">
        <v>135</v>
      </c>
      <c r="H170">
        <v>30</v>
      </c>
      <c r="I170">
        <v>93776</v>
      </c>
      <c r="J170">
        <v>32380</v>
      </c>
      <c r="K170">
        <v>120</v>
      </c>
      <c r="L170">
        <v>169</v>
      </c>
      <c r="M170">
        <v>168</v>
      </c>
    </row>
    <row r="171" spans="1:13" hidden="1" x14ac:dyDescent="0.3">
      <c r="A171" s="1">
        <v>44224</v>
      </c>
      <c r="B171" s="2" t="s">
        <v>5</v>
      </c>
      <c r="C171">
        <v>6375</v>
      </c>
      <c r="D171">
        <v>124</v>
      </c>
      <c r="E171">
        <v>1796</v>
      </c>
      <c r="F171">
        <v>4454</v>
      </c>
      <c r="G171">
        <v>150</v>
      </c>
      <c r="H171">
        <v>25</v>
      </c>
      <c r="I171">
        <v>94932</v>
      </c>
      <c r="J171">
        <v>32565</v>
      </c>
      <c r="K171">
        <v>123</v>
      </c>
      <c r="L171">
        <v>170</v>
      </c>
      <c r="M171">
        <v>169</v>
      </c>
    </row>
    <row r="172" spans="1:13" hidden="1" x14ac:dyDescent="0.3">
      <c r="A172" s="1">
        <v>44225</v>
      </c>
      <c r="B172" s="2" t="s">
        <v>5</v>
      </c>
      <c r="C172">
        <v>6507</v>
      </c>
      <c r="D172">
        <v>126</v>
      </c>
      <c r="E172">
        <v>1787</v>
      </c>
      <c r="F172">
        <v>4592</v>
      </c>
      <c r="G172">
        <v>150</v>
      </c>
      <c r="H172">
        <v>24</v>
      </c>
      <c r="I172">
        <v>95845</v>
      </c>
      <c r="J172">
        <v>32729</v>
      </c>
      <c r="K172">
        <v>125</v>
      </c>
      <c r="L172">
        <v>171</v>
      </c>
      <c r="M172">
        <v>170</v>
      </c>
    </row>
    <row r="173" spans="1:13" hidden="1" x14ac:dyDescent="0.3">
      <c r="A173" s="1">
        <v>44226</v>
      </c>
      <c r="B173" s="2" t="s">
        <v>5</v>
      </c>
      <c r="C173">
        <v>6598</v>
      </c>
      <c r="D173">
        <v>88</v>
      </c>
      <c r="E173">
        <v>1779</v>
      </c>
      <c r="F173">
        <v>4691</v>
      </c>
      <c r="G173">
        <v>160</v>
      </c>
      <c r="H173">
        <v>25</v>
      </c>
      <c r="I173">
        <v>96615</v>
      </c>
      <c r="J173">
        <v>32772</v>
      </c>
      <c r="K173">
        <v>125</v>
      </c>
      <c r="L173">
        <v>172</v>
      </c>
      <c r="M173">
        <v>171</v>
      </c>
    </row>
    <row r="174" spans="1:13" hidden="1" x14ac:dyDescent="0.3">
      <c r="A174" s="1">
        <v>44227</v>
      </c>
      <c r="B174" s="2" t="s">
        <v>5</v>
      </c>
      <c r="C174">
        <v>6698</v>
      </c>
      <c r="D174">
        <v>94</v>
      </c>
      <c r="E174">
        <v>1788</v>
      </c>
      <c r="F174">
        <v>4778</v>
      </c>
      <c r="G174">
        <v>164</v>
      </c>
      <c r="H174">
        <v>24</v>
      </c>
      <c r="I174">
        <v>97293</v>
      </c>
      <c r="J174">
        <v>32833</v>
      </c>
      <c r="K174">
        <v>129</v>
      </c>
      <c r="L174">
        <v>173</v>
      </c>
      <c r="M174">
        <v>172</v>
      </c>
    </row>
    <row r="175" spans="1:13" hidden="1" x14ac:dyDescent="0.3">
      <c r="A175" s="1">
        <v>44228</v>
      </c>
      <c r="B175" s="2" t="s">
        <v>5</v>
      </c>
      <c r="C175">
        <v>6812</v>
      </c>
      <c r="D175">
        <v>95</v>
      </c>
      <c r="E175">
        <v>1824</v>
      </c>
      <c r="F175">
        <v>4851</v>
      </c>
      <c r="G175">
        <v>166</v>
      </c>
      <c r="H175">
        <v>23</v>
      </c>
      <c r="I175">
        <v>98028</v>
      </c>
      <c r="J175">
        <v>33039</v>
      </c>
      <c r="K175">
        <v>134</v>
      </c>
      <c r="L175">
        <v>174</v>
      </c>
      <c r="M175">
        <v>173</v>
      </c>
    </row>
    <row r="176" spans="1:13" hidden="1" x14ac:dyDescent="0.3">
      <c r="A176" s="1">
        <v>44229</v>
      </c>
      <c r="B176" s="2" t="s">
        <v>5</v>
      </c>
      <c r="C176">
        <v>6921</v>
      </c>
      <c r="D176">
        <v>97</v>
      </c>
      <c r="E176">
        <v>1832</v>
      </c>
      <c r="F176">
        <v>4948</v>
      </c>
      <c r="G176">
        <v>166</v>
      </c>
      <c r="H176">
        <v>27</v>
      </c>
      <c r="I176">
        <v>98915</v>
      </c>
      <c r="J176">
        <v>33439</v>
      </c>
      <c r="K176">
        <v>136</v>
      </c>
      <c r="L176">
        <v>175</v>
      </c>
      <c r="M176">
        <v>174</v>
      </c>
    </row>
    <row r="177" spans="1:13" hidden="1" x14ac:dyDescent="0.3">
      <c r="A177" s="1">
        <v>44230</v>
      </c>
      <c r="B177" s="2" t="s">
        <v>5</v>
      </c>
      <c r="C177">
        <v>7018</v>
      </c>
      <c r="D177">
        <v>86</v>
      </c>
      <c r="E177">
        <v>1858</v>
      </c>
      <c r="F177">
        <v>5013</v>
      </c>
      <c r="G177">
        <v>173</v>
      </c>
      <c r="H177">
        <v>25</v>
      </c>
      <c r="I177">
        <v>99882</v>
      </c>
      <c r="J177">
        <v>33835</v>
      </c>
      <c r="K177">
        <v>142</v>
      </c>
      <c r="L177">
        <v>176</v>
      </c>
      <c r="M177">
        <v>175</v>
      </c>
    </row>
    <row r="178" spans="1:13" hidden="1" x14ac:dyDescent="0.3">
      <c r="A178" s="1">
        <v>44231</v>
      </c>
      <c r="B178" s="2" t="s">
        <v>5</v>
      </c>
      <c r="C178">
        <v>7120</v>
      </c>
      <c r="D178">
        <v>76</v>
      </c>
      <c r="E178">
        <v>1810</v>
      </c>
      <c r="F178">
        <v>5156</v>
      </c>
      <c r="G178">
        <v>165</v>
      </c>
      <c r="H178">
        <v>25</v>
      </c>
      <c r="I178">
        <v>100847</v>
      </c>
      <c r="J178">
        <v>34591</v>
      </c>
      <c r="K178">
        <v>149</v>
      </c>
      <c r="L178">
        <v>177</v>
      </c>
      <c r="M178">
        <v>176</v>
      </c>
    </row>
    <row r="179" spans="1:13" hidden="1" x14ac:dyDescent="0.3">
      <c r="A179" s="1">
        <v>44232</v>
      </c>
      <c r="B179" s="2" t="s">
        <v>5</v>
      </c>
      <c r="C179">
        <v>7210</v>
      </c>
      <c r="D179">
        <v>88</v>
      </c>
      <c r="E179">
        <v>1765</v>
      </c>
      <c r="F179">
        <v>5289</v>
      </c>
      <c r="G179">
        <v>160</v>
      </c>
      <c r="H179">
        <v>25</v>
      </c>
      <c r="I179">
        <v>101825</v>
      </c>
      <c r="J179">
        <v>35215</v>
      </c>
      <c r="K179">
        <v>151</v>
      </c>
      <c r="L179">
        <v>178</v>
      </c>
      <c r="M179">
        <v>177</v>
      </c>
    </row>
    <row r="180" spans="1:13" hidden="1" x14ac:dyDescent="0.3">
      <c r="A180" s="1">
        <v>44233</v>
      </c>
      <c r="B180" s="2" t="s">
        <v>5</v>
      </c>
      <c r="C180">
        <v>7262</v>
      </c>
      <c r="D180">
        <v>55</v>
      </c>
      <c r="E180">
        <v>1694</v>
      </c>
      <c r="F180">
        <v>5410</v>
      </c>
      <c r="G180">
        <v>150</v>
      </c>
      <c r="H180">
        <v>24</v>
      </c>
      <c r="I180">
        <v>102577</v>
      </c>
      <c r="J180">
        <v>35702</v>
      </c>
      <c r="K180">
        <v>153</v>
      </c>
      <c r="L180">
        <v>179</v>
      </c>
      <c r="M180">
        <v>178</v>
      </c>
    </row>
    <row r="181" spans="1:13" hidden="1" x14ac:dyDescent="0.3">
      <c r="A181" s="1">
        <v>44234</v>
      </c>
      <c r="B181" s="2" t="s">
        <v>5</v>
      </c>
      <c r="C181">
        <v>7312</v>
      </c>
      <c r="D181">
        <v>49</v>
      </c>
      <c r="E181">
        <v>1661</v>
      </c>
      <c r="F181">
        <v>5492</v>
      </c>
      <c r="G181">
        <v>158</v>
      </c>
      <c r="H181">
        <v>23</v>
      </c>
      <c r="I181">
        <v>103258</v>
      </c>
      <c r="J181">
        <v>35750</v>
      </c>
      <c r="K181">
        <v>154</v>
      </c>
      <c r="L181">
        <v>180</v>
      </c>
      <c r="M181">
        <v>179</v>
      </c>
    </row>
    <row r="182" spans="1:13" hidden="1" x14ac:dyDescent="0.3">
      <c r="A182" s="1">
        <v>44145</v>
      </c>
      <c r="B182" s="2" t="s">
        <v>8</v>
      </c>
      <c r="C182">
        <v>5071</v>
      </c>
      <c r="D182">
        <v>34</v>
      </c>
      <c r="E182">
        <v>1129</v>
      </c>
      <c r="F182">
        <v>3834</v>
      </c>
      <c r="G182">
        <v>54</v>
      </c>
      <c r="H182">
        <v>5</v>
      </c>
      <c r="I182">
        <v>88076</v>
      </c>
      <c r="J182">
        <v>69279</v>
      </c>
      <c r="K182">
        <v>108</v>
      </c>
      <c r="L182">
        <v>181</v>
      </c>
      <c r="M182">
        <v>180</v>
      </c>
    </row>
    <row r="183" spans="1:13" hidden="1" x14ac:dyDescent="0.3">
      <c r="A183" s="1">
        <v>44146</v>
      </c>
      <c r="B183" s="2" t="s">
        <v>8</v>
      </c>
      <c r="C183">
        <v>5135</v>
      </c>
      <c r="D183">
        <v>65</v>
      </c>
      <c r="E183">
        <v>1064</v>
      </c>
      <c r="F183">
        <v>3963</v>
      </c>
      <c r="G183">
        <v>55</v>
      </c>
      <c r="H183">
        <v>3</v>
      </c>
      <c r="I183">
        <v>88960</v>
      </c>
      <c r="J183">
        <v>69392</v>
      </c>
      <c r="K183">
        <v>108</v>
      </c>
      <c r="L183">
        <v>182</v>
      </c>
      <c r="M183">
        <v>181</v>
      </c>
    </row>
    <row r="184" spans="1:13" hidden="1" x14ac:dyDescent="0.3">
      <c r="A184" s="1">
        <v>44147</v>
      </c>
      <c r="B184" s="2" t="s">
        <v>8</v>
      </c>
      <c r="C184">
        <v>5175</v>
      </c>
      <c r="D184">
        <v>42</v>
      </c>
      <c r="E184">
        <v>1053</v>
      </c>
      <c r="F184">
        <v>4014</v>
      </c>
      <c r="G184">
        <v>47</v>
      </c>
      <c r="H184">
        <v>6</v>
      </c>
      <c r="I184">
        <v>89771</v>
      </c>
      <c r="J184">
        <v>69485</v>
      </c>
      <c r="K184">
        <v>108</v>
      </c>
      <c r="L184">
        <v>183</v>
      </c>
      <c r="M184">
        <v>182</v>
      </c>
    </row>
    <row r="185" spans="1:13" hidden="1" x14ac:dyDescent="0.3">
      <c r="A185" s="1">
        <v>44148</v>
      </c>
      <c r="B185" s="2" t="s">
        <v>8</v>
      </c>
      <c r="C185">
        <v>5290</v>
      </c>
      <c r="D185">
        <v>114</v>
      </c>
      <c r="E185">
        <v>1109</v>
      </c>
      <c r="F185">
        <v>4072</v>
      </c>
      <c r="G185">
        <v>45</v>
      </c>
      <c r="H185">
        <v>6</v>
      </c>
      <c r="I185">
        <v>90779</v>
      </c>
      <c r="J185">
        <v>69584</v>
      </c>
      <c r="K185">
        <v>109</v>
      </c>
      <c r="L185">
        <v>184</v>
      </c>
      <c r="M185">
        <v>183</v>
      </c>
    </row>
    <row r="186" spans="1:13" hidden="1" x14ac:dyDescent="0.3">
      <c r="A186" s="1">
        <v>44149</v>
      </c>
      <c r="B186" s="2" t="s">
        <v>8</v>
      </c>
      <c r="C186">
        <v>5357</v>
      </c>
      <c r="D186">
        <v>62</v>
      </c>
      <c r="E186">
        <v>1062</v>
      </c>
      <c r="F186">
        <v>4186</v>
      </c>
      <c r="G186">
        <v>51</v>
      </c>
      <c r="H186">
        <v>6</v>
      </c>
      <c r="I186">
        <v>91726</v>
      </c>
      <c r="J186">
        <v>69622</v>
      </c>
      <c r="K186">
        <v>109</v>
      </c>
      <c r="L186">
        <v>185</v>
      </c>
      <c r="M186">
        <v>184</v>
      </c>
    </row>
    <row r="187" spans="1:13" hidden="1" x14ac:dyDescent="0.3">
      <c r="A187" s="1">
        <v>44150</v>
      </c>
      <c r="B187" s="2" t="s">
        <v>8</v>
      </c>
      <c r="C187">
        <v>5427</v>
      </c>
      <c r="D187">
        <v>71</v>
      </c>
      <c r="E187">
        <v>1042</v>
      </c>
      <c r="F187">
        <v>4275</v>
      </c>
      <c r="G187">
        <v>54</v>
      </c>
      <c r="H187">
        <v>5</v>
      </c>
      <c r="I187">
        <v>92669</v>
      </c>
      <c r="J187">
        <v>69660</v>
      </c>
      <c r="K187">
        <v>110</v>
      </c>
      <c r="L187">
        <v>186</v>
      </c>
      <c r="M187">
        <v>185</v>
      </c>
    </row>
    <row r="188" spans="1:13" hidden="1" x14ac:dyDescent="0.3">
      <c r="A188" s="1">
        <v>44151</v>
      </c>
      <c r="B188" s="2" t="s">
        <v>8</v>
      </c>
      <c r="C188">
        <v>5486</v>
      </c>
      <c r="D188">
        <v>55</v>
      </c>
      <c r="E188">
        <v>1071</v>
      </c>
      <c r="F188">
        <v>4301</v>
      </c>
      <c r="G188">
        <v>53</v>
      </c>
      <c r="H188">
        <v>6</v>
      </c>
      <c r="I188">
        <v>93491</v>
      </c>
      <c r="J188">
        <v>69808</v>
      </c>
      <c r="K188">
        <v>114</v>
      </c>
      <c r="L188">
        <v>187</v>
      </c>
      <c r="M188">
        <v>186</v>
      </c>
    </row>
    <row r="189" spans="1:13" hidden="1" x14ac:dyDescent="0.3">
      <c r="A189" s="1">
        <v>44152</v>
      </c>
      <c r="B189" s="2" t="s">
        <v>8</v>
      </c>
      <c r="C189">
        <v>5554</v>
      </c>
      <c r="D189">
        <v>69</v>
      </c>
      <c r="E189">
        <v>1100</v>
      </c>
      <c r="F189">
        <v>4339</v>
      </c>
      <c r="G189">
        <v>54</v>
      </c>
      <c r="H189">
        <v>5</v>
      </c>
      <c r="I189">
        <v>94225</v>
      </c>
      <c r="J189">
        <v>70007</v>
      </c>
      <c r="K189">
        <v>115</v>
      </c>
      <c r="L189">
        <v>188</v>
      </c>
      <c r="M189">
        <v>187</v>
      </c>
    </row>
    <row r="190" spans="1:13" hidden="1" x14ac:dyDescent="0.3">
      <c r="A190" s="1">
        <v>44153</v>
      </c>
      <c r="B190" s="2" t="s">
        <v>8</v>
      </c>
      <c r="C190">
        <v>5607</v>
      </c>
      <c r="D190">
        <v>51</v>
      </c>
      <c r="E190">
        <v>1072</v>
      </c>
      <c r="F190">
        <v>4420</v>
      </c>
      <c r="G190">
        <v>45</v>
      </c>
      <c r="H190">
        <v>5</v>
      </c>
      <c r="I190">
        <v>95009</v>
      </c>
      <c r="J190">
        <v>70291</v>
      </c>
      <c r="K190">
        <v>115</v>
      </c>
      <c r="L190">
        <v>189</v>
      </c>
      <c r="M190">
        <v>188</v>
      </c>
    </row>
    <row r="191" spans="1:13" hidden="1" x14ac:dyDescent="0.3">
      <c r="A191" s="1">
        <v>44154</v>
      </c>
      <c r="B191" s="2" t="s">
        <v>8</v>
      </c>
      <c r="C191">
        <v>5775</v>
      </c>
      <c r="D191">
        <v>167</v>
      </c>
      <c r="E191">
        <v>1194</v>
      </c>
      <c r="F191">
        <v>4466</v>
      </c>
      <c r="G191">
        <v>42</v>
      </c>
      <c r="H191">
        <v>5</v>
      </c>
      <c r="I191">
        <v>95854</v>
      </c>
      <c r="J191">
        <v>70621</v>
      </c>
      <c r="K191">
        <v>115</v>
      </c>
      <c r="L191">
        <v>190</v>
      </c>
      <c r="M191">
        <v>189</v>
      </c>
    </row>
    <row r="192" spans="1:13" hidden="1" x14ac:dyDescent="0.3">
      <c r="A192" s="1">
        <v>44155</v>
      </c>
      <c r="B192" s="2" t="s">
        <v>8</v>
      </c>
      <c r="C192">
        <v>5832</v>
      </c>
      <c r="D192">
        <v>55</v>
      </c>
      <c r="E192">
        <v>1139</v>
      </c>
      <c r="F192">
        <v>4576</v>
      </c>
      <c r="G192">
        <v>45</v>
      </c>
      <c r="H192">
        <v>5</v>
      </c>
      <c r="I192">
        <v>96613</v>
      </c>
      <c r="J192">
        <v>70746</v>
      </c>
      <c r="K192">
        <v>117</v>
      </c>
      <c r="L192">
        <v>191</v>
      </c>
      <c r="M192">
        <v>190</v>
      </c>
    </row>
    <row r="193" spans="1:13" hidden="1" x14ac:dyDescent="0.3">
      <c r="A193" s="1">
        <v>44156</v>
      </c>
      <c r="B193" s="2" t="s">
        <v>8</v>
      </c>
      <c r="C193">
        <v>5889</v>
      </c>
      <c r="D193">
        <v>56</v>
      </c>
      <c r="E193">
        <v>1117</v>
      </c>
      <c r="F193">
        <v>4655</v>
      </c>
      <c r="G193">
        <v>41</v>
      </c>
      <c r="H193">
        <v>7</v>
      </c>
      <c r="I193">
        <v>97239</v>
      </c>
      <c r="J193">
        <v>70780</v>
      </c>
      <c r="K193">
        <v>117</v>
      </c>
      <c r="L193">
        <v>192</v>
      </c>
      <c r="M193">
        <v>191</v>
      </c>
    </row>
    <row r="194" spans="1:13" hidden="1" x14ac:dyDescent="0.3">
      <c r="A194" s="1">
        <v>44157</v>
      </c>
      <c r="B194" s="2" t="s">
        <v>8</v>
      </c>
      <c r="C194">
        <v>5927</v>
      </c>
      <c r="D194">
        <v>38</v>
      </c>
      <c r="E194">
        <v>1097</v>
      </c>
      <c r="F194">
        <v>4713</v>
      </c>
      <c r="G194">
        <v>41</v>
      </c>
      <c r="H194">
        <v>7</v>
      </c>
      <c r="I194">
        <v>98051</v>
      </c>
      <c r="J194">
        <v>70811</v>
      </c>
      <c r="K194">
        <v>117</v>
      </c>
      <c r="L194">
        <v>193</v>
      </c>
      <c r="M194">
        <v>192</v>
      </c>
    </row>
    <row r="195" spans="1:13" hidden="1" x14ac:dyDescent="0.3">
      <c r="A195" s="1">
        <v>44158</v>
      </c>
      <c r="B195" s="2" t="s">
        <v>8</v>
      </c>
      <c r="C195">
        <v>5988</v>
      </c>
      <c r="D195">
        <v>60</v>
      </c>
      <c r="E195">
        <v>1108</v>
      </c>
      <c r="F195">
        <v>4763</v>
      </c>
      <c r="G195">
        <v>40</v>
      </c>
      <c r="H195">
        <v>7</v>
      </c>
      <c r="I195">
        <v>98774</v>
      </c>
      <c r="J195">
        <v>71032</v>
      </c>
      <c r="K195">
        <v>117</v>
      </c>
      <c r="L195">
        <v>194</v>
      </c>
      <c r="M195">
        <v>193</v>
      </c>
    </row>
    <row r="196" spans="1:13" hidden="1" x14ac:dyDescent="0.3">
      <c r="A196" s="1">
        <v>44159</v>
      </c>
      <c r="B196" s="2" t="s">
        <v>8</v>
      </c>
      <c r="C196">
        <v>6024</v>
      </c>
      <c r="D196">
        <v>37</v>
      </c>
      <c r="E196">
        <v>1102</v>
      </c>
      <c r="F196">
        <v>4804</v>
      </c>
      <c r="G196">
        <v>35</v>
      </c>
      <c r="H196">
        <v>8</v>
      </c>
      <c r="I196">
        <v>99387</v>
      </c>
      <c r="J196">
        <v>71375</v>
      </c>
      <c r="K196">
        <v>118</v>
      </c>
      <c r="L196">
        <v>195</v>
      </c>
      <c r="M196">
        <v>194</v>
      </c>
    </row>
    <row r="197" spans="1:13" hidden="1" x14ac:dyDescent="0.3">
      <c r="A197" s="1">
        <v>44160</v>
      </c>
      <c r="B197" s="2" t="s">
        <v>8</v>
      </c>
      <c r="C197">
        <v>6076</v>
      </c>
      <c r="D197">
        <v>48</v>
      </c>
      <c r="E197">
        <v>1085</v>
      </c>
      <c r="F197">
        <v>4872</v>
      </c>
      <c r="G197">
        <v>31</v>
      </c>
      <c r="H197">
        <v>7</v>
      </c>
      <c r="I197">
        <v>100060</v>
      </c>
      <c r="J197">
        <v>71660</v>
      </c>
      <c r="K197">
        <v>119</v>
      </c>
      <c r="L197">
        <v>196</v>
      </c>
      <c r="M197">
        <v>195</v>
      </c>
    </row>
    <row r="198" spans="1:13" hidden="1" x14ac:dyDescent="0.3">
      <c r="A198" s="1">
        <v>44161</v>
      </c>
      <c r="B198" s="2" t="s">
        <v>8</v>
      </c>
      <c r="C198">
        <v>6109</v>
      </c>
      <c r="D198">
        <v>31</v>
      </c>
      <c r="E198">
        <v>1060</v>
      </c>
      <c r="F198">
        <v>4928</v>
      </c>
      <c r="G198">
        <v>30</v>
      </c>
      <c r="H198">
        <v>6</v>
      </c>
      <c r="I198">
        <v>100725</v>
      </c>
      <c r="J198">
        <v>71796</v>
      </c>
      <c r="K198">
        <v>120</v>
      </c>
      <c r="L198">
        <v>197</v>
      </c>
      <c r="M198">
        <v>196</v>
      </c>
    </row>
    <row r="199" spans="1:13" hidden="1" x14ac:dyDescent="0.3">
      <c r="A199" s="1">
        <v>44162</v>
      </c>
      <c r="B199" s="2" t="s">
        <v>8</v>
      </c>
      <c r="C199">
        <v>6180</v>
      </c>
      <c r="D199">
        <v>61</v>
      </c>
      <c r="E199">
        <v>1065</v>
      </c>
      <c r="F199">
        <v>4994</v>
      </c>
      <c r="G199">
        <v>32</v>
      </c>
      <c r="H199">
        <v>4</v>
      </c>
      <c r="I199">
        <v>101472</v>
      </c>
      <c r="J199">
        <v>71915</v>
      </c>
      <c r="K199">
        <v>120</v>
      </c>
      <c r="L199">
        <v>198</v>
      </c>
      <c r="M199">
        <v>197</v>
      </c>
    </row>
    <row r="200" spans="1:13" hidden="1" x14ac:dyDescent="0.3">
      <c r="A200" s="1">
        <v>44163</v>
      </c>
      <c r="B200" s="2" t="s">
        <v>8</v>
      </c>
      <c r="C200">
        <v>6212</v>
      </c>
      <c r="D200">
        <v>31</v>
      </c>
      <c r="E200">
        <v>967</v>
      </c>
      <c r="F200">
        <v>5123</v>
      </c>
      <c r="G200">
        <v>35</v>
      </c>
      <c r="H200">
        <v>4</v>
      </c>
      <c r="I200">
        <v>102384</v>
      </c>
      <c r="J200">
        <v>71947</v>
      </c>
      <c r="K200">
        <v>121</v>
      </c>
      <c r="L200">
        <v>199</v>
      </c>
      <c r="M200">
        <v>198</v>
      </c>
    </row>
    <row r="201" spans="1:13" hidden="1" x14ac:dyDescent="0.3">
      <c r="A201" s="1">
        <v>44164</v>
      </c>
      <c r="B201" s="2" t="s">
        <v>8</v>
      </c>
      <c r="C201">
        <v>6237</v>
      </c>
      <c r="D201">
        <v>24</v>
      </c>
      <c r="E201">
        <v>951</v>
      </c>
      <c r="F201">
        <v>5163</v>
      </c>
      <c r="G201">
        <v>40</v>
      </c>
      <c r="H201">
        <v>4</v>
      </c>
      <c r="I201">
        <v>103102</v>
      </c>
      <c r="J201">
        <v>71982</v>
      </c>
      <c r="K201">
        <v>122</v>
      </c>
      <c r="L201">
        <v>200</v>
      </c>
      <c r="M201">
        <v>199</v>
      </c>
    </row>
    <row r="202" spans="1:13" hidden="1" x14ac:dyDescent="0.3">
      <c r="A202" s="1">
        <v>44165</v>
      </c>
      <c r="B202" s="2" t="s">
        <v>8</v>
      </c>
      <c r="C202">
        <v>6278</v>
      </c>
      <c r="D202">
        <v>38</v>
      </c>
      <c r="E202">
        <v>935</v>
      </c>
      <c r="F202">
        <v>5219</v>
      </c>
      <c r="G202">
        <v>38</v>
      </c>
      <c r="H202">
        <v>3</v>
      </c>
      <c r="I202">
        <v>103748</v>
      </c>
      <c r="J202">
        <v>72098</v>
      </c>
      <c r="K202">
        <v>123</v>
      </c>
      <c r="L202">
        <v>201</v>
      </c>
      <c r="M202">
        <v>200</v>
      </c>
    </row>
    <row r="203" spans="1:13" hidden="1" x14ac:dyDescent="0.3">
      <c r="A203" s="1">
        <v>44166</v>
      </c>
      <c r="B203" s="2" t="s">
        <v>8</v>
      </c>
      <c r="C203">
        <v>6318</v>
      </c>
      <c r="D203">
        <v>37</v>
      </c>
      <c r="E203">
        <v>911</v>
      </c>
      <c r="F203">
        <v>5281</v>
      </c>
      <c r="G203">
        <v>30</v>
      </c>
      <c r="H203">
        <v>2</v>
      </c>
      <c r="I203">
        <v>104467</v>
      </c>
      <c r="J203">
        <v>72196</v>
      </c>
      <c r="K203">
        <v>125</v>
      </c>
      <c r="L203">
        <v>202</v>
      </c>
      <c r="M203">
        <v>201</v>
      </c>
    </row>
    <row r="204" spans="1:13" hidden="1" x14ac:dyDescent="0.3">
      <c r="A204" s="1">
        <v>44167</v>
      </c>
      <c r="B204" s="2" t="s">
        <v>8</v>
      </c>
      <c r="C204">
        <v>6351</v>
      </c>
      <c r="D204">
        <v>31</v>
      </c>
      <c r="E204">
        <v>885</v>
      </c>
      <c r="F204">
        <v>5339</v>
      </c>
      <c r="G204">
        <v>28</v>
      </c>
      <c r="H204">
        <v>2</v>
      </c>
      <c r="I204">
        <v>105040</v>
      </c>
      <c r="J204">
        <v>72294</v>
      </c>
      <c r="K204">
        <v>126</v>
      </c>
      <c r="L204">
        <v>203</v>
      </c>
      <c r="M204">
        <v>202</v>
      </c>
    </row>
    <row r="205" spans="1:13" hidden="1" x14ac:dyDescent="0.3">
      <c r="A205" s="1">
        <v>44168</v>
      </c>
      <c r="B205" s="2" t="s">
        <v>8</v>
      </c>
      <c r="C205">
        <v>6382</v>
      </c>
      <c r="D205">
        <v>32</v>
      </c>
      <c r="E205">
        <v>858</v>
      </c>
      <c r="F205">
        <v>5397</v>
      </c>
      <c r="G205">
        <v>26</v>
      </c>
      <c r="H205">
        <v>2</v>
      </c>
      <c r="I205">
        <v>105746</v>
      </c>
      <c r="J205">
        <v>72394</v>
      </c>
      <c r="K205">
        <v>126</v>
      </c>
      <c r="L205">
        <v>204</v>
      </c>
      <c r="M205">
        <v>203</v>
      </c>
    </row>
    <row r="206" spans="1:13" hidden="1" x14ac:dyDescent="0.3">
      <c r="A206" s="1">
        <v>44169</v>
      </c>
      <c r="B206" s="2" t="s">
        <v>8</v>
      </c>
      <c r="C206">
        <v>6424</v>
      </c>
      <c r="D206">
        <v>39</v>
      </c>
      <c r="E206">
        <v>829</v>
      </c>
      <c r="F206">
        <v>5464</v>
      </c>
      <c r="G206">
        <v>26</v>
      </c>
      <c r="H206">
        <v>1</v>
      </c>
      <c r="I206">
        <v>106206</v>
      </c>
      <c r="J206">
        <v>72531</v>
      </c>
      <c r="K206">
        <v>130</v>
      </c>
      <c r="L206">
        <v>205</v>
      </c>
      <c r="M206">
        <v>204</v>
      </c>
    </row>
    <row r="207" spans="1:13" hidden="1" x14ac:dyDescent="0.3">
      <c r="A207" s="1">
        <v>44170</v>
      </c>
      <c r="B207" s="2" t="s">
        <v>8</v>
      </c>
      <c r="C207">
        <v>6455</v>
      </c>
      <c r="D207">
        <v>29</v>
      </c>
      <c r="E207">
        <v>788</v>
      </c>
      <c r="F207">
        <v>5534</v>
      </c>
      <c r="G207">
        <v>31</v>
      </c>
      <c r="H207">
        <v>1</v>
      </c>
      <c r="I207">
        <v>106669</v>
      </c>
      <c r="J207">
        <v>72582</v>
      </c>
      <c r="K207">
        <v>132</v>
      </c>
      <c r="L207">
        <v>206</v>
      </c>
      <c r="M207">
        <v>205</v>
      </c>
    </row>
    <row r="208" spans="1:13" hidden="1" x14ac:dyDescent="0.3">
      <c r="A208" s="1">
        <v>44171</v>
      </c>
      <c r="B208" s="2" t="s">
        <v>8</v>
      </c>
      <c r="C208">
        <v>6484</v>
      </c>
      <c r="D208">
        <v>28</v>
      </c>
      <c r="E208">
        <v>771</v>
      </c>
      <c r="F208">
        <v>5579</v>
      </c>
      <c r="G208">
        <v>30</v>
      </c>
      <c r="H208">
        <v>1</v>
      </c>
      <c r="I208">
        <v>107103</v>
      </c>
      <c r="J208">
        <v>72614</v>
      </c>
      <c r="K208">
        <v>133</v>
      </c>
      <c r="L208">
        <v>207</v>
      </c>
      <c r="M208">
        <v>206</v>
      </c>
    </row>
    <row r="209" spans="1:13" hidden="1" x14ac:dyDescent="0.3">
      <c r="A209" s="1">
        <v>44172</v>
      </c>
      <c r="B209" s="2" t="s">
        <v>8</v>
      </c>
      <c r="C209">
        <v>6502</v>
      </c>
      <c r="D209">
        <v>16</v>
      </c>
      <c r="E209">
        <v>624</v>
      </c>
      <c r="F209">
        <v>5741</v>
      </c>
      <c r="G209">
        <v>23</v>
      </c>
      <c r="H209">
        <v>2</v>
      </c>
      <c r="I209">
        <v>107557</v>
      </c>
      <c r="J209">
        <v>72701</v>
      </c>
      <c r="K209">
        <v>136</v>
      </c>
      <c r="L209">
        <v>208</v>
      </c>
      <c r="M209">
        <v>207</v>
      </c>
    </row>
    <row r="210" spans="1:13" hidden="1" x14ac:dyDescent="0.3">
      <c r="A210" s="1">
        <v>44173</v>
      </c>
      <c r="B210" s="2" t="s">
        <v>8</v>
      </c>
      <c r="C210">
        <v>6532</v>
      </c>
      <c r="D210">
        <v>31</v>
      </c>
      <c r="E210">
        <v>606</v>
      </c>
      <c r="F210">
        <v>5788</v>
      </c>
      <c r="G210">
        <v>27</v>
      </c>
      <c r="H210">
        <v>3</v>
      </c>
      <c r="I210">
        <v>108268</v>
      </c>
      <c r="J210">
        <v>72750</v>
      </c>
      <c r="K210">
        <v>137</v>
      </c>
      <c r="L210">
        <v>209</v>
      </c>
      <c r="M210">
        <v>208</v>
      </c>
    </row>
    <row r="211" spans="1:13" hidden="1" x14ac:dyDescent="0.3">
      <c r="A211" s="1">
        <v>44174</v>
      </c>
      <c r="B211" s="2" t="s">
        <v>8</v>
      </c>
      <c r="C211">
        <v>6552</v>
      </c>
      <c r="D211">
        <v>16</v>
      </c>
      <c r="E211">
        <v>591</v>
      </c>
      <c r="F211">
        <v>5823</v>
      </c>
      <c r="G211">
        <v>27</v>
      </c>
      <c r="H211">
        <v>4</v>
      </c>
      <c r="I211">
        <v>109134</v>
      </c>
      <c r="J211">
        <v>72849</v>
      </c>
      <c r="K211">
        <v>137</v>
      </c>
      <c r="L211">
        <v>210</v>
      </c>
      <c r="M211">
        <v>209</v>
      </c>
    </row>
    <row r="212" spans="1:13" hidden="1" x14ac:dyDescent="0.3">
      <c r="A212" s="1">
        <v>44175</v>
      </c>
      <c r="B212" s="2" t="s">
        <v>8</v>
      </c>
      <c r="C212">
        <v>6577</v>
      </c>
      <c r="D212">
        <v>25</v>
      </c>
      <c r="E212">
        <v>571</v>
      </c>
      <c r="F212">
        <v>5866</v>
      </c>
      <c r="G212">
        <v>23</v>
      </c>
      <c r="H212">
        <v>4</v>
      </c>
      <c r="I212">
        <v>110098</v>
      </c>
      <c r="J212">
        <v>72957</v>
      </c>
      <c r="K212">
        <v>139</v>
      </c>
      <c r="L212">
        <v>211</v>
      </c>
      <c r="M212">
        <v>210</v>
      </c>
    </row>
    <row r="213" spans="1:13" hidden="1" x14ac:dyDescent="0.3">
      <c r="A213" s="1">
        <v>44176</v>
      </c>
      <c r="B213" s="2" t="s">
        <v>8</v>
      </c>
      <c r="C213">
        <v>6596</v>
      </c>
      <c r="D213">
        <v>18</v>
      </c>
      <c r="E213">
        <v>545</v>
      </c>
      <c r="F213">
        <v>5911</v>
      </c>
      <c r="G213">
        <v>25</v>
      </c>
      <c r="H213">
        <v>4</v>
      </c>
      <c r="I213">
        <v>111111</v>
      </c>
      <c r="J213">
        <v>73078</v>
      </c>
      <c r="K213">
        <v>139</v>
      </c>
      <c r="L213">
        <v>212</v>
      </c>
      <c r="M213">
        <v>211</v>
      </c>
    </row>
    <row r="214" spans="1:13" hidden="1" x14ac:dyDescent="0.3">
      <c r="A214" s="1">
        <v>44177</v>
      </c>
      <c r="B214" s="2" t="s">
        <v>8</v>
      </c>
      <c r="C214">
        <v>6619</v>
      </c>
      <c r="D214">
        <v>24</v>
      </c>
      <c r="E214">
        <v>498</v>
      </c>
      <c r="F214">
        <v>5981</v>
      </c>
      <c r="G214">
        <v>22</v>
      </c>
      <c r="H214">
        <v>4</v>
      </c>
      <c r="I214">
        <v>112035</v>
      </c>
      <c r="J214">
        <v>73124</v>
      </c>
      <c r="K214">
        <v>139</v>
      </c>
      <c r="L214">
        <v>213</v>
      </c>
      <c r="M214">
        <v>212</v>
      </c>
    </row>
    <row r="215" spans="1:13" hidden="1" x14ac:dyDescent="0.3">
      <c r="A215" s="1">
        <v>44178</v>
      </c>
      <c r="B215" s="2" t="s">
        <v>8</v>
      </c>
      <c r="C215">
        <v>6639</v>
      </c>
      <c r="D215">
        <v>18</v>
      </c>
      <c r="E215">
        <v>486</v>
      </c>
      <c r="F215">
        <v>6013</v>
      </c>
      <c r="G215">
        <v>21</v>
      </c>
      <c r="H215">
        <v>6</v>
      </c>
      <c r="I215">
        <v>113015</v>
      </c>
      <c r="J215">
        <v>73167</v>
      </c>
      <c r="K215">
        <v>139</v>
      </c>
      <c r="L215">
        <v>214</v>
      </c>
      <c r="M215">
        <v>213</v>
      </c>
    </row>
    <row r="216" spans="1:13" hidden="1" x14ac:dyDescent="0.3">
      <c r="A216" s="1">
        <v>44179</v>
      </c>
      <c r="B216" s="2" t="s">
        <v>8</v>
      </c>
      <c r="C216">
        <v>6652</v>
      </c>
      <c r="D216">
        <v>10</v>
      </c>
      <c r="E216">
        <v>470</v>
      </c>
      <c r="F216">
        <v>6041</v>
      </c>
      <c r="G216">
        <v>20</v>
      </c>
      <c r="H216">
        <v>6</v>
      </c>
      <c r="I216">
        <v>113810</v>
      </c>
      <c r="J216">
        <v>73279</v>
      </c>
      <c r="K216">
        <v>140</v>
      </c>
      <c r="L216">
        <v>215</v>
      </c>
      <c r="M216">
        <v>214</v>
      </c>
    </row>
    <row r="217" spans="1:13" hidden="1" x14ac:dyDescent="0.3">
      <c r="A217" s="1">
        <v>44180</v>
      </c>
      <c r="B217" s="2" t="s">
        <v>8</v>
      </c>
      <c r="C217">
        <v>6685</v>
      </c>
      <c r="D217">
        <v>34</v>
      </c>
      <c r="E217">
        <v>462</v>
      </c>
      <c r="F217">
        <v>6082</v>
      </c>
      <c r="G217">
        <v>18</v>
      </c>
      <c r="H217">
        <v>6</v>
      </c>
      <c r="I217">
        <v>114614</v>
      </c>
      <c r="J217">
        <v>73395</v>
      </c>
      <c r="K217">
        <v>140</v>
      </c>
      <c r="L217">
        <v>216</v>
      </c>
      <c r="M217">
        <v>215</v>
      </c>
    </row>
    <row r="218" spans="1:13" hidden="1" x14ac:dyDescent="0.3">
      <c r="A218" s="1">
        <v>44181</v>
      </c>
      <c r="B218" s="2" t="s">
        <v>8</v>
      </c>
      <c r="C218">
        <v>6708</v>
      </c>
      <c r="D218">
        <v>15</v>
      </c>
      <c r="E218">
        <v>433</v>
      </c>
      <c r="F218">
        <v>6133</v>
      </c>
      <c r="G218">
        <v>18</v>
      </c>
      <c r="H218">
        <v>5</v>
      </c>
      <c r="I218">
        <v>115604</v>
      </c>
      <c r="J218">
        <v>73515</v>
      </c>
      <c r="K218">
        <v>141</v>
      </c>
      <c r="L218">
        <v>217</v>
      </c>
      <c r="M218">
        <v>216</v>
      </c>
    </row>
    <row r="219" spans="1:13" hidden="1" x14ac:dyDescent="0.3">
      <c r="A219" s="1">
        <v>44182</v>
      </c>
      <c r="B219" s="2" t="s">
        <v>8</v>
      </c>
      <c r="C219">
        <v>6721</v>
      </c>
      <c r="D219">
        <v>7</v>
      </c>
      <c r="E219">
        <v>401</v>
      </c>
      <c r="F219">
        <v>6177</v>
      </c>
      <c r="G219">
        <v>17</v>
      </c>
      <c r="H219">
        <v>6</v>
      </c>
      <c r="I219">
        <v>116220</v>
      </c>
      <c r="J219">
        <v>73640</v>
      </c>
      <c r="K219">
        <v>141</v>
      </c>
      <c r="L219">
        <v>218</v>
      </c>
      <c r="M219">
        <v>217</v>
      </c>
    </row>
    <row r="220" spans="1:13" hidden="1" x14ac:dyDescent="0.3">
      <c r="A220" s="1">
        <v>44183</v>
      </c>
      <c r="B220" s="2" t="s">
        <v>8</v>
      </c>
      <c r="C220">
        <v>6752</v>
      </c>
      <c r="D220">
        <v>32</v>
      </c>
      <c r="E220">
        <v>404</v>
      </c>
      <c r="F220">
        <v>6205</v>
      </c>
      <c r="G220">
        <v>12</v>
      </c>
      <c r="H220">
        <v>7</v>
      </c>
      <c r="I220">
        <v>116998</v>
      </c>
      <c r="J220">
        <v>73772</v>
      </c>
      <c r="K220">
        <v>141</v>
      </c>
      <c r="L220">
        <v>219</v>
      </c>
      <c r="M220">
        <v>218</v>
      </c>
    </row>
    <row r="221" spans="1:13" hidden="1" x14ac:dyDescent="0.3">
      <c r="A221" s="1">
        <v>44184</v>
      </c>
      <c r="B221" s="2" t="s">
        <v>8</v>
      </c>
      <c r="C221">
        <v>6781</v>
      </c>
      <c r="D221">
        <v>26</v>
      </c>
      <c r="E221">
        <v>371</v>
      </c>
      <c r="F221">
        <v>6267</v>
      </c>
      <c r="G221">
        <v>13</v>
      </c>
      <c r="H221">
        <v>6</v>
      </c>
      <c r="I221">
        <v>117917</v>
      </c>
      <c r="J221">
        <v>73856</v>
      </c>
      <c r="K221">
        <v>141</v>
      </c>
      <c r="L221">
        <v>220</v>
      </c>
      <c r="M221">
        <v>219</v>
      </c>
    </row>
    <row r="222" spans="1:13" hidden="1" x14ac:dyDescent="0.3">
      <c r="A222" s="1">
        <v>44185</v>
      </c>
      <c r="B222" s="2" t="s">
        <v>8</v>
      </c>
      <c r="C222">
        <v>6798</v>
      </c>
      <c r="D222">
        <v>17</v>
      </c>
      <c r="E222">
        <v>369</v>
      </c>
      <c r="F222">
        <v>6286</v>
      </c>
      <c r="G222">
        <v>14</v>
      </c>
      <c r="H222">
        <v>6</v>
      </c>
      <c r="I222">
        <v>118424</v>
      </c>
      <c r="J222">
        <v>73917</v>
      </c>
      <c r="K222">
        <v>141</v>
      </c>
      <c r="L222">
        <v>221</v>
      </c>
      <c r="M222">
        <v>220</v>
      </c>
    </row>
    <row r="223" spans="1:13" hidden="1" x14ac:dyDescent="0.3">
      <c r="A223" s="1">
        <v>44186</v>
      </c>
      <c r="B223" s="2" t="s">
        <v>8</v>
      </c>
      <c r="C223">
        <v>6815</v>
      </c>
      <c r="D223">
        <v>14</v>
      </c>
      <c r="E223">
        <v>360</v>
      </c>
      <c r="F223">
        <v>6310</v>
      </c>
      <c r="G223">
        <v>14</v>
      </c>
      <c r="H223">
        <v>4</v>
      </c>
      <c r="I223">
        <v>118742</v>
      </c>
      <c r="J223">
        <v>74027</v>
      </c>
      <c r="K223">
        <v>143</v>
      </c>
      <c r="L223">
        <v>222</v>
      </c>
      <c r="M223">
        <v>221</v>
      </c>
    </row>
    <row r="224" spans="1:13" hidden="1" x14ac:dyDescent="0.3">
      <c r="A224" s="1">
        <v>44187</v>
      </c>
      <c r="B224" s="2" t="s">
        <v>8</v>
      </c>
      <c r="C224">
        <v>6841</v>
      </c>
      <c r="D224">
        <v>26</v>
      </c>
      <c r="E224">
        <v>356</v>
      </c>
      <c r="F224">
        <v>6339</v>
      </c>
      <c r="G224">
        <v>9</v>
      </c>
      <c r="H224">
        <v>4</v>
      </c>
      <c r="I224">
        <v>119586</v>
      </c>
      <c r="J224">
        <v>74133</v>
      </c>
      <c r="K224">
        <v>144</v>
      </c>
      <c r="L224">
        <v>223</v>
      </c>
      <c r="M224">
        <v>222</v>
      </c>
    </row>
    <row r="225" spans="1:13" hidden="1" x14ac:dyDescent="0.3">
      <c r="A225" s="1">
        <v>44188</v>
      </c>
      <c r="B225" s="2" t="s">
        <v>8</v>
      </c>
      <c r="C225">
        <v>6876</v>
      </c>
      <c r="D225">
        <v>34</v>
      </c>
      <c r="E225">
        <v>370</v>
      </c>
      <c r="F225">
        <v>6360</v>
      </c>
      <c r="G225">
        <v>10</v>
      </c>
      <c r="H225">
        <v>3</v>
      </c>
      <c r="I225">
        <v>120792</v>
      </c>
      <c r="J225">
        <v>74228</v>
      </c>
      <c r="K225">
        <v>144</v>
      </c>
      <c r="L225">
        <v>224</v>
      </c>
      <c r="M225">
        <v>223</v>
      </c>
    </row>
    <row r="226" spans="1:13" hidden="1" x14ac:dyDescent="0.3">
      <c r="A226" s="1">
        <v>44189</v>
      </c>
      <c r="B226" s="2" t="s">
        <v>8</v>
      </c>
      <c r="C226">
        <v>6904</v>
      </c>
      <c r="D226">
        <v>23</v>
      </c>
      <c r="E226">
        <v>382</v>
      </c>
      <c r="F226">
        <v>6376</v>
      </c>
      <c r="G226">
        <v>10</v>
      </c>
      <c r="H226">
        <v>3</v>
      </c>
      <c r="I226">
        <v>121740</v>
      </c>
      <c r="J226">
        <v>74356</v>
      </c>
      <c r="K226">
        <v>144</v>
      </c>
      <c r="L226">
        <v>225</v>
      </c>
      <c r="M226">
        <v>224</v>
      </c>
    </row>
    <row r="227" spans="1:13" hidden="1" x14ac:dyDescent="0.3">
      <c r="A227" s="1">
        <v>44190</v>
      </c>
      <c r="B227" s="2" t="s">
        <v>8</v>
      </c>
      <c r="C227">
        <v>6939</v>
      </c>
      <c r="D227">
        <v>33</v>
      </c>
      <c r="E227">
        <v>381</v>
      </c>
      <c r="F227">
        <v>6412</v>
      </c>
      <c r="G227">
        <v>10</v>
      </c>
      <c r="H227">
        <v>4</v>
      </c>
      <c r="I227">
        <v>122144</v>
      </c>
      <c r="J227">
        <v>74395</v>
      </c>
      <c r="K227">
        <v>144</v>
      </c>
      <c r="L227">
        <v>226</v>
      </c>
      <c r="M227">
        <v>225</v>
      </c>
    </row>
    <row r="228" spans="1:13" hidden="1" x14ac:dyDescent="0.3">
      <c r="A228" s="1">
        <v>44191</v>
      </c>
      <c r="B228" s="2" t="s">
        <v>8</v>
      </c>
      <c r="C228">
        <v>6950</v>
      </c>
      <c r="D228">
        <v>7</v>
      </c>
      <c r="E228">
        <v>374</v>
      </c>
      <c r="F228">
        <v>6429</v>
      </c>
      <c r="G228">
        <v>9</v>
      </c>
      <c r="H228">
        <v>4</v>
      </c>
      <c r="I228">
        <v>122460</v>
      </c>
      <c r="J228">
        <v>74455</v>
      </c>
      <c r="K228">
        <v>145</v>
      </c>
      <c r="L228">
        <v>227</v>
      </c>
      <c r="M228">
        <v>226</v>
      </c>
    </row>
    <row r="229" spans="1:13" hidden="1" x14ac:dyDescent="0.3">
      <c r="A229" s="1">
        <v>44192</v>
      </c>
      <c r="B229" s="2" t="s">
        <v>8</v>
      </c>
      <c r="C229">
        <v>6993</v>
      </c>
      <c r="D229">
        <v>41</v>
      </c>
      <c r="E229">
        <v>397</v>
      </c>
      <c r="F229">
        <v>6449</v>
      </c>
      <c r="G229">
        <v>11</v>
      </c>
      <c r="H229">
        <v>3</v>
      </c>
      <c r="I229">
        <v>123071</v>
      </c>
      <c r="J229">
        <v>74519</v>
      </c>
      <c r="K229">
        <v>145</v>
      </c>
      <c r="L229">
        <v>228</v>
      </c>
      <c r="M229">
        <v>227</v>
      </c>
    </row>
    <row r="230" spans="1:13" hidden="1" x14ac:dyDescent="0.3">
      <c r="A230" s="1">
        <v>44193</v>
      </c>
      <c r="B230" s="2" t="s">
        <v>8</v>
      </c>
      <c r="C230">
        <v>7009</v>
      </c>
      <c r="D230">
        <v>13</v>
      </c>
      <c r="E230">
        <v>397</v>
      </c>
      <c r="F230">
        <v>6465</v>
      </c>
      <c r="G230">
        <v>10</v>
      </c>
      <c r="H230">
        <v>3</v>
      </c>
      <c r="I230">
        <v>123460</v>
      </c>
      <c r="J230">
        <v>74626</v>
      </c>
      <c r="K230">
        <v>145</v>
      </c>
      <c r="L230">
        <v>229</v>
      </c>
      <c r="M230">
        <v>228</v>
      </c>
    </row>
    <row r="231" spans="1:13" hidden="1" x14ac:dyDescent="0.3">
      <c r="A231" s="1">
        <v>44194</v>
      </c>
      <c r="B231" s="2" t="s">
        <v>8</v>
      </c>
      <c r="C231">
        <v>7059</v>
      </c>
      <c r="D231">
        <v>50</v>
      </c>
      <c r="E231">
        <v>430</v>
      </c>
      <c r="F231">
        <v>6482</v>
      </c>
      <c r="G231">
        <v>12</v>
      </c>
      <c r="H231">
        <v>2</v>
      </c>
      <c r="I231">
        <v>124244</v>
      </c>
      <c r="J231">
        <v>74737</v>
      </c>
      <c r="K231">
        <v>145</v>
      </c>
      <c r="L231">
        <v>230</v>
      </c>
      <c r="M231">
        <v>229</v>
      </c>
    </row>
    <row r="232" spans="1:13" hidden="1" x14ac:dyDescent="0.3">
      <c r="A232" s="1">
        <v>44195</v>
      </c>
      <c r="B232" s="2" t="s">
        <v>8</v>
      </c>
      <c r="C232">
        <v>7108</v>
      </c>
      <c r="D232">
        <v>45</v>
      </c>
      <c r="E232">
        <v>444</v>
      </c>
      <c r="F232">
        <v>6517</v>
      </c>
      <c r="G232">
        <v>16</v>
      </c>
      <c r="H232">
        <v>2</v>
      </c>
      <c r="I232">
        <v>125028</v>
      </c>
      <c r="J232">
        <v>74843</v>
      </c>
      <c r="K232">
        <v>145</v>
      </c>
      <c r="L232">
        <v>231</v>
      </c>
      <c r="M232">
        <v>230</v>
      </c>
    </row>
    <row r="233" spans="1:13" hidden="1" x14ac:dyDescent="0.3">
      <c r="A233" s="1">
        <v>44196</v>
      </c>
      <c r="B233" s="2" t="s">
        <v>8</v>
      </c>
      <c r="C233">
        <v>7155</v>
      </c>
      <c r="D233">
        <v>32</v>
      </c>
      <c r="E233">
        <v>463</v>
      </c>
      <c r="F233">
        <v>6545</v>
      </c>
      <c r="G233">
        <v>13</v>
      </c>
      <c r="H233">
        <v>2</v>
      </c>
      <c r="I233">
        <v>125659</v>
      </c>
      <c r="J233">
        <v>74958</v>
      </c>
      <c r="K233">
        <v>145</v>
      </c>
      <c r="L233">
        <v>232</v>
      </c>
      <c r="M233">
        <v>231</v>
      </c>
    </row>
    <row r="234" spans="1:13" hidden="1" x14ac:dyDescent="0.3">
      <c r="A234" s="1">
        <v>44197</v>
      </c>
      <c r="B234" s="2" t="s">
        <v>8</v>
      </c>
      <c r="C234">
        <v>7190</v>
      </c>
      <c r="D234">
        <v>39</v>
      </c>
      <c r="E234">
        <v>475</v>
      </c>
      <c r="F234">
        <v>6568</v>
      </c>
      <c r="G234">
        <v>14</v>
      </c>
      <c r="H234">
        <v>2</v>
      </c>
      <c r="I234">
        <v>126196</v>
      </c>
      <c r="J234">
        <v>75004</v>
      </c>
      <c r="K234">
        <v>145</v>
      </c>
      <c r="L234">
        <v>233</v>
      </c>
      <c r="M234">
        <v>232</v>
      </c>
    </row>
    <row r="235" spans="1:13" hidden="1" x14ac:dyDescent="0.3">
      <c r="A235" s="1">
        <v>44198</v>
      </c>
      <c r="B235" s="2" t="s">
        <v>8</v>
      </c>
      <c r="C235">
        <v>7223</v>
      </c>
      <c r="D235">
        <v>29</v>
      </c>
      <c r="E235">
        <v>483</v>
      </c>
      <c r="F235">
        <v>6593</v>
      </c>
      <c r="G235">
        <v>16</v>
      </c>
      <c r="H235">
        <v>2</v>
      </c>
      <c r="I235">
        <v>126441</v>
      </c>
      <c r="J235">
        <v>75074</v>
      </c>
      <c r="K235">
        <v>145</v>
      </c>
      <c r="L235">
        <v>234</v>
      </c>
      <c r="M235">
        <v>233</v>
      </c>
    </row>
    <row r="236" spans="1:13" hidden="1" x14ac:dyDescent="0.3">
      <c r="A236" s="1">
        <v>44199</v>
      </c>
      <c r="B236" s="2" t="s">
        <v>8</v>
      </c>
      <c r="C236">
        <v>7283</v>
      </c>
      <c r="D236">
        <v>57</v>
      </c>
      <c r="E236">
        <v>507</v>
      </c>
      <c r="F236">
        <v>6629</v>
      </c>
      <c r="G236">
        <v>17</v>
      </c>
      <c r="H236">
        <v>0</v>
      </c>
      <c r="I236">
        <v>127325</v>
      </c>
      <c r="J236">
        <v>75158</v>
      </c>
      <c r="K236">
        <v>145</v>
      </c>
      <c r="L236">
        <v>235</v>
      </c>
      <c r="M236">
        <v>234</v>
      </c>
    </row>
    <row r="237" spans="1:13" hidden="1" x14ac:dyDescent="0.3">
      <c r="A237" s="1">
        <v>44200</v>
      </c>
      <c r="B237" s="2" t="s">
        <v>8</v>
      </c>
      <c r="C237">
        <v>7328</v>
      </c>
      <c r="D237">
        <v>46</v>
      </c>
      <c r="E237">
        <v>531</v>
      </c>
      <c r="F237">
        <v>6649</v>
      </c>
      <c r="G237">
        <v>17</v>
      </c>
      <c r="H237">
        <v>0</v>
      </c>
      <c r="I237">
        <v>128312</v>
      </c>
      <c r="J237">
        <v>75322</v>
      </c>
      <c r="K237">
        <v>145</v>
      </c>
      <c r="L237">
        <v>236</v>
      </c>
      <c r="M237">
        <v>235</v>
      </c>
    </row>
    <row r="238" spans="1:13" hidden="1" x14ac:dyDescent="0.3">
      <c r="A238" s="1">
        <v>44201</v>
      </c>
      <c r="B238" s="2" t="s">
        <v>8</v>
      </c>
      <c r="C238">
        <v>7391</v>
      </c>
      <c r="D238">
        <v>53</v>
      </c>
      <c r="E238">
        <v>575</v>
      </c>
      <c r="F238">
        <v>6668</v>
      </c>
      <c r="G238">
        <v>18</v>
      </c>
      <c r="H238">
        <v>0</v>
      </c>
      <c r="I238">
        <v>129326</v>
      </c>
      <c r="J238">
        <v>75446</v>
      </c>
      <c r="K238">
        <v>145</v>
      </c>
      <c r="L238">
        <v>237</v>
      </c>
      <c r="M238">
        <v>236</v>
      </c>
    </row>
    <row r="239" spans="1:13" hidden="1" x14ac:dyDescent="0.3">
      <c r="A239" s="1">
        <v>44202</v>
      </c>
      <c r="B239" s="2" t="s">
        <v>8</v>
      </c>
      <c r="C239">
        <v>7460</v>
      </c>
      <c r="D239">
        <v>63</v>
      </c>
      <c r="E239">
        <v>619</v>
      </c>
      <c r="F239">
        <v>6693</v>
      </c>
      <c r="G239">
        <v>19</v>
      </c>
      <c r="H239">
        <v>0</v>
      </c>
      <c r="I239">
        <v>130505</v>
      </c>
      <c r="J239">
        <v>75518</v>
      </c>
      <c r="K239">
        <v>145</v>
      </c>
      <c r="L239">
        <v>238</v>
      </c>
      <c r="M239">
        <v>237</v>
      </c>
    </row>
    <row r="240" spans="1:13" hidden="1" x14ac:dyDescent="0.3">
      <c r="A240" s="1">
        <v>44203</v>
      </c>
      <c r="B240" s="2" t="s">
        <v>8</v>
      </c>
      <c r="C240">
        <v>7502</v>
      </c>
      <c r="D240">
        <v>34</v>
      </c>
      <c r="E240">
        <v>626</v>
      </c>
      <c r="F240">
        <v>6728</v>
      </c>
      <c r="G240">
        <v>17</v>
      </c>
      <c r="H240">
        <v>0</v>
      </c>
      <c r="I240">
        <v>131040</v>
      </c>
      <c r="J240">
        <v>75694</v>
      </c>
      <c r="K240">
        <v>145</v>
      </c>
      <c r="L240">
        <v>239</v>
      </c>
      <c r="M240">
        <v>238</v>
      </c>
    </row>
    <row r="241" spans="1:13" hidden="1" x14ac:dyDescent="0.3">
      <c r="A241" s="1">
        <v>44204</v>
      </c>
      <c r="B241" s="2" t="s">
        <v>8</v>
      </c>
      <c r="C241">
        <v>7598</v>
      </c>
      <c r="D241">
        <v>87</v>
      </c>
      <c r="E241">
        <v>699</v>
      </c>
      <c r="F241">
        <v>6750</v>
      </c>
      <c r="G241">
        <v>18</v>
      </c>
      <c r="H241">
        <v>0</v>
      </c>
      <c r="I241">
        <v>131831</v>
      </c>
      <c r="J241">
        <v>75975</v>
      </c>
      <c r="K241">
        <v>146</v>
      </c>
      <c r="L241">
        <v>240</v>
      </c>
      <c r="M241">
        <v>239</v>
      </c>
    </row>
    <row r="242" spans="1:13" hidden="1" x14ac:dyDescent="0.3">
      <c r="A242" s="1">
        <v>44205</v>
      </c>
      <c r="B242" s="2" t="s">
        <v>8</v>
      </c>
      <c r="C242">
        <v>7673</v>
      </c>
      <c r="D242">
        <v>71</v>
      </c>
      <c r="E242">
        <v>751</v>
      </c>
      <c r="F242">
        <v>6773</v>
      </c>
      <c r="G242">
        <v>20</v>
      </c>
      <c r="H242">
        <v>2</v>
      </c>
      <c r="I242">
        <v>132730</v>
      </c>
      <c r="J242">
        <v>76051</v>
      </c>
      <c r="K242">
        <v>146</v>
      </c>
      <c r="L242">
        <v>241</v>
      </c>
      <c r="M242">
        <v>240</v>
      </c>
    </row>
    <row r="243" spans="1:13" hidden="1" x14ac:dyDescent="0.3">
      <c r="A243" s="1">
        <v>44206</v>
      </c>
      <c r="B243" s="2" t="s">
        <v>8</v>
      </c>
      <c r="C243">
        <v>7730</v>
      </c>
      <c r="D243">
        <v>50</v>
      </c>
      <c r="E243">
        <v>778</v>
      </c>
      <c r="F243">
        <v>6802</v>
      </c>
      <c r="G243">
        <v>21</v>
      </c>
      <c r="H243">
        <v>3</v>
      </c>
      <c r="I243">
        <v>133652</v>
      </c>
      <c r="J243">
        <v>76110</v>
      </c>
      <c r="K243">
        <v>147</v>
      </c>
      <c r="L243">
        <v>242</v>
      </c>
      <c r="M243">
        <v>241</v>
      </c>
    </row>
    <row r="244" spans="1:13" hidden="1" x14ac:dyDescent="0.3">
      <c r="A244" s="1">
        <v>44207</v>
      </c>
      <c r="B244" s="2" t="s">
        <v>8</v>
      </c>
      <c r="C244">
        <v>7777</v>
      </c>
      <c r="D244">
        <v>38</v>
      </c>
      <c r="E244">
        <v>810</v>
      </c>
      <c r="F244">
        <v>6815</v>
      </c>
      <c r="G244">
        <v>25</v>
      </c>
      <c r="H244">
        <v>2</v>
      </c>
      <c r="I244">
        <v>134704</v>
      </c>
      <c r="J244">
        <v>76350</v>
      </c>
      <c r="K244">
        <v>148</v>
      </c>
      <c r="L244">
        <v>243</v>
      </c>
      <c r="M244">
        <v>242</v>
      </c>
    </row>
    <row r="245" spans="1:13" hidden="1" x14ac:dyDescent="0.3">
      <c r="A245" s="1">
        <v>44208</v>
      </c>
      <c r="B245" s="2" t="s">
        <v>8</v>
      </c>
      <c r="C245">
        <v>7881</v>
      </c>
      <c r="D245">
        <v>90</v>
      </c>
      <c r="E245">
        <v>890</v>
      </c>
      <c r="F245">
        <v>6838</v>
      </c>
      <c r="G245">
        <v>28</v>
      </c>
      <c r="H245">
        <v>4</v>
      </c>
      <c r="I245">
        <v>136017</v>
      </c>
      <c r="J245">
        <v>76690</v>
      </c>
      <c r="K245">
        <v>148</v>
      </c>
      <c r="L245">
        <v>244</v>
      </c>
      <c r="M245">
        <v>243</v>
      </c>
    </row>
    <row r="246" spans="1:13" hidden="1" x14ac:dyDescent="0.3">
      <c r="A246" s="1">
        <v>44209</v>
      </c>
      <c r="B246" s="2" t="s">
        <v>8</v>
      </c>
      <c r="C246">
        <v>7980</v>
      </c>
      <c r="D246">
        <v>97</v>
      </c>
      <c r="E246">
        <v>945</v>
      </c>
      <c r="F246">
        <v>6881</v>
      </c>
      <c r="G246">
        <v>31</v>
      </c>
      <c r="H246">
        <v>3</v>
      </c>
      <c r="I246">
        <v>137147</v>
      </c>
      <c r="J246">
        <v>76890</v>
      </c>
      <c r="K246">
        <v>149</v>
      </c>
      <c r="L246">
        <v>245</v>
      </c>
      <c r="M246">
        <v>244</v>
      </c>
    </row>
    <row r="247" spans="1:13" hidden="1" x14ac:dyDescent="0.3">
      <c r="A247" s="1">
        <v>44210</v>
      </c>
      <c r="B247" s="2" t="s">
        <v>8</v>
      </c>
      <c r="C247">
        <v>8065</v>
      </c>
      <c r="D247">
        <v>75</v>
      </c>
      <c r="E247">
        <v>992</v>
      </c>
      <c r="F247">
        <v>6918</v>
      </c>
      <c r="G247">
        <v>32</v>
      </c>
      <c r="H247">
        <v>3</v>
      </c>
      <c r="I247">
        <v>138110</v>
      </c>
      <c r="J247">
        <v>77068</v>
      </c>
      <c r="K247">
        <v>150</v>
      </c>
      <c r="L247">
        <v>246</v>
      </c>
      <c r="M247">
        <v>245</v>
      </c>
    </row>
    <row r="248" spans="1:13" hidden="1" x14ac:dyDescent="0.3">
      <c r="A248" s="1">
        <v>44211</v>
      </c>
      <c r="B248" s="2" t="s">
        <v>8</v>
      </c>
      <c r="C248">
        <v>8156</v>
      </c>
      <c r="D248">
        <v>84</v>
      </c>
      <c r="E248">
        <v>1031</v>
      </c>
      <c r="F248">
        <v>6968</v>
      </c>
      <c r="G248">
        <v>35</v>
      </c>
      <c r="H248">
        <v>4</v>
      </c>
      <c r="I248">
        <v>139111</v>
      </c>
      <c r="J248">
        <v>77429</v>
      </c>
      <c r="K248">
        <v>151</v>
      </c>
      <c r="L248">
        <v>247</v>
      </c>
      <c r="M248">
        <v>246</v>
      </c>
    </row>
    <row r="249" spans="1:13" hidden="1" x14ac:dyDescent="0.3">
      <c r="A249" s="1">
        <v>44212</v>
      </c>
      <c r="B249" s="2" t="s">
        <v>8</v>
      </c>
      <c r="C249">
        <v>8264</v>
      </c>
      <c r="D249">
        <v>88</v>
      </c>
      <c r="E249">
        <v>1098</v>
      </c>
      <c r="F249">
        <v>7009</v>
      </c>
      <c r="G249">
        <v>37</v>
      </c>
      <c r="H249">
        <v>6</v>
      </c>
      <c r="I249">
        <v>140146</v>
      </c>
      <c r="J249">
        <v>77612</v>
      </c>
      <c r="K249">
        <v>151</v>
      </c>
      <c r="L249">
        <v>248</v>
      </c>
      <c r="M249">
        <v>247</v>
      </c>
    </row>
    <row r="250" spans="1:13" hidden="1" x14ac:dyDescent="0.3">
      <c r="A250" s="1">
        <v>44213</v>
      </c>
      <c r="B250" s="2" t="s">
        <v>8</v>
      </c>
      <c r="C250">
        <v>8357</v>
      </c>
      <c r="D250">
        <v>82</v>
      </c>
      <c r="E250">
        <v>1146</v>
      </c>
      <c r="F250">
        <v>7054</v>
      </c>
      <c r="G250">
        <v>43</v>
      </c>
      <c r="H250">
        <v>7</v>
      </c>
      <c r="I250">
        <v>141309</v>
      </c>
      <c r="J250">
        <v>77750</v>
      </c>
      <c r="K250">
        <v>151</v>
      </c>
      <c r="L250">
        <v>249</v>
      </c>
      <c r="M250">
        <v>248</v>
      </c>
    </row>
    <row r="251" spans="1:13" hidden="1" x14ac:dyDescent="0.3">
      <c r="A251" s="1">
        <v>44214</v>
      </c>
      <c r="B251" s="2" t="s">
        <v>8</v>
      </c>
      <c r="C251">
        <v>8459</v>
      </c>
      <c r="D251">
        <v>86</v>
      </c>
      <c r="E251">
        <v>1210</v>
      </c>
      <c r="F251">
        <v>7090</v>
      </c>
      <c r="G251">
        <v>39</v>
      </c>
      <c r="H251">
        <v>7</v>
      </c>
      <c r="I251">
        <v>141992</v>
      </c>
      <c r="J251">
        <v>78077</v>
      </c>
      <c r="K251">
        <v>152</v>
      </c>
      <c r="L251">
        <v>250</v>
      </c>
      <c r="M251">
        <v>249</v>
      </c>
    </row>
    <row r="252" spans="1:13" hidden="1" x14ac:dyDescent="0.3">
      <c r="A252" s="1">
        <v>44215</v>
      </c>
      <c r="B252" s="2" t="s">
        <v>8</v>
      </c>
      <c r="C252">
        <v>8576</v>
      </c>
      <c r="D252">
        <v>104</v>
      </c>
      <c r="E252">
        <v>1273</v>
      </c>
      <c r="F252">
        <v>7138</v>
      </c>
      <c r="G252">
        <v>37</v>
      </c>
      <c r="H252">
        <v>8</v>
      </c>
      <c r="I252">
        <v>143195</v>
      </c>
      <c r="J252">
        <v>78582</v>
      </c>
      <c r="K252">
        <v>157</v>
      </c>
      <c r="L252">
        <v>251</v>
      </c>
      <c r="M252">
        <v>250</v>
      </c>
    </row>
    <row r="253" spans="1:13" hidden="1" x14ac:dyDescent="0.3">
      <c r="A253" s="1">
        <v>44216</v>
      </c>
      <c r="B253" s="2" t="s">
        <v>8</v>
      </c>
      <c r="C253">
        <v>8708</v>
      </c>
      <c r="D253">
        <v>109</v>
      </c>
      <c r="E253">
        <v>1361</v>
      </c>
      <c r="F253">
        <v>7181</v>
      </c>
      <c r="G253">
        <v>39</v>
      </c>
      <c r="H253">
        <v>9</v>
      </c>
      <c r="I253">
        <v>144363</v>
      </c>
      <c r="J253">
        <v>78820</v>
      </c>
      <c r="K253">
        <v>158</v>
      </c>
      <c r="L253">
        <v>252</v>
      </c>
      <c r="M253">
        <v>251</v>
      </c>
    </row>
    <row r="254" spans="1:13" hidden="1" x14ac:dyDescent="0.3">
      <c r="A254" s="1">
        <v>44217</v>
      </c>
      <c r="B254" s="2" t="s">
        <v>8</v>
      </c>
      <c r="C254">
        <v>8871</v>
      </c>
      <c r="D254">
        <v>151</v>
      </c>
      <c r="E254">
        <v>1449</v>
      </c>
      <c r="F254">
        <v>7256</v>
      </c>
      <c r="G254">
        <v>36</v>
      </c>
      <c r="H254">
        <v>10</v>
      </c>
      <c r="I254">
        <v>145979</v>
      </c>
      <c r="J254">
        <v>79113</v>
      </c>
      <c r="K254">
        <v>158</v>
      </c>
      <c r="L254">
        <v>253</v>
      </c>
      <c r="M254">
        <v>252</v>
      </c>
    </row>
    <row r="255" spans="1:13" hidden="1" x14ac:dyDescent="0.3">
      <c r="A255" s="1">
        <v>44218</v>
      </c>
      <c r="B255" s="2" t="s">
        <v>8</v>
      </c>
      <c r="C255">
        <v>9059</v>
      </c>
      <c r="D255">
        <v>170</v>
      </c>
      <c r="E255">
        <v>1545</v>
      </c>
      <c r="F255">
        <v>7348</v>
      </c>
      <c r="G255">
        <v>41</v>
      </c>
      <c r="H255">
        <v>11</v>
      </c>
      <c r="I255">
        <v>147474</v>
      </c>
      <c r="J255">
        <v>79484</v>
      </c>
      <c r="K255">
        <v>158</v>
      </c>
      <c r="L255">
        <v>254</v>
      </c>
      <c r="M255">
        <v>253</v>
      </c>
    </row>
    <row r="256" spans="1:13" hidden="1" x14ac:dyDescent="0.3">
      <c r="A256" s="1">
        <v>44219</v>
      </c>
      <c r="B256" s="2" t="s">
        <v>8</v>
      </c>
      <c r="C256">
        <v>9232</v>
      </c>
      <c r="D256">
        <v>157</v>
      </c>
      <c r="E256">
        <v>1666</v>
      </c>
      <c r="F256">
        <v>7398</v>
      </c>
      <c r="G256">
        <v>48</v>
      </c>
      <c r="H256">
        <v>11</v>
      </c>
      <c r="I256">
        <v>148962</v>
      </c>
      <c r="J256">
        <v>79625</v>
      </c>
      <c r="K256">
        <v>160</v>
      </c>
      <c r="L256">
        <v>255</v>
      </c>
      <c r="M256">
        <v>254</v>
      </c>
    </row>
    <row r="257" spans="1:13" hidden="1" x14ac:dyDescent="0.3">
      <c r="A257" s="1">
        <v>44220</v>
      </c>
      <c r="B257" s="2" t="s">
        <v>8</v>
      </c>
      <c r="C257">
        <v>9353</v>
      </c>
      <c r="D257">
        <v>111</v>
      </c>
      <c r="E257">
        <v>1731</v>
      </c>
      <c r="F257">
        <v>7454</v>
      </c>
      <c r="G257">
        <v>51</v>
      </c>
      <c r="H257">
        <v>15</v>
      </c>
      <c r="I257">
        <v>150014</v>
      </c>
      <c r="J257">
        <v>79847</v>
      </c>
      <c r="K257">
        <v>160</v>
      </c>
      <c r="L257">
        <v>256</v>
      </c>
      <c r="M257">
        <v>255</v>
      </c>
    </row>
    <row r="258" spans="1:13" hidden="1" x14ac:dyDescent="0.3">
      <c r="A258" s="1">
        <v>44221</v>
      </c>
      <c r="B258" s="2" t="s">
        <v>8</v>
      </c>
      <c r="C258">
        <v>9469</v>
      </c>
      <c r="D258">
        <v>91</v>
      </c>
      <c r="E258">
        <v>1798</v>
      </c>
      <c r="F258">
        <v>7501</v>
      </c>
      <c r="G258">
        <v>57</v>
      </c>
      <c r="H258">
        <v>15</v>
      </c>
      <c r="I258">
        <v>151191</v>
      </c>
      <c r="J258">
        <v>80319</v>
      </c>
      <c r="K258">
        <v>162</v>
      </c>
      <c r="L258">
        <v>257</v>
      </c>
      <c r="M258">
        <v>256</v>
      </c>
    </row>
    <row r="259" spans="1:13" hidden="1" x14ac:dyDescent="0.3">
      <c r="A259" s="1">
        <v>44222</v>
      </c>
      <c r="B259" s="2" t="s">
        <v>8</v>
      </c>
      <c r="C259">
        <v>9680</v>
      </c>
      <c r="D259">
        <v>184</v>
      </c>
      <c r="E259">
        <v>1954</v>
      </c>
      <c r="F259">
        <v>7556</v>
      </c>
      <c r="G259">
        <v>58</v>
      </c>
      <c r="H259">
        <v>15</v>
      </c>
      <c r="I259">
        <v>152684</v>
      </c>
      <c r="J259">
        <v>80867</v>
      </c>
      <c r="K259">
        <v>162</v>
      </c>
      <c r="L259">
        <v>258</v>
      </c>
      <c r="M259">
        <v>257</v>
      </c>
    </row>
    <row r="260" spans="1:13" hidden="1" x14ac:dyDescent="0.3">
      <c r="A260" s="1">
        <v>44223</v>
      </c>
      <c r="B260" s="2" t="s">
        <v>8</v>
      </c>
      <c r="C260">
        <v>9814</v>
      </c>
      <c r="D260">
        <v>130</v>
      </c>
      <c r="E260">
        <v>1978</v>
      </c>
      <c r="F260">
        <v>7665</v>
      </c>
      <c r="G260">
        <v>57</v>
      </c>
      <c r="H260">
        <v>15</v>
      </c>
      <c r="I260">
        <v>154202</v>
      </c>
      <c r="J260">
        <v>81248</v>
      </c>
      <c r="K260">
        <v>163</v>
      </c>
      <c r="L260">
        <v>259</v>
      </c>
      <c r="M260">
        <v>258</v>
      </c>
    </row>
    <row r="261" spans="1:13" hidden="1" x14ac:dyDescent="0.3">
      <c r="A261" s="1">
        <v>44224</v>
      </c>
      <c r="B261" s="2" t="s">
        <v>8</v>
      </c>
      <c r="C261">
        <v>9937</v>
      </c>
      <c r="D261">
        <v>114</v>
      </c>
      <c r="E261">
        <v>2009</v>
      </c>
      <c r="F261">
        <v>7752</v>
      </c>
      <c r="G261">
        <v>56</v>
      </c>
      <c r="H261">
        <v>16</v>
      </c>
      <c r="I261">
        <v>155706</v>
      </c>
      <c r="J261">
        <v>81543</v>
      </c>
      <c r="K261">
        <v>168</v>
      </c>
      <c r="L261">
        <v>260</v>
      </c>
      <c r="M261">
        <v>259</v>
      </c>
    </row>
    <row r="262" spans="1:13" hidden="1" x14ac:dyDescent="0.3">
      <c r="A262" s="1">
        <v>44225</v>
      </c>
      <c r="B262" s="2" t="s">
        <v>8</v>
      </c>
      <c r="C262">
        <v>10116</v>
      </c>
      <c r="D262">
        <v>169</v>
      </c>
      <c r="E262">
        <v>2121</v>
      </c>
      <c r="F262">
        <v>7818</v>
      </c>
      <c r="G262">
        <v>57</v>
      </c>
      <c r="H262">
        <v>21</v>
      </c>
      <c r="I262">
        <v>157105</v>
      </c>
      <c r="J262">
        <v>82160</v>
      </c>
      <c r="K262">
        <v>170</v>
      </c>
      <c r="L262">
        <v>261</v>
      </c>
      <c r="M262">
        <v>260</v>
      </c>
    </row>
    <row r="263" spans="1:13" hidden="1" x14ac:dyDescent="0.3">
      <c r="A263" s="1">
        <v>44226</v>
      </c>
      <c r="B263" s="2" t="s">
        <v>8</v>
      </c>
      <c r="C263">
        <v>10240</v>
      </c>
      <c r="D263">
        <v>116</v>
      </c>
      <c r="E263">
        <v>2129</v>
      </c>
      <c r="F263">
        <v>7933</v>
      </c>
      <c r="G263">
        <v>54</v>
      </c>
      <c r="H263">
        <v>19</v>
      </c>
      <c r="I263">
        <v>158618</v>
      </c>
      <c r="J263">
        <v>82578</v>
      </c>
      <c r="K263">
        <v>171</v>
      </c>
      <c r="L263">
        <v>262</v>
      </c>
      <c r="M263">
        <v>261</v>
      </c>
    </row>
    <row r="264" spans="1:13" hidden="1" x14ac:dyDescent="0.3">
      <c r="A264" s="1">
        <v>44227</v>
      </c>
      <c r="B264" s="2" t="s">
        <v>8</v>
      </c>
      <c r="C264">
        <v>10337</v>
      </c>
      <c r="D264">
        <v>92</v>
      </c>
      <c r="E264">
        <v>2130</v>
      </c>
      <c r="F264">
        <v>8028</v>
      </c>
      <c r="G264">
        <v>67</v>
      </c>
      <c r="H264">
        <v>20</v>
      </c>
      <c r="I264">
        <v>159793</v>
      </c>
      <c r="J264">
        <v>82694</v>
      </c>
      <c r="K264">
        <v>172</v>
      </c>
      <c r="L264">
        <v>263</v>
      </c>
      <c r="M264">
        <v>262</v>
      </c>
    </row>
    <row r="265" spans="1:13" hidden="1" x14ac:dyDescent="0.3">
      <c r="A265" s="1">
        <v>44228</v>
      </c>
      <c r="B265" s="2" t="s">
        <v>8</v>
      </c>
      <c r="C265">
        <v>10415</v>
      </c>
      <c r="D265">
        <v>64</v>
      </c>
      <c r="E265">
        <v>2135</v>
      </c>
      <c r="F265">
        <v>8101</v>
      </c>
      <c r="G265">
        <v>70</v>
      </c>
      <c r="H265">
        <v>22</v>
      </c>
      <c r="I265">
        <v>160818</v>
      </c>
      <c r="J265">
        <v>83303</v>
      </c>
      <c r="K265">
        <v>172</v>
      </c>
      <c r="L265">
        <v>264</v>
      </c>
      <c r="M265">
        <v>263</v>
      </c>
    </row>
    <row r="266" spans="1:13" hidden="1" x14ac:dyDescent="0.3">
      <c r="A266" s="1">
        <v>44229</v>
      </c>
      <c r="B266" s="2" t="s">
        <v>8</v>
      </c>
      <c r="C266">
        <v>10492</v>
      </c>
      <c r="D266">
        <v>80</v>
      </c>
      <c r="E266">
        <v>2093</v>
      </c>
      <c r="F266">
        <v>8219</v>
      </c>
      <c r="G266">
        <v>70</v>
      </c>
      <c r="H266">
        <v>25</v>
      </c>
      <c r="I266">
        <v>162145</v>
      </c>
      <c r="J266">
        <v>83903</v>
      </c>
      <c r="K266">
        <v>174</v>
      </c>
      <c r="L266">
        <v>265</v>
      </c>
      <c r="M266">
        <v>264</v>
      </c>
    </row>
    <row r="267" spans="1:13" hidden="1" x14ac:dyDescent="0.3">
      <c r="A267" s="1">
        <v>44230</v>
      </c>
      <c r="B267" s="2" t="s">
        <v>8</v>
      </c>
      <c r="C267">
        <v>10599</v>
      </c>
      <c r="D267">
        <v>102</v>
      </c>
      <c r="E267">
        <v>2105</v>
      </c>
      <c r="F267">
        <v>8311</v>
      </c>
      <c r="G267">
        <v>65</v>
      </c>
      <c r="H267">
        <v>26</v>
      </c>
      <c r="I267">
        <v>163474</v>
      </c>
      <c r="J267">
        <v>84526</v>
      </c>
      <c r="K267">
        <v>177</v>
      </c>
      <c r="L267">
        <v>266</v>
      </c>
      <c r="M267">
        <v>265</v>
      </c>
    </row>
    <row r="268" spans="1:13" hidden="1" x14ac:dyDescent="0.3">
      <c r="A268" s="1">
        <v>44231</v>
      </c>
      <c r="B268" s="2" t="s">
        <v>8</v>
      </c>
      <c r="C268">
        <v>10681</v>
      </c>
      <c r="D268">
        <v>73</v>
      </c>
      <c r="E268">
        <v>2023</v>
      </c>
      <c r="F268">
        <v>8474</v>
      </c>
      <c r="G268">
        <v>64</v>
      </c>
      <c r="H268">
        <v>27</v>
      </c>
      <c r="I268">
        <v>164911</v>
      </c>
      <c r="J268">
        <v>85122</v>
      </c>
      <c r="K268">
        <v>178</v>
      </c>
      <c r="L268">
        <v>267</v>
      </c>
      <c r="M268">
        <v>266</v>
      </c>
    </row>
    <row r="269" spans="1:13" hidden="1" x14ac:dyDescent="0.3">
      <c r="A269" s="1">
        <v>44232</v>
      </c>
      <c r="B269" s="2" t="s">
        <v>8</v>
      </c>
      <c r="C269">
        <v>10772</v>
      </c>
      <c r="D269">
        <v>81</v>
      </c>
      <c r="E269">
        <v>1957</v>
      </c>
      <c r="F269">
        <v>8631</v>
      </c>
      <c r="G269">
        <v>67</v>
      </c>
      <c r="H269">
        <v>30</v>
      </c>
      <c r="I269">
        <v>166213</v>
      </c>
      <c r="J269">
        <v>85803</v>
      </c>
      <c r="K269">
        <v>178</v>
      </c>
      <c r="L269">
        <v>268</v>
      </c>
      <c r="M269">
        <v>267</v>
      </c>
    </row>
    <row r="270" spans="1:13" hidden="1" x14ac:dyDescent="0.3">
      <c r="A270" s="1">
        <v>44233</v>
      </c>
      <c r="B270" s="2" t="s">
        <v>8</v>
      </c>
      <c r="C270">
        <v>10864</v>
      </c>
      <c r="D270">
        <v>88</v>
      </c>
      <c r="E270">
        <v>1863</v>
      </c>
      <c r="F270">
        <v>8815</v>
      </c>
      <c r="G270">
        <v>67</v>
      </c>
      <c r="H270">
        <v>28</v>
      </c>
      <c r="I270">
        <v>167559</v>
      </c>
      <c r="J270">
        <v>86144</v>
      </c>
      <c r="K270">
        <v>180</v>
      </c>
      <c r="L270">
        <v>269</v>
      </c>
      <c r="M270">
        <v>268</v>
      </c>
    </row>
    <row r="271" spans="1:13" hidden="1" x14ac:dyDescent="0.3">
      <c r="A271" s="1">
        <v>44234</v>
      </c>
      <c r="B271" s="2" t="s">
        <v>8</v>
      </c>
      <c r="C271">
        <v>10915</v>
      </c>
      <c r="D271">
        <v>50</v>
      </c>
      <c r="E271">
        <v>1767</v>
      </c>
      <c r="F271">
        <v>8960</v>
      </c>
      <c r="G271">
        <v>68</v>
      </c>
      <c r="H271">
        <v>29</v>
      </c>
      <c r="I271">
        <v>168846</v>
      </c>
      <c r="J271">
        <v>86264</v>
      </c>
      <c r="K271">
        <v>182</v>
      </c>
      <c r="L271">
        <v>270</v>
      </c>
      <c r="M271">
        <v>269</v>
      </c>
    </row>
    <row r="272" spans="1:13" hidden="1" x14ac:dyDescent="0.3">
      <c r="A272" s="1">
        <v>44145</v>
      </c>
      <c r="B272" s="2" t="s">
        <v>9</v>
      </c>
      <c r="C272">
        <v>6949</v>
      </c>
      <c r="D272">
        <v>43</v>
      </c>
      <c r="E272">
        <v>929</v>
      </c>
      <c r="F272">
        <v>5758</v>
      </c>
      <c r="G272">
        <v>79</v>
      </c>
      <c r="H272">
        <v>15</v>
      </c>
      <c r="I272">
        <v>102385</v>
      </c>
      <c r="J272">
        <v>63405</v>
      </c>
      <c r="K272">
        <v>261</v>
      </c>
      <c r="L272">
        <v>271</v>
      </c>
      <c r="M272">
        <v>270</v>
      </c>
    </row>
    <row r="273" spans="1:13" hidden="1" x14ac:dyDescent="0.3">
      <c r="A273" s="1">
        <v>44146</v>
      </c>
      <c r="B273" s="2" t="s">
        <v>9</v>
      </c>
      <c r="C273">
        <v>6990</v>
      </c>
      <c r="D273">
        <v>41</v>
      </c>
      <c r="E273">
        <v>880</v>
      </c>
      <c r="F273">
        <v>5846</v>
      </c>
      <c r="G273">
        <v>77</v>
      </c>
      <c r="H273">
        <v>15</v>
      </c>
      <c r="I273">
        <v>103068</v>
      </c>
      <c r="J273">
        <v>63429</v>
      </c>
      <c r="K273">
        <v>264</v>
      </c>
      <c r="L273">
        <v>272</v>
      </c>
      <c r="M273">
        <v>271</v>
      </c>
    </row>
    <row r="274" spans="1:13" hidden="1" x14ac:dyDescent="0.3">
      <c r="A274" s="1">
        <v>44147</v>
      </c>
      <c r="B274" s="2" t="s">
        <v>9</v>
      </c>
      <c r="C274">
        <v>7030</v>
      </c>
      <c r="D274">
        <v>34</v>
      </c>
      <c r="E274">
        <v>874</v>
      </c>
      <c r="F274">
        <v>5891</v>
      </c>
      <c r="G274">
        <v>74</v>
      </c>
      <c r="H274">
        <v>16</v>
      </c>
      <c r="I274">
        <v>103576</v>
      </c>
      <c r="J274">
        <v>63504</v>
      </c>
      <c r="K274">
        <v>264</v>
      </c>
      <c r="L274">
        <v>273</v>
      </c>
      <c r="M274">
        <v>272</v>
      </c>
    </row>
    <row r="275" spans="1:13" hidden="1" x14ac:dyDescent="0.3">
      <c r="A275" s="1">
        <v>44148</v>
      </c>
      <c r="B275" s="2" t="s">
        <v>9</v>
      </c>
      <c r="C275">
        <v>7074</v>
      </c>
      <c r="D275">
        <v>43</v>
      </c>
      <c r="E275">
        <v>856</v>
      </c>
      <c r="F275">
        <v>5952</v>
      </c>
      <c r="G275">
        <v>70</v>
      </c>
      <c r="H275">
        <v>14</v>
      </c>
      <c r="I275">
        <v>104231</v>
      </c>
      <c r="J275">
        <v>63574</v>
      </c>
      <c r="K275">
        <v>265</v>
      </c>
      <c r="L275">
        <v>274</v>
      </c>
      <c r="M275">
        <v>273</v>
      </c>
    </row>
    <row r="276" spans="1:13" hidden="1" x14ac:dyDescent="0.3">
      <c r="A276" s="1">
        <v>44149</v>
      </c>
      <c r="B276" s="2" t="s">
        <v>9</v>
      </c>
      <c r="C276">
        <v>7115</v>
      </c>
      <c r="D276">
        <v>39</v>
      </c>
      <c r="E276">
        <v>825</v>
      </c>
      <c r="F276">
        <v>6022</v>
      </c>
      <c r="G276">
        <v>70</v>
      </c>
      <c r="H276">
        <v>12</v>
      </c>
      <c r="I276">
        <v>104839</v>
      </c>
      <c r="J276">
        <v>63648</v>
      </c>
      <c r="K276">
        <v>267</v>
      </c>
      <c r="L276">
        <v>275</v>
      </c>
      <c r="M276">
        <v>274</v>
      </c>
    </row>
    <row r="277" spans="1:13" hidden="1" x14ac:dyDescent="0.3">
      <c r="A277" s="1">
        <v>44150</v>
      </c>
      <c r="B277" s="2" t="s">
        <v>9</v>
      </c>
      <c r="C277">
        <v>7150</v>
      </c>
      <c r="D277">
        <v>36</v>
      </c>
      <c r="E277">
        <v>812</v>
      </c>
      <c r="F277">
        <v>6068</v>
      </c>
      <c r="G277">
        <v>77</v>
      </c>
      <c r="H277">
        <v>12</v>
      </c>
      <c r="I277">
        <v>105717</v>
      </c>
      <c r="J277">
        <v>63672</v>
      </c>
      <c r="K277">
        <v>269</v>
      </c>
      <c r="L277">
        <v>276</v>
      </c>
      <c r="M277">
        <v>275</v>
      </c>
    </row>
    <row r="278" spans="1:13" hidden="1" x14ac:dyDescent="0.3">
      <c r="A278" s="1">
        <v>44151</v>
      </c>
      <c r="B278" s="2" t="s">
        <v>9</v>
      </c>
      <c r="C278">
        <v>7175</v>
      </c>
      <c r="D278">
        <v>26</v>
      </c>
      <c r="E278">
        <v>781</v>
      </c>
      <c r="F278">
        <v>6122</v>
      </c>
      <c r="G278">
        <v>82</v>
      </c>
      <c r="H278">
        <v>10</v>
      </c>
      <c r="I278">
        <v>106892</v>
      </c>
      <c r="J278">
        <v>63748</v>
      </c>
      <c r="K278">
        <v>271</v>
      </c>
      <c r="L278">
        <v>277</v>
      </c>
      <c r="M278">
        <v>276</v>
      </c>
    </row>
    <row r="279" spans="1:13" hidden="1" x14ac:dyDescent="0.3">
      <c r="A279" s="1">
        <v>44152</v>
      </c>
      <c r="B279" s="2" t="s">
        <v>9</v>
      </c>
      <c r="C279">
        <v>7208</v>
      </c>
      <c r="D279">
        <v>33</v>
      </c>
      <c r="E279">
        <v>749</v>
      </c>
      <c r="F279">
        <v>6186</v>
      </c>
      <c r="G279">
        <v>78</v>
      </c>
      <c r="H279">
        <v>10</v>
      </c>
      <c r="I279">
        <v>107792</v>
      </c>
      <c r="J279">
        <v>63855</v>
      </c>
      <c r="K279">
        <v>272</v>
      </c>
      <c r="L279">
        <v>278</v>
      </c>
      <c r="M279">
        <v>277</v>
      </c>
    </row>
    <row r="280" spans="1:13" hidden="1" x14ac:dyDescent="0.3">
      <c r="A280" s="1">
        <v>44153</v>
      </c>
      <c r="B280" s="2" t="s">
        <v>9</v>
      </c>
      <c r="C280">
        <v>7261</v>
      </c>
      <c r="D280">
        <v>44</v>
      </c>
      <c r="E280">
        <v>749</v>
      </c>
      <c r="F280">
        <v>6236</v>
      </c>
      <c r="G280">
        <v>79</v>
      </c>
      <c r="H280">
        <v>11</v>
      </c>
      <c r="I280">
        <v>108689</v>
      </c>
      <c r="J280">
        <v>63950</v>
      </c>
      <c r="K280">
        <v>275</v>
      </c>
      <c r="L280">
        <v>279</v>
      </c>
      <c r="M280">
        <v>278</v>
      </c>
    </row>
    <row r="281" spans="1:13" hidden="1" x14ac:dyDescent="0.3">
      <c r="A281" s="1">
        <v>44154</v>
      </c>
      <c r="B281" s="2" t="s">
        <v>9</v>
      </c>
      <c r="C281">
        <v>7308</v>
      </c>
      <c r="D281">
        <v>45</v>
      </c>
      <c r="E281">
        <v>720</v>
      </c>
      <c r="F281">
        <v>6308</v>
      </c>
      <c r="G281">
        <v>77</v>
      </c>
      <c r="H281">
        <v>10</v>
      </c>
      <c r="I281">
        <v>109275</v>
      </c>
      <c r="J281">
        <v>64061</v>
      </c>
      <c r="K281">
        <v>279</v>
      </c>
      <c r="L281">
        <v>280</v>
      </c>
      <c r="M281">
        <v>279</v>
      </c>
    </row>
    <row r="282" spans="1:13" hidden="1" x14ac:dyDescent="0.3">
      <c r="A282" s="1">
        <v>44155</v>
      </c>
      <c r="B282" s="2" t="s">
        <v>9</v>
      </c>
      <c r="C282">
        <v>7343</v>
      </c>
      <c r="D282">
        <v>34</v>
      </c>
      <c r="E282">
        <v>689</v>
      </c>
      <c r="F282">
        <v>6371</v>
      </c>
      <c r="G282">
        <v>70</v>
      </c>
      <c r="H282">
        <v>10</v>
      </c>
      <c r="I282">
        <v>109930</v>
      </c>
      <c r="J282">
        <v>64149</v>
      </c>
      <c r="K282">
        <v>282</v>
      </c>
      <c r="L282">
        <v>281</v>
      </c>
      <c r="M282">
        <v>280</v>
      </c>
    </row>
    <row r="283" spans="1:13" hidden="1" x14ac:dyDescent="0.3">
      <c r="A283" s="1">
        <v>44156</v>
      </c>
      <c r="B283" s="2" t="s">
        <v>9</v>
      </c>
      <c r="C283">
        <v>7382</v>
      </c>
      <c r="D283">
        <v>40</v>
      </c>
      <c r="E283">
        <v>664</v>
      </c>
      <c r="F283">
        <v>6433</v>
      </c>
      <c r="G283">
        <v>68</v>
      </c>
      <c r="H283">
        <v>10</v>
      </c>
      <c r="I283">
        <v>110719</v>
      </c>
      <c r="J283">
        <v>64209</v>
      </c>
      <c r="K283">
        <v>284</v>
      </c>
      <c r="L283">
        <v>282</v>
      </c>
      <c r="M283">
        <v>281</v>
      </c>
    </row>
    <row r="284" spans="1:13" hidden="1" x14ac:dyDescent="0.3">
      <c r="A284" s="1">
        <v>44157</v>
      </c>
      <c r="B284" s="2" t="s">
        <v>9</v>
      </c>
      <c r="C284">
        <v>7398</v>
      </c>
      <c r="D284">
        <v>16</v>
      </c>
      <c r="E284">
        <v>637</v>
      </c>
      <c r="F284">
        <v>6475</v>
      </c>
      <c r="G284">
        <v>70</v>
      </c>
      <c r="H284">
        <v>10</v>
      </c>
      <c r="I284">
        <v>111262</v>
      </c>
      <c r="J284">
        <v>64237</v>
      </c>
      <c r="K284">
        <v>285</v>
      </c>
      <c r="L284">
        <v>283</v>
      </c>
      <c r="M284">
        <v>282</v>
      </c>
    </row>
    <row r="285" spans="1:13" hidden="1" x14ac:dyDescent="0.3">
      <c r="A285" s="1">
        <v>44158</v>
      </c>
      <c r="B285" s="2" t="s">
        <v>9</v>
      </c>
      <c r="C285">
        <v>7420</v>
      </c>
      <c r="D285">
        <v>21</v>
      </c>
      <c r="E285">
        <v>627</v>
      </c>
      <c r="F285">
        <v>6504</v>
      </c>
      <c r="G285">
        <v>67</v>
      </c>
      <c r="H285">
        <v>9</v>
      </c>
      <c r="I285">
        <v>111543</v>
      </c>
      <c r="J285">
        <v>64306</v>
      </c>
      <c r="K285">
        <v>288</v>
      </c>
      <c r="L285">
        <v>284</v>
      </c>
      <c r="M285">
        <v>283</v>
      </c>
    </row>
    <row r="286" spans="1:13" hidden="1" x14ac:dyDescent="0.3">
      <c r="A286" s="1">
        <v>44159</v>
      </c>
      <c r="B286" s="2" t="s">
        <v>9</v>
      </c>
      <c r="C286">
        <v>7449</v>
      </c>
      <c r="D286">
        <v>27</v>
      </c>
      <c r="E286">
        <v>608</v>
      </c>
      <c r="F286">
        <v>6551</v>
      </c>
      <c r="G286">
        <v>57</v>
      </c>
      <c r="H286">
        <v>8</v>
      </c>
      <c r="I286">
        <v>112286</v>
      </c>
      <c r="J286">
        <v>64420</v>
      </c>
      <c r="K286">
        <v>289</v>
      </c>
      <c r="L286">
        <v>285</v>
      </c>
      <c r="M286">
        <v>284</v>
      </c>
    </row>
    <row r="287" spans="1:13" hidden="1" x14ac:dyDescent="0.3">
      <c r="A287" s="1">
        <v>44160</v>
      </c>
      <c r="B287" s="2" t="s">
        <v>9</v>
      </c>
      <c r="C287">
        <v>7471</v>
      </c>
      <c r="D287">
        <v>19</v>
      </c>
      <c r="E287">
        <v>574</v>
      </c>
      <c r="F287">
        <v>6606</v>
      </c>
      <c r="G287">
        <v>56</v>
      </c>
      <c r="H287">
        <v>8</v>
      </c>
      <c r="I287">
        <v>112702</v>
      </c>
      <c r="J287">
        <v>64502</v>
      </c>
      <c r="K287">
        <v>290</v>
      </c>
      <c r="L287">
        <v>286</v>
      </c>
      <c r="M287">
        <v>285</v>
      </c>
    </row>
    <row r="288" spans="1:13" hidden="1" x14ac:dyDescent="0.3">
      <c r="A288" s="1">
        <v>44161</v>
      </c>
      <c r="B288" s="2" t="s">
        <v>9</v>
      </c>
      <c r="C288">
        <v>7487</v>
      </c>
      <c r="D288">
        <v>15</v>
      </c>
      <c r="E288">
        <v>533</v>
      </c>
      <c r="F288">
        <v>6663</v>
      </c>
      <c r="G288">
        <v>55</v>
      </c>
      <c r="H288">
        <v>7</v>
      </c>
      <c r="I288">
        <v>113189</v>
      </c>
      <c r="J288">
        <v>64612</v>
      </c>
      <c r="K288">
        <v>290</v>
      </c>
      <c r="L288">
        <v>287</v>
      </c>
      <c r="M288">
        <v>286</v>
      </c>
    </row>
    <row r="289" spans="1:13" hidden="1" x14ac:dyDescent="0.3">
      <c r="A289" s="1">
        <v>44162</v>
      </c>
      <c r="B289" s="2" t="s">
        <v>9</v>
      </c>
      <c r="C289">
        <v>7507</v>
      </c>
      <c r="D289">
        <v>17</v>
      </c>
      <c r="E289">
        <v>510</v>
      </c>
      <c r="F289">
        <v>6706</v>
      </c>
      <c r="G289">
        <v>56</v>
      </c>
      <c r="H289">
        <v>8</v>
      </c>
      <c r="I289">
        <v>113882</v>
      </c>
      <c r="J289">
        <v>64703</v>
      </c>
      <c r="K289">
        <v>290</v>
      </c>
      <c r="L289">
        <v>288</v>
      </c>
      <c r="M289">
        <v>287</v>
      </c>
    </row>
    <row r="290" spans="1:13" hidden="1" x14ac:dyDescent="0.3">
      <c r="A290" s="1">
        <v>44163</v>
      </c>
      <c r="B290" s="2" t="s">
        <v>9</v>
      </c>
      <c r="C290">
        <v>7520</v>
      </c>
      <c r="D290">
        <v>12</v>
      </c>
      <c r="E290">
        <v>473</v>
      </c>
      <c r="F290">
        <v>6756</v>
      </c>
      <c r="G290">
        <v>54</v>
      </c>
      <c r="H290">
        <v>8</v>
      </c>
      <c r="I290">
        <v>114648</v>
      </c>
      <c r="J290">
        <v>64748</v>
      </c>
      <c r="K290">
        <v>290</v>
      </c>
      <c r="L290">
        <v>289</v>
      </c>
      <c r="M290">
        <v>288</v>
      </c>
    </row>
    <row r="291" spans="1:13" hidden="1" x14ac:dyDescent="0.3">
      <c r="A291" s="1">
        <v>44164</v>
      </c>
      <c r="B291" s="2" t="s">
        <v>9</v>
      </c>
      <c r="C291">
        <v>7535</v>
      </c>
      <c r="D291">
        <v>13</v>
      </c>
      <c r="E291">
        <v>458</v>
      </c>
      <c r="F291">
        <v>6785</v>
      </c>
      <c r="G291">
        <v>52</v>
      </c>
      <c r="H291">
        <v>7</v>
      </c>
      <c r="I291">
        <v>115384</v>
      </c>
      <c r="J291">
        <v>64778</v>
      </c>
      <c r="K291">
        <v>291</v>
      </c>
      <c r="L291">
        <v>290</v>
      </c>
      <c r="M291">
        <v>289</v>
      </c>
    </row>
    <row r="292" spans="1:13" hidden="1" x14ac:dyDescent="0.3">
      <c r="A292" s="1">
        <v>44165</v>
      </c>
      <c r="B292" s="2" t="s">
        <v>9</v>
      </c>
      <c r="C292">
        <v>7547</v>
      </c>
      <c r="D292">
        <v>10</v>
      </c>
      <c r="E292">
        <v>449</v>
      </c>
      <c r="F292">
        <v>6805</v>
      </c>
      <c r="G292">
        <v>51</v>
      </c>
      <c r="H292">
        <v>6</v>
      </c>
      <c r="I292">
        <v>115739</v>
      </c>
      <c r="J292">
        <v>64851</v>
      </c>
      <c r="K292">
        <v>292</v>
      </c>
      <c r="L292">
        <v>291</v>
      </c>
      <c r="M292">
        <v>290</v>
      </c>
    </row>
    <row r="293" spans="1:13" hidden="1" x14ac:dyDescent="0.3">
      <c r="A293" s="1">
        <v>44166</v>
      </c>
      <c r="B293" s="2" t="s">
        <v>9</v>
      </c>
      <c r="C293">
        <v>7566</v>
      </c>
      <c r="D293">
        <v>16</v>
      </c>
      <c r="E293">
        <v>436</v>
      </c>
      <c r="F293">
        <v>6835</v>
      </c>
      <c r="G293">
        <v>41</v>
      </c>
      <c r="H293">
        <v>6</v>
      </c>
      <c r="I293">
        <v>116314</v>
      </c>
      <c r="J293">
        <v>64944</v>
      </c>
      <c r="K293">
        <v>294</v>
      </c>
      <c r="L293">
        <v>292</v>
      </c>
      <c r="M293">
        <v>291</v>
      </c>
    </row>
    <row r="294" spans="1:13" hidden="1" x14ac:dyDescent="0.3">
      <c r="A294" s="1">
        <v>44167</v>
      </c>
      <c r="B294" s="2" t="s">
        <v>9</v>
      </c>
      <c r="C294">
        <v>7610</v>
      </c>
      <c r="D294">
        <v>41</v>
      </c>
      <c r="E294">
        <v>450</v>
      </c>
      <c r="F294">
        <v>6865</v>
      </c>
      <c r="G294">
        <v>40</v>
      </c>
      <c r="H294">
        <v>6</v>
      </c>
      <c r="I294">
        <v>116635</v>
      </c>
      <c r="J294">
        <v>65009</v>
      </c>
      <c r="K294">
        <v>294</v>
      </c>
      <c r="L294">
        <v>293</v>
      </c>
      <c r="M294">
        <v>292</v>
      </c>
    </row>
    <row r="295" spans="1:13" hidden="1" x14ac:dyDescent="0.3">
      <c r="A295" s="1">
        <v>44168</v>
      </c>
      <c r="B295" s="2" t="s">
        <v>9</v>
      </c>
      <c r="C295">
        <v>7634</v>
      </c>
      <c r="D295">
        <v>22</v>
      </c>
      <c r="E295">
        <v>436</v>
      </c>
      <c r="F295">
        <v>6903</v>
      </c>
      <c r="G295">
        <v>39</v>
      </c>
      <c r="H295">
        <v>6</v>
      </c>
      <c r="I295">
        <v>117057</v>
      </c>
      <c r="J295">
        <v>65080</v>
      </c>
      <c r="K295">
        <v>294</v>
      </c>
      <c r="L295">
        <v>294</v>
      </c>
      <c r="M295">
        <v>293</v>
      </c>
    </row>
    <row r="296" spans="1:13" hidden="1" x14ac:dyDescent="0.3">
      <c r="A296" s="1">
        <v>44169</v>
      </c>
      <c r="B296" s="2" t="s">
        <v>9</v>
      </c>
      <c r="C296">
        <v>7651</v>
      </c>
      <c r="D296">
        <v>13</v>
      </c>
      <c r="E296">
        <v>419</v>
      </c>
      <c r="F296">
        <v>6937</v>
      </c>
      <c r="G296">
        <v>36</v>
      </c>
      <c r="H296">
        <v>5</v>
      </c>
      <c r="I296">
        <v>117423</v>
      </c>
      <c r="J296">
        <v>65171</v>
      </c>
      <c r="K296">
        <v>294</v>
      </c>
      <c r="L296">
        <v>295</v>
      </c>
      <c r="M296">
        <v>294</v>
      </c>
    </row>
    <row r="297" spans="1:13" hidden="1" x14ac:dyDescent="0.3">
      <c r="A297" s="1">
        <v>44170</v>
      </c>
      <c r="B297" s="2" t="s">
        <v>9</v>
      </c>
      <c r="C297">
        <v>7673</v>
      </c>
      <c r="D297">
        <v>18</v>
      </c>
      <c r="E297">
        <v>402</v>
      </c>
      <c r="F297">
        <v>6975</v>
      </c>
      <c r="G297">
        <v>37</v>
      </c>
      <c r="H297">
        <v>5</v>
      </c>
      <c r="I297">
        <v>118177</v>
      </c>
      <c r="J297">
        <v>65231</v>
      </c>
      <c r="K297">
        <v>295</v>
      </c>
      <c r="L297">
        <v>296</v>
      </c>
      <c r="M297">
        <v>295</v>
      </c>
    </row>
    <row r="298" spans="1:13" hidden="1" x14ac:dyDescent="0.3">
      <c r="A298" s="1">
        <v>44171</v>
      </c>
      <c r="B298" s="2" t="s">
        <v>9</v>
      </c>
      <c r="C298">
        <v>7696</v>
      </c>
      <c r="D298">
        <v>19</v>
      </c>
      <c r="E298">
        <v>400</v>
      </c>
      <c r="F298">
        <v>6999</v>
      </c>
      <c r="G298">
        <v>39</v>
      </c>
      <c r="H298">
        <v>5</v>
      </c>
      <c r="I298">
        <v>118898</v>
      </c>
      <c r="J298">
        <v>65275</v>
      </c>
      <c r="K298">
        <v>296</v>
      </c>
      <c r="L298">
        <v>297</v>
      </c>
      <c r="M298">
        <v>296</v>
      </c>
    </row>
    <row r="299" spans="1:13" hidden="1" x14ac:dyDescent="0.3">
      <c r="A299" s="1">
        <v>44172</v>
      </c>
      <c r="B299" s="2" t="s">
        <v>9</v>
      </c>
      <c r="C299">
        <v>7718</v>
      </c>
      <c r="D299">
        <v>20</v>
      </c>
      <c r="E299">
        <v>377</v>
      </c>
      <c r="F299">
        <v>7044</v>
      </c>
      <c r="G299">
        <v>33</v>
      </c>
      <c r="H299">
        <v>3</v>
      </c>
      <c r="I299">
        <v>119598</v>
      </c>
      <c r="J299">
        <v>65354</v>
      </c>
      <c r="K299">
        <v>296</v>
      </c>
      <c r="L299">
        <v>298</v>
      </c>
      <c r="M299">
        <v>297</v>
      </c>
    </row>
    <row r="300" spans="1:13" hidden="1" x14ac:dyDescent="0.3">
      <c r="A300" s="1">
        <v>44173</v>
      </c>
      <c r="B300" s="2" t="s">
        <v>9</v>
      </c>
      <c r="C300">
        <v>7752</v>
      </c>
      <c r="D300">
        <v>34</v>
      </c>
      <c r="E300">
        <v>377</v>
      </c>
      <c r="F300">
        <v>7077</v>
      </c>
      <c r="G300">
        <v>33</v>
      </c>
      <c r="H300">
        <v>3</v>
      </c>
      <c r="I300">
        <v>120257</v>
      </c>
      <c r="J300">
        <v>65400</v>
      </c>
      <c r="K300">
        <v>297</v>
      </c>
      <c r="L300">
        <v>299</v>
      </c>
      <c r="M300">
        <v>298</v>
      </c>
    </row>
    <row r="301" spans="1:13" hidden="1" x14ac:dyDescent="0.3">
      <c r="A301" s="1">
        <v>44174</v>
      </c>
      <c r="B301" s="2" t="s">
        <v>9</v>
      </c>
      <c r="C301">
        <v>7783</v>
      </c>
      <c r="D301">
        <v>30</v>
      </c>
      <c r="E301">
        <v>364</v>
      </c>
      <c r="F301">
        <v>7118</v>
      </c>
      <c r="G301">
        <v>34</v>
      </c>
      <c r="H301">
        <v>3</v>
      </c>
      <c r="I301">
        <v>121180</v>
      </c>
      <c r="J301">
        <v>65480</v>
      </c>
      <c r="K301">
        <v>300</v>
      </c>
      <c r="L301">
        <v>300</v>
      </c>
      <c r="M301">
        <v>299</v>
      </c>
    </row>
    <row r="302" spans="1:13" hidden="1" x14ac:dyDescent="0.3">
      <c r="A302" s="1">
        <v>44175</v>
      </c>
      <c r="B302" s="2" t="s">
        <v>9</v>
      </c>
      <c r="C302">
        <v>7820</v>
      </c>
      <c r="D302">
        <v>32</v>
      </c>
      <c r="E302">
        <v>383</v>
      </c>
      <c r="F302">
        <v>7136</v>
      </c>
      <c r="G302">
        <v>26</v>
      </c>
      <c r="H302">
        <v>2</v>
      </c>
      <c r="I302">
        <v>122070</v>
      </c>
      <c r="J302">
        <v>65621</v>
      </c>
      <c r="K302">
        <v>300</v>
      </c>
      <c r="L302">
        <v>301</v>
      </c>
      <c r="M302">
        <v>300</v>
      </c>
    </row>
    <row r="303" spans="1:13" hidden="1" x14ac:dyDescent="0.3">
      <c r="A303" s="1">
        <v>44176</v>
      </c>
      <c r="B303" s="2" t="s">
        <v>9</v>
      </c>
      <c r="C303">
        <v>7851</v>
      </c>
      <c r="D303">
        <v>30</v>
      </c>
      <c r="E303">
        <v>403</v>
      </c>
      <c r="F303">
        <v>7145</v>
      </c>
      <c r="G303">
        <v>30</v>
      </c>
      <c r="H303">
        <v>2</v>
      </c>
      <c r="I303">
        <v>122626</v>
      </c>
      <c r="J303">
        <v>65754</v>
      </c>
      <c r="K303">
        <v>301</v>
      </c>
      <c r="L303">
        <v>302</v>
      </c>
      <c r="M303">
        <v>301</v>
      </c>
    </row>
    <row r="304" spans="1:13" hidden="1" x14ac:dyDescent="0.3">
      <c r="A304" s="1">
        <v>44177</v>
      </c>
      <c r="B304" s="2" t="s">
        <v>9</v>
      </c>
      <c r="C304">
        <v>7899</v>
      </c>
      <c r="D304">
        <v>48</v>
      </c>
      <c r="E304">
        <v>424</v>
      </c>
      <c r="F304">
        <v>7172</v>
      </c>
      <c r="G304">
        <v>32</v>
      </c>
      <c r="H304">
        <v>2</v>
      </c>
      <c r="I304">
        <v>123121</v>
      </c>
      <c r="J304">
        <v>65812</v>
      </c>
      <c r="K304">
        <v>301</v>
      </c>
      <c r="L304">
        <v>303</v>
      </c>
      <c r="M304">
        <v>302</v>
      </c>
    </row>
    <row r="305" spans="1:13" hidden="1" x14ac:dyDescent="0.3">
      <c r="A305" s="1">
        <v>44178</v>
      </c>
      <c r="B305" s="2" t="s">
        <v>9</v>
      </c>
      <c r="C305">
        <v>7940</v>
      </c>
      <c r="D305">
        <v>36</v>
      </c>
      <c r="E305">
        <v>452</v>
      </c>
      <c r="F305">
        <v>7184</v>
      </c>
      <c r="G305">
        <v>36</v>
      </c>
      <c r="H305">
        <v>1</v>
      </c>
      <c r="I305">
        <v>123699</v>
      </c>
      <c r="J305">
        <v>65876</v>
      </c>
      <c r="K305">
        <v>302</v>
      </c>
      <c r="L305">
        <v>304</v>
      </c>
      <c r="M305">
        <v>303</v>
      </c>
    </row>
    <row r="306" spans="1:13" hidden="1" x14ac:dyDescent="0.3">
      <c r="A306" s="1">
        <v>44179</v>
      </c>
      <c r="B306" s="2" t="s">
        <v>9</v>
      </c>
      <c r="C306">
        <v>7952</v>
      </c>
      <c r="D306">
        <v>9</v>
      </c>
      <c r="E306">
        <v>436</v>
      </c>
      <c r="F306">
        <v>7211</v>
      </c>
      <c r="G306">
        <v>38</v>
      </c>
      <c r="H306">
        <v>1</v>
      </c>
      <c r="I306">
        <v>124836</v>
      </c>
      <c r="J306">
        <v>65958</v>
      </c>
      <c r="K306">
        <v>303</v>
      </c>
      <c r="L306">
        <v>305</v>
      </c>
      <c r="M306">
        <v>304</v>
      </c>
    </row>
    <row r="307" spans="1:13" hidden="1" x14ac:dyDescent="0.3">
      <c r="A307" s="1">
        <v>44180</v>
      </c>
      <c r="B307" s="2" t="s">
        <v>9</v>
      </c>
      <c r="C307">
        <v>7980</v>
      </c>
      <c r="D307">
        <v>28</v>
      </c>
      <c r="E307">
        <v>448</v>
      </c>
      <c r="F307">
        <v>7227</v>
      </c>
      <c r="G307">
        <v>35</v>
      </c>
      <c r="H307">
        <v>2</v>
      </c>
      <c r="I307">
        <v>125798</v>
      </c>
      <c r="J307">
        <v>66077</v>
      </c>
      <c r="K307">
        <v>303</v>
      </c>
      <c r="L307">
        <v>306</v>
      </c>
      <c r="M307">
        <v>305</v>
      </c>
    </row>
    <row r="308" spans="1:13" hidden="1" x14ac:dyDescent="0.3">
      <c r="A308" s="1">
        <v>44181</v>
      </c>
      <c r="B308" s="2" t="s">
        <v>9</v>
      </c>
      <c r="C308">
        <v>8021</v>
      </c>
      <c r="D308">
        <v>42</v>
      </c>
      <c r="E308">
        <v>458</v>
      </c>
      <c r="F308">
        <v>7259</v>
      </c>
      <c r="G308">
        <v>36</v>
      </c>
      <c r="H308">
        <v>1</v>
      </c>
      <c r="I308">
        <v>126461</v>
      </c>
      <c r="J308">
        <v>66187</v>
      </c>
      <c r="K308">
        <v>303</v>
      </c>
      <c r="L308">
        <v>307</v>
      </c>
      <c r="M308">
        <v>306</v>
      </c>
    </row>
    <row r="309" spans="1:13" hidden="1" x14ac:dyDescent="0.3">
      <c r="A309" s="1">
        <v>44182</v>
      </c>
      <c r="B309" s="2" t="s">
        <v>9</v>
      </c>
      <c r="C309">
        <v>8072</v>
      </c>
      <c r="D309">
        <v>49</v>
      </c>
      <c r="E309">
        <v>480</v>
      </c>
      <c r="F309">
        <v>7287</v>
      </c>
      <c r="G309">
        <v>36</v>
      </c>
      <c r="H309">
        <v>2</v>
      </c>
      <c r="I309">
        <v>127095</v>
      </c>
      <c r="J309">
        <v>66330</v>
      </c>
      <c r="K309">
        <v>304</v>
      </c>
      <c r="L309">
        <v>308</v>
      </c>
      <c r="M309">
        <v>307</v>
      </c>
    </row>
    <row r="310" spans="1:13" hidden="1" x14ac:dyDescent="0.3">
      <c r="A310" s="1">
        <v>44183</v>
      </c>
      <c r="B310" s="2" t="s">
        <v>9</v>
      </c>
      <c r="C310">
        <v>8095</v>
      </c>
      <c r="D310">
        <v>18</v>
      </c>
      <c r="E310">
        <v>478</v>
      </c>
      <c r="F310">
        <v>7310</v>
      </c>
      <c r="G310">
        <v>32</v>
      </c>
      <c r="H310">
        <v>3</v>
      </c>
      <c r="I310">
        <v>127827</v>
      </c>
      <c r="J310">
        <v>66445</v>
      </c>
      <c r="K310">
        <v>306</v>
      </c>
      <c r="L310">
        <v>309</v>
      </c>
      <c r="M310">
        <v>308</v>
      </c>
    </row>
    <row r="311" spans="1:13" hidden="1" x14ac:dyDescent="0.3">
      <c r="A311" s="1">
        <v>44184</v>
      </c>
      <c r="B311" s="2" t="s">
        <v>9</v>
      </c>
      <c r="C311">
        <v>8110</v>
      </c>
      <c r="D311">
        <v>13</v>
      </c>
      <c r="E311">
        <v>470</v>
      </c>
      <c r="F311">
        <v>7333</v>
      </c>
      <c r="G311">
        <v>32</v>
      </c>
      <c r="H311">
        <v>3</v>
      </c>
      <c r="I311">
        <v>128731</v>
      </c>
      <c r="J311">
        <v>66496</v>
      </c>
      <c r="K311">
        <v>306</v>
      </c>
      <c r="L311">
        <v>310</v>
      </c>
      <c r="M311">
        <v>309</v>
      </c>
    </row>
    <row r="312" spans="1:13" hidden="1" x14ac:dyDescent="0.3">
      <c r="A312" s="1">
        <v>44185</v>
      </c>
      <c r="B312" s="2" t="s">
        <v>9</v>
      </c>
      <c r="C312">
        <v>8154</v>
      </c>
      <c r="D312">
        <v>42</v>
      </c>
      <c r="E312">
        <v>489</v>
      </c>
      <c r="F312">
        <v>7357</v>
      </c>
      <c r="G312">
        <v>30</v>
      </c>
      <c r="H312">
        <v>4</v>
      </c>
      <c r="I312">
        <v>129829</v>
      </c>
      <c r="J312">
        <v>66545</v>
      </c>
      <c r="K312">
        <v>307</v>
      </c>
      <c r="L312">
        <v>311</v>
      </c>
      <c r="M312">
        <v>310</v>
      </c>
    </row>
    <row r="313" spans="1:13" hidden="1" x14ac:dyDescent="0.3">
      <c r="A313" s="1">
        <v>44186</v>
      </c>
      <c r="B313" s="2" t="s">
        <v>9</v>
      </c>
      <c r="C313">
        <v>8205</v>
      </c>
      <c r="D313">
        <v>44</v>
      </c>
      <c r="E313">
        <v>519</v>
      </c>
      <c r="F313">
        <v>7378</v>
      </c>
      <c r="G313">
        <v>30</v>
      </c>
      <c r="H313">
        <v>4</v>
      </c>
      <c r="I313">
        <v>130702</v>
      </c>
      <c r="J313">
        <v>66687</v>
      </c>
      <c r="K313">
        <v>307</v>
      </c>
      <c r="L313">
        <v>312</v>
      </c>
      <c r="M313">
        <v>311</v>
      </c>
    </row>
    <row r="314" spans="1:13" hidden="1" x14ac:dyDescent="0.3">
      <c r="A314" s="1">
        <v>44187</v>
      </c>
      <c r="B314" s="2" t="s">
        <v>9</v>
      </c>
      <c r="C314">
        <v>8232</v>
      </c>
      <c r="D314">
        <v>22</v>
      </c>
      <c r="E314">
        <v>506</v>
      </c>
      <c r="F314">
        <v>7418</v>
      </c>
      <c r="G314">
        <v>24</v>
      </c>
      <c r="H314">
        <v>4</v>
      </c>
      <c r="I314">
        <v>131359</v>
      </c>
      <c r="J314">
        <v>66797</v>
      </c>
      <c r="K314">
        <v>307</v>
      </c>
      <c r="L314">
        <v>313</v>
      </c>
      <c r="M314">
        <v>312</v>
      </c>
    </row>
    <row r="315" spans="1:13" hidden="1" x14ac:dyDescent="0.3">
      <c r="A315" s="1">
        <v>44188</v>
      </c>
      <c r="B315" s="2" t="s">
        <v>9</v>
      </c>
      <c r="C315">
        <v>8277</v>
      </c>
      <c r="D315">
        <v>34</v>
      </c>
      <c r="E315">
        <v>522</v>
      </c>
      <c r="F315">
        <v>7446</v>
      </c>
      <c r="G315">
        <v>27</v>
      </c>
      <c r="H315">
        <v>4</v>
      </c>
      <c r="I315">
        <v>132051</v>
      </c>
      <c r="J315">
        <v>66920</v>
      </c>
      <c r="K315">
        <v>308</v>
      </c>
      <c r="L315">
        <v>314</v>
      </c>
      <c r="M315">
        <v>313</v>
      </c>
    </row>
    <row r="316" spans="1:13" hidden="1" x14ac:dyDescent="0.3">
      <c r="A316" s="1">
        <v>44189</v>
      </c>
      <c r="B316" s="2" t="s">
        <v>9</v>
      </c>
      <c r="C316">
        <v>8329</v>
      </c>
      <c r="D316">
        <v>38</v>
      </c>
      <c r="E316">
        <v>551</v>
      </c>
      <c r="F316">
        <v>7469</v>
      </c>
      <c r="G316">
        <v>18</v>
      </c>
      <c r="H316">
        <v>4</v>
      </c>
      <c r="I316">
        <v>132831</v>
      </c>
      <c r="J316">
        <v>67077</v>
      </c>
      <c r="K316">
        <v>308</v>
      </c>
      <c r="L316">
        <v>315</v>
      </c>
      <c r="M316">
        <v>314</v>
      </c>
    </row>
    <row r="317" spans="1:13" hidden="1" x14ac:dyDescent="0.3">
      <c r="A317" s="1">
        <v>44190</v>
      </c>
      <c r="B317" s="2" t="s">
        <v>9</v>
      </c>
      <c r="C317">
        <v>8371</v>
      </c>
      <c r="D317">
        <v>39</v>
      </c>
      <c r="E317">
        <v>558</v>
      </c>
      <c r="F317">
        <v>7504</v>
      </c>
      <c r="G317">
        <v>20</v>
      </c>
      <c r="H317">
        <v>3</v>
      </c>
      <c r="I317">
        <v>133368</v>
      </c>
      <c r="J317">
        <v>67117</v>
      </c>
      <c r="K317">
        <v>308</v>
      </c>
      <c r="L317">
        <v>316</v>
      </c>
      <c r="M317">
        <v>315</v>
      </c>
    </row>
    <row r="318" spans="1:13" hidden="1" x14ac:dyDescent="0.3">
      <c r="A318" s="1">
        <v>44191</v>
      </c>
      <c r="B318" s="2" t="s">
        <v>9</v>
      </c>
      <c r="C318">
        <v>8387</v>
      </c>
      <c r="D318">
        <v>13</v>
      </c>
      <c r="E318">
        <v>540</v>
      </c>
      <c r="F318">
        <v>7538</v>
      </c>
      <c r="G318">
        <v>19</v>
      </c>
      <c r="H318">
        <v>4</v>
      </c>
      <c r="I318">
        <v>133619</v>
      </c>
      <c r="J318">
        <v>67183</v>
      </c>
      <c r="K318">
        <v>308</v>
      </c>
      <c r="L318">
        <v>317</v>
      </c>
      <c r="M318">
        <v>316</v>
      </c>
    </row>
    <row r="319" spans="1:13" hidden="1" x14ac:dyDescent="0.3">
      <c r="A319" s="1">
        <v>44192</v>
      </c>
      <c r="B319" s="2" t="s">
        <v>9</v>
      </c>
      <c r="C319">
        <v>8408</v>
      </c>
      <c r="D319">
        <v>18</v>
      </c>
      <c r="E319">
        <v>525</v>
      </c>
      <c r="F319">
        <v>7574</v>
      </c>
      <c r="G319">
        <v>22</v>
      </c>
      <c r="H319">
        <v>4</v>
      </c>
      <c r="I319">
        <v>134040</v>
      </c>
      <c r="J319">
        <v>67234</v>
      </c>
      <c r="K319">
        <v>308</v>
      </c>
      <c r="L319">
        <v>318</v>
      </c>
      <c r="M319">
        <v>317</v>
      </c>
    </row>
    <row r="320" spans="1:13" hidden="1" x14ac:dyDescent="0.3">
      <c r="A320" s="1">
        <v>44193</v>
      </c>
      <c r="B320" s="2" t="s">
        <v>9</v>
      </c>
      <c r="C320">
        <v>8435</v>
      </c>
      <c r="D320">
        <v>20</v>
      </c>
      <c r="E320">
        <v>525</v>
      </c>
      <c r="F320">
        <v>7601</v>
      </c>
      <c r="G320">
        <v>21</v>
      </c>
      <c r="H320">
        <v>4</v>
      </c>
      <c r="I320">
        <v>134691</v>
      </c>
      <c r="J320">
        <v>67336</v>
      </c>
      <c r="K320">
        <v>308</v>
      </c>
      <c r="L320">
        <v>319</v>
      </c>
      <c r="M320">
        <v>318</v>
      </c>
    </row>
    <row r="321" spans="1:13" hidden="1" x14ac:dyDescent="0.3">
      <c r="A321" s="1">
        <v>44194</v>
      </c>
      <c r="B321" s="2" t="s">
        <v>9</v>
      </c>
      <c r="C321">
        <v>8484</v>
      </c>
      <c r="D321">
        <v>36</v>
      </c>
      <c r="E321">
        <v>545</v>
      </c>
      <c r="F321">
        <v>7630</v>
      </c>
      <c r="G321">
        <v>22</v>
      </c>
      <c r="H321">
        <v>3</v>
      </c>
      <c r="I321">
        <v>135342</v>
      </c>
      <c r="J321">
        <v>67470</v>
      </c>
      <c r="K321">
        <v>308</v>
      </c>
      <c r="L321">
        <v>320</v>
      </c>
      <c r="M321">
        <v>319</v>
      </c>
    </row>
    <row r="322" spans="1:13" hidden="1" x14ac:dyDescent="0.3">
      <c r="A322" s="1">
        <v>44195</v>
      </c>
      <c r="B322" s="2" t="s">
        <v>9</v>
      </c>
      <c r="C322">
        <v>8553</v>
      </c>
      <c r="D322">
        <v>60</v>
      </c>
      <c r="E322">
        <v>573</v>
      </c>
      <c r="F322">
        <v>7671</v>
      </c>
      <c r="G322">
        <v>24</v>
      </c>
      <c r="H322">
        <v>3</v>
      </c>
      <c r="I322">
        <v>135753</v>
      </c>
      <c r="J322">
        <v>67695</v>
      </c>
      <c r="K322">
        <v>308</v>
      </c>
      <c r="L322">
        <v>321</v>
      </c>
      <c r="M322">
        <v>320</v>
      </c>
    </row>
    <row r="323" spans="1:13" hidden="1" x14ac:dyDescent="0.3">
      <c r="A323" s="1">
        <v>44196</v>
      </c>
      <c r="B323" s="2" t="s">
        <v>9</v>
      </c>
      <c r="C323">
        <v>8622</v>
      </c>
      <c r="D323">
        <v>52</v>
      </c>
      <c r="E323">
        <v>600</v>
      </c>
      <c r="F323">
        <v>7712</v>
      </c>
      <c r="G323">
        <v>21</v>
      </c>
      <c r="H323">
        <v>2</v>
      </c>
      <c r="I323">
        <v>136517</v>
      </c>
      <c r="J323">
        <v>67852</v>
      </c>
      <c r="K323">
        <v>309</v>
      </c>
      <c r="L323">
        <v>322</v>
      </c>
      <c r="M323">
        <v>321</v>
      </c>
    </row>
    <row r="324" spans="1:13" hidden="1" x14ac:dyDescent="0.3">
      <c r="A324" s="1">
        <v>44197</v>
      </c>
      <c r="B324" s="2" t="s">
        <v>9</v>
      </c>
      <c r="C324">
        <v>8653</v>
      </c>
      <c r="D324">
        <v>14</v>
      </c>
      <c r="E324">
        <v>595</v>
      </c>
      <c r="F324">
        <v>7748</v>
      </c>
      <c r="G324">
        <v>22</v>
      </c>
      <c r="H324">
        <v>2</v>
      </c>
      <c r="I324">
        <v>136922</v>
      </c>
      <c r="J324">
        <v>67926</v>
      </c>
      <c r="K324">
        <v>309</v>
      </c>
      <c r="L324">
        <v>323</v>
      </c>
      <c r="M324">
        <v>322</v>
      </c>
    </row>
    <row r="325" spans="1:13" hidden="1" x14ac:dyDescent="0.3">
      <c r="A325" s="1">
        <v>44198</v>
      </c>
      <c r="B325" s="2" t="s">
        <v>9</v>
      </c>
      <c r="C325">
        <v>8683</v>
      </c>
      <c r="D325">
        <v>28</v>
      </c>
      <c r="E325">
        <v>605</v>
      </c>
      <c r="F325">
        <v>7768</v>
      </c>
      <c r="G325">
        <v>23</v>
      </c>
      <c r="H325">
        <v>3</v>
      </c>
      <c r="I325">
        <v>137290</v>
      </c>
      <c r="J325">
        <v>68012</v>
      </c>
      <c r="K325">
        <v>309</v>
      </c>
      <c r="L325">
        <v>324</v>
      </c>
      <c r="M325">
        <v>323</v>
      </c>
    </row>
    <row r="326" spans="1:13" hidden="1" x14ac:dyDescent="0.3">
      <c r="A326" s="1">
        <v>44199</v>
      </c>
      <c r="B326" s="2" t="s">
        <v>9</v>
      </c>
      <c r="C326">
        <v>8770</v>
      </c>
      <c r="D326">
        <v>81</v>
      </c>
      <c r="E326">
        <v>670</v>
      </c>
      <c r="F326">
        <v>7790</v>
      </c>
      <c r="G326">
        <v>25</v>
      </c>
      <c r="H326">
        <v>3</v>
      </c>
      <c r="I326">
        <v>138003</v>
      </c>
      <c r="J326">
        <v>68096</v>
      </c>
      <c r="K326">
        <v>309</v>
      </c>
      <c r="L326">
        <v>325</v>
      </c>
      <c r="M326">
        <v>324</v>
      </c>
    </row>
    <row r="327" spans="1:13" hidden="1" x14ac:dyDescent="0.3">
      <c r="A327" s="1">
        <v>44200</v>
      </c>
      <c r="B327" s="2" t="s">
        <v>9</v>
      </c>
      <c r="C327">
        <v>8832</v>
      </c>
      <c r="D327">
        <v>52</v>
      </c>
      <c r="E327">
        <v>688</v>
      </c>
      <c r="F327">
        <v>7834</v>
      </c>
      <c r="G327">
        <v>28</v>
      </c>
      <c r="H327">
        <v>2</v>
      </c>
      <c r="I327">
        <v>138494</v>
      </c>
      <c r="J327">
        <v>68234</v>
      </c>
      <c r="K327">
        <v>310</v>
      </c>
      <c r="L327">
        <v>326</v>
      </c>
      <c r="M327">
        <v>325</v>
      </c>
    </row>
    <row r="328" spans="1:13" hidden="1" x14ac:dyDescent="0.3">
      <c r="A328" s="1">
        <v>44201</v>
      </c>
      <c r="B328" s="2" t="s">
        <v>9</v>
      </c>
      <c r="C328">
        <v>8927</v>
      </c>
      <c r="D328">
        <v>67</v>
      </c>
      <c r="E328">
        <v>734</v>
      </c>
      <c r="F328">
        <v>7881</v>
      </c>
      <c r="G328">
        <v>31</v>
      </c>
      <c r="H328">
        <v>1</v>
      </c>
      <c r="I328">
        <v>139315</v>
      </c>
      <c r="J328">
        <v>68540</v>
      </c>
      <c r="K328">
        <v>312</v>
      </c>
      <c r="L328">
        <v>327</v>
      </c>
      <c r="M328">
        <v>326</v>
      </c>
    </row>
    <row r="329" spans="1:13" hidden="1" x14ac:dyDescent="0.3">
      <c r="A329" s="1">
        <v>44202</v>
      </c>
      <c r="B329" s="2" t="s">
        <v>9</v>
      </c>
      <c r="C329">
        <v>9007</v>
      </c>
      <c r="D329">
        <v>71</v>
      </c>
      <c r="E329">
        <v>764</v>
      </c>
      <c r="F329">
        <v>7931</v>
      </c>
      <c r="G329">
        <v>32</v>
      </c>
      <c r="H329">
        <v>2</v>
      </c>
      <c r="I329">
        <v>140160</v>
      </c>
      <c r="J329">
        <v>68633</v>
      </c>
      <c r="K329">
        <v>312</v>
      </c>
      <c r="L329">
        <v>328</v>
      </c>
      <c r="M329">
        <v>327</v>
      </c>
    </row>
    <row r="330" spans="1:13" hidden="1" x14ac:dyDescent="0.3">
      <c r="A330" s="1">
        <v>44203</v>
      </c>
      <c r="B330" s="2" t="s">
        <v>9</v>
      </c>
      <c r="C330">
        <v>9109</v>
      </c>
      <c r="D330">
        <v>75</v>
      </c>
      <c r="E330">
        <v>818</v>
      </c>
      <c r="F330">
        <v>7978</v>
      </c>
      <c r="G330">
        <v>32</v>
      </c>
      <c r="H330">
        <v>2</v>
      </c>
      <c r="I330">
        <v>140922</v>
      </c>
      <c r="J330">
        <v>68887</v>
      </c>
      <c r="K330">
        <v>313</v>
      </c>
      <c r="L330">
        <v>329</v>
      </c>
      <c r="M330">
        <v>328</v>
      </c>
    </row>
    <row r="331" spans="1:13" hidden="1" x14ac:dyDescent="0.3">
      <c r="A331" s="1">
        <v>44204</v>
      </c>
      <c r="B331" s="2" t="s">
        <v>9</v>
      </c>
      <c r="C331">
        <v>9209</v>
      </c>
      <c r="D331">
        <v>79</v>
      </c>
      <c r="E331">
        <v>856</v>
      </c>
      <c r="F331">
        <v>8040</v>
      </c>
      <c r="G331">
        <v>30</v>
      </c>
      <c r="H331">
        <v>3</v>
      </c>
      <c r="I331">
        <v>142045</v>
      </c>
      <c r="J331">
        <v>69256</v>
      </c>
      <c r="K331">
        <v>313</v>
      </c>
      <c r="L331">
        <v>330</v>
      </c>
      <c r="M331">
        <v>329</v>
      </c>
    </row>
    <row r="332" spans="1:13" hidden="1" x14ac:dyDescent="0.3">
      <c r="A332" s="1">
        <v>44205</v>
      </c>
      <c r="B332" s="2" t="s">
        <v>9</v>
      </c>
      <c r="C332">
        <v>9319</v>
      </c>
      <c r="D332">
        <v>88</v>
      </c>
      <c r="E332">
        <v>947</v>
      </c>
      <c r="F332">
        <v>8058</v>
      </c>
      <c r="G332">
        <v>37</v>
      </c>
      <c r="H332">
        <v>3</v>
      </c>
      <c r="I332">
        <v>143165</v>
      </c>
      <c r="J332">
        <v>69514</v>
      </c>
      <c r="K332">
        <v>314</v>
      </c>
      <c r="L332">
        <v>331</v>
      </c>
      <c r="M332">
        <v>330</v>
      </c>
    </row>
    <row r="333" spans="1:13" hidden="1" x14ac:dyDescent="0.3">
      <c r="A333" s="1">
        <v>44206</v>
      </c>
      <c r="B333" s="2" t="s">
        <v>9</v>
      </c>
      <c r="C333">
        <v>9433</v>
      </c>
      <c r="D333">
        <v>89</v>
      </c>
      <c r="E333">
        <v>1040</v>
      </c>
      <c r="F333">
        <v>8078</v>
      </c>
      <c r="G333">
        <v>42</v>
      </c>
      <c r="H333">
        <v>3</v>
      </c>
      <c r="I333">
        <v>144529</v>
      </c>
      <c r="J333">
        <v>69623</v>
      </c>
      <c r="K333">
        <v>315</v>
      </c>
      <c r="L333">
        <v>332</v>
      </c>
      <c r="M333">
        <v>331</v>
      </c>
    </row>
    <row r="334" spans="1:13" hidden="1" x14ac:dyDescent="0.3">
      <c r="A334" s="1">
        <v>44207</v>
      </c>
      <c r="B334" s="2" t="s">
        <v>9</v>
      </c>
      <c r="C334">
        <v>9557</v>
      </c>
      <c r="D334">
        <v>98</v>
      </c>
      <c r="E334">
        <v>1140</v>
      </c>
      <c r="F334">
        <v>8101</v>
      </c>
      <c r="G334">
        <v>44</v>
      </c>
      <c r="H334">
        <v>4</v>
      </c>
      <c r="I334">
        <v>145561</v>
      </c>
      <c r="J334">
        <v>69872</v>
      </c>
      <c r="K334">
        <v>316</v>
      </c>
      <c r="L334">
        <v>333</v>
      </c>
      <c r="M334">
        <v>332</v>
      </c>
    </row>
    <row r="335" spans="1:13" hidden="1" x14ac:dyDescent="0.3">
      <c r="A335" s="1">
        <v>44208</v>
      </c>
      <c r="B335" s="2" t="s">
        <v>9</v>
      </c>
      <c r="C335">
        <v>9692</v>
      </c>
      <c r="D335">
        <v>118</v>
      </c>
      <c r="E335">
        <v>1232</v>
      </c>
      <c r="F335">
        <v>8144</v>
      </c>
      <c r="G335">
        <v>44</v>
      </c>
      <c r="H335">
        <v>4</v>
      </c>
      <c r="I335">
        <v>146929</v>
      </c>
      <c r="J335">
        <v>70172</v>
      </c>
      <c r="K335">
        <v>316</v>
      </c>
      <c r="L335">
        <v>334</v>
      </c>
      <c r="M335">
        <v>333</v>
      </c>
    </row>
    <row r="336" spans="1:13" hidden="1" x14ac:dyDescent="0.3">
      <c r="A336" s="1">
        <v>44209</v>
      </c>
      <c r="B336" s="2" t="s">
        <v>9</v>
      </c>
      <c r="C336">
        <v>9856</v>
      </c>
      <c r="D336">
        <v>125</v>
      </c>
      <c r="E336">
        <v>1348</v>
      </c>
      <c r="F336">
        <v>8191</v>
      </c>
      <c r="G336">
        <v>46</v>
      </c>
      <c r="H336">
        <v>7</v>
      </c>
      <c r="I336">
        <v>148464</v>
      </c>
      <c r="J336">
        <v>70434</v>
      </c>
      <c r="K336">
        <v>317</v>
      </c>
      <c r="L336">
        <v>335</v>
      </c>
      <c r="M336">
        <v>334</v>
      </c>
    </row>
    <row r="337" spans="1:13" hidden="1" x14ac:dyDescent="0.3">
      <c r="A337" s="1">
        <v>44210</v>
      </c>
      <c r="B337" s="2" t="s">
        <v>9</v>
      </c>
      <c r="C337">
        <v>10050</v>
      </c>
      <c r="D337">
        <v>160</v>
      </c>
      <c r="E337">
        <v>1459</v>
      </c>
      <c r="F337">
        <v>8273</v>
      </c>
      <c r="G337">
        <v>54</v>
      </c>
      <c r="H337">
        <v>9</v>
      </c>
      <c r="I337">
        <v>150168</v>
      </c>
      <c r="J337">
        <v>70807</v>
      </c>
      <c r="K337">
        <v>318</v>
      </c>
      <c r="L337">
        <v>336</v>
      </c>
      <c r="M337">
        <v>335</v>
      </c>
    </row>
    <row r="338" spans="1:13" hidden="1" x14ac:dyDescent="0.3">
      <c r="A338" s="1">
        <v>44211</v>
      </c>
      <c r="B338" s="2" t="s">
        <v>9</v>
      </c>
      <c r="C338">
        <v>10237</v>
      </c>
      <c r="D338">
        <v>151</v>
      </c>
      <c r="E338">
        <v>1605</v>
      </c>
      <c r="F338">
        <v>8313</v>
      </c>
      <c r="G338">
        <v>60</v>
      </c>
      <c r="H338">
        <v>9</v>
      </c>
      <c r="I338">
        <v>151870</v>
      </c>
      <c r="J338">
        <v>71394</v>
      </c>
      <c r="K338">
        <v>319</v>
      </c>
      <c r="L338">
        <v>337</v>
      </c>
      <c r="M338">
        <v>336</v>
      </c>
    </row>
    <row r="339" spans="1:13" hidden="1" x14ac:dyDescent="0.3">
      <c r="A339" s="1">
        <v>44212</v>
      </c>
      <c r="B339" s="2" t="s">
        <v>9</v>
      </c>
      <c r="C339">
        <v>10404</v>
      </c>
      <c r="D339">
        <v>148</v>
      </c>
      <c r="E339">
        <v>1739</v>
      </c>
      <c r="F339">
        <v>8345</v>
      </c>
      <c r="G339">
        <v>75</v>
      </c>
      <c r="H339">
        <v>7</v>
      </c>
      <c r="I339">
        <v>153161</v>
      </c>
      <c r="J339">
        <v>71701</v>
      </c>
      <c r="K339">
        <v>320</v>
      </c>
      <c r="L339">
        <v>338</v>
      </c>
      <c r="M339">
        <v>337</v>
      </c>
    </row>
    <row r="340" spans="1:13" hidden="1" x14ac:dyDescent="0.3">
      <c r="A340" s="1">
        <v>44213</v>
      </c>
      <c r="B340" s="2" t="s">
        <v>9</v>
      </c>
      <c r="C340">
        <v>10535</v>
      </c>
      <c r="D340">
        <v>110</v>
      </c>
      <c r="E340">
        <v>1830</v>
      </c>
      <c r="F340">
        <v>8385</v>
      </c>
      <c r="G340">
        <v>92</v>
      </c>
      <c r="H340">
        <v>6</v>
      </c>
      <c r="I340">
        <v>154790</v>
      </c>
      <c r="J340">
        <v>72237</v>
      </c>
      <c r="K340">
        <v>320</v>
      </c>
      <c r="L340">
        <v>339</v>
      </c>
      <c r="M340">
        <v>338</v>
      </c>
    </row>
    <row r="341" spans="1:13" hidden="1" x14ac:dyDescent="0.3">
      <c r="A341" s="1">
        <v>44214</v>
      </c>
      <c r="B341" s="2" t="s">
        <v>9</v>
      </c>
      <c r="C341">
        <v>10742</v>
      </c>
      <c r="D341">
        <v>163</v>
      </c>
      <c r="E341">
        <v>1960</v>
      </c>
      <c r="F341">
        <v>8461</v>
      </c>
      <c r="G341">
        <v>105</v>
      </c>
      <c r="H341">
        <v>8</v>
      </c>
      <c r="I341">
        <v>156760</v>
      </c>
      <c r="J341">
        <v>72739</v>
      </c>
      <c r="K341">
        <v>321</v>
      </c>
      <c r="L341">
        <v>340</v>
      </c>
      <c r="M341">
        <v>339</v>
      </c>
    </row>
    <row r="342" spans="1:13" hidden="1" x14ac:dyDescent="0.3">
      <c r="A342" s="1">
        <v>44215</v>
      </c>
      <c r="B342" s="2" t="s">
        <v>9</v>
      </c>
      <c r="C342">
        <v>10947</v>
      </c>
      <c r="D342">
        <v>159</v>
      </c>
      <c r="E342">
        <v>2107</v>
      </c>
      <c r="F342">
        <v>8519</v>
      </c>
      <c r="G342">
        <v>103</v>
      </c>
      <c r="H342">
        <v>10</v>
      </c>
      <c r="I342">
        <v>158507</v>
      </c>
      <c r="J342">
        <v>73220</v>
      </c>
      <c r="K342">
        <v>321</v>
      </c>
      <c r="L342">
        <v>341</v>
      </c>
      <c r="M342">
        <v>340</v>
      </c>
    </row>
    <row r="343" spans="1:13" hidden="1" x14ac:dyDescent="0.3">
      <c r="A343" s="1">
        <v>44216</v>
      </c>
      <c r="B343" s="2" t="s">
        <v>9</v>
      </c>
      <c r="C343">
        <v>11189</v>
      </c>
      <c r="D343">
        <v>182</v>
      </c>
      <c r="E343">
        <v>2251</v>
      </c>
      <c r="F343">
        <v>8613</v>
      </c>
      <c r="G343">
        <v>114</v>
      </c>
      <c r="H343">
        <v>10</v>
      </c>
      <c r="I343">
        <v>160146</v>
      </c>
      <c r="J343">
        <v>73641</v>
      </c>
      <c r="K343">
        <v>325</v>
      </c>
      <c r="L343">
        <v>342</v>
      </c>
      <c r="M343">
        <v>341</v>
      </c>
    </row>
    <row r="344" spans="1:13" hidden="1" x14ac:dyDescent="0.3">
      <c r="A344" s="1">
        <v>44217</v>
      </c>
      <c r="B344" s="2" t="s">
        <v>9</v>
      </c>
      <c r="C344">
        <v>11442</v>
      </c>
      <c r="D344">
        <v>193</v>
      </c>
      <c r="E344">
        <v>2413</v>
      </c>
      <c r="F344">
        <v>8702</v>
      </c>
      <c r="G344">
        <v>119</v>
      </c>
      <c r="H344">
        <v>10</v>
      </c>
      <c r="I344">
        <v>161116</v>
      </c>
      <c r="J344">
        <v>74248</v>
      </c>
      <c r="K344">
        <v>327</v>
      </c>
      <c r="L344">
        <v>343</v>
      </c>
      <c r="M344">
        <v>342</v>
      </c>
    </row>
    <row r="345" spans="1:13" hidden="1" x14ac:dyDescent="0.3">
      <c r="A345" s="1">
        <v>44218</v>
      </c>
      <c r="B345" s="2" t="s">
        <v>9</v>
      </c>
      <c r="C345">
        <v>11706</v>
      </c>
      <c r="D345">
        <v>179</v>
      </c>
      <c r="E345">
        <v>2568</v>
      </c>
      <c r="F345">
        <v>8810</v>
      </c>
      <c r="G345">
        <v>129</v>
      </c>
      <c r="H345">
        <v>12</v>
      </c>
      <c r="I345">
        <v>162711</v>
      </c>
      <c r="J345">
        <v>75051</v>
      </c>
      <c r="K345">
        <v>328</v>
      </c>
      <c r="L345">
        <v>344</v>
      </c>
      <c r="M345">
        <v>343</v>
      </c>
    </row>
    <row r="346" spans="1:13" hidden="1" x14ac:dyDescent="0.3">
      <c r="A346" s="1">
        <v>44219</v>
      </c>
      <c r="B346" s="2" t="s">
        <v>9</v>
      </c>
      <c r="C346">
        <v>11937</v>
      </c>
      <c r="D346">
        <v>183</v>
      </c>
      <c r="E346">
        <v>2691</v>
      </c>
      <c r="F346">
        <v>8918</v>
      </c>
      <c r="G346">
        <v>143</v>
      </c>
      <c r="H346">
        <v>12</v>
      </c>
      <c r="I346">
        <v>164423</v>
      </c>
      <c r="J346">
        <v>75520</v>
      </c>
      <c r="K346">
        <v>328</v>
      </c>
      <c r="L346">
        <v>345</v>
      </c>
      <c r="M346">
        <v>344</v>
      </c>
    </row>
    <row r="347" spans="1:13" hidden="1" x14ac:dyDescent="0.3">
      <c r="A347" s="1">
        <v>44220</v>
      </c>
      <c r="B347" s="2" t="s">
        <v>9</v>
      </c>
      <c r="C347">
        <v>12087</v>
      </c>
      <c r="D347">
        <v>116</v>
      </c>
      <c r="E347">
        <v>2761</v>
      </c>
      <c r="F347">
        <v>8996</v>
      </c>
      <c r="G347">
        <v>156</v>
      </c>
      <c r="H347">
        <v>12</v>
      </c>
      <c r="I347">
        <v>166567</v>
      </c>
      <c r="J347">
        <v>75859</v>
      </c>
      <c r="K347">
        <v>330</v>
      </c>
      <c r="L347">
        <v>346</v>
      </c>
      <c r="M347">
        <v>345</v>
      </c>
    </row>
    <row r="348" spans="1:13" hidden="1" x14ac:dyDescent="0.3">
      <c r="A348" s="1">
        <v>44221</v>
      </c>
      <c r="B348" s="2" t="s">
        <v>9</v>
      </c>
      <c r="C348">
        <v>12298</v>
      </c>
      <c r="D348">
        <v>118</v>
      </c>
      <c r="E348">
        <v>2866</v>
      </c>
      <c r="F348">
        <v>9099</v>
      </c>
      <c r="G348">
        <v>164</v>
      </c>
      <c r="H348">
        <v>12</v>
      </c>
      <c r="I348">
        <v>168760</v>
      </c>
      <c r="J348">
        <v>77304</v>
      </c>
      <c r="K348">
        <v>333</v>
      </c>
      <c r="L348">
        <v>347</v>
      </c>
      <c r="M348">
        <v>346</v>
      </c>
    </row>
    <row r="349" spans="1:13" hidden="1" x14ac:dyDescent="0.3">
      <c r="A349" s="1">
        <v>44222</v>
      </c>
      <c r="B349" s="2" t="s">
        <v>9</v>
      </c>
      <c r="C349">
        <v>12516</v>
      </c>
      <c r="D349">
        <v>160</v>
      </c>
      <c r="E349">
        <v>2980</v>
      </c>
      <c r="F349">
        <v>9200</v>
      </c>
      <c r="G349">
        <v>172</v>
      </c>
      <c r="H349">
        <v>14</v>
      </c>
      <c r="I349">
        <v>170167</v>
      </c>
      <c r="J349">
        <v>80324</v>
      </c>
      <c r="K349">
        <v>335</v>
      </c>
      <c r="L349">
        <v>348</v>
      </c>
      <c r="M349">
        <v>347</v>
      </c>
    </row>
    <row r="350" spans="1:13" hidden="1" x14ac:dyDescent="0.3">
      <c r="A350" s="1">
        <v>44223</v>
      </c>
      <c r="B350" s="2" t="s">
        <v>9</v>
      </c>
      <c r="C350">
        <v>12687</v>
      </c>
      <c r="D350">
        <v>137</v>
      </c>
      <c r="E350">
        <v>2968</v>
      </c>
      <c r="F350">
        <v>9378</v>
      </c>
      <c r="G350">
        <v>177</v>
      </c>
      <c r="H350">
        <v>14</v>
      </c>
      <c r="I350">
        <v>171347</v>
      </c>
      <c r="J350">
        <v>81041</v>
      </c>
      <c r="K350">
        <v>340</v>
      </c>
      <c r="L350">
        <v>349</v>
      </c>
      <c r="M350">
        <v>348</v>
      </c>
    </row>
    <row r="351" spans="1:13" hidden="1" x14ac:dyDescent="0.3">
      <c r="A351" s="1">
        <v>44224</v>
      </c>
      <c r="B351" s="2" t="s">
        <v>9</v>
      </c>
      <c r="C351">
        <v>12877</v>
      </c>
      <c r="D351">
        <v>160</v>
      </c>
      <c r="E351">
        <v>2989</v>
      </c>
      <c r="F351">
        <v>9540</v>
      </c>
      <c r="G351">
        <v>178</v>
      </c>
      <c r="H351">
        <v>12</v>
      </c>
      <c r="I351">
        <v>173062</v>
      </c>
      <c r="J351">
        <v>82186</v>
      </c>
      <c r="K351">
        <v>347</v>
      </c>
      <c r="L351">
        <v>350</v>
      </c>
      <c r="M351">
        <v>349</v>
      </c>
    </row>
    <row r="352" spans="1:13" hidden="1" x14ac:dyDescent="0.3">
      <c r="A352" s="1">
        <v>44225</v>
      </c>
      <c r="B352" s="2" t="s">
        <v>9</v>
      </c>
      <c r="C352">
        <v>13013</v>
      </c>
      <c r="D352">
        <v>96</v>
      </c>
      <c r="E352">
        <v>2963</v>
      </c>
      <c r="F352">
        <v>9699</v>
      </c>
      <c r="G352">
        <v>168</v>
      </c>
      <c r="H352">
        <v>14</v>
      </c>
      <c r="I352">
        <v>174659</v>
      </c>
      <c r="J352">
        <v>83435</v>
      </c>
      <c r="K352">
        <v>350</v>
      </c>
      <c r="L352">
        <v>351</v>
      </c>
      <c r="M352">
        <v>350</v>
      </c>
    </row>
    <row r="353" spans="1:13" hidden="1" x14ac:dyDescent="0.3">
      <c r="A353" s="1">
        <v>44226</v>
      </c>
      <c r="B353" s="2" t="s">
        <v>9</v>
      </c>
      <c r="C353">
        <v>13169</v>
      </c>
      <c r="D353">
        <v>142</v>
      </c>
      <c r="E353">
        <v>2949</v>
      </c>
      <c r="F353">
        <v>9869</v>
      </c>
      <c r="G353">
        <v>171</v>
      </c>
      <c r="H353">
        <v>13</v>
      </c>
      <c r="I353">
        <v>176168</v>
      </c>
      <c r="J353">
        <v>83816</v>
      </c>
      <c r="K353">
        <v>351</v>
      </c>
      <c r="L353">
        <v>352</v>
      </c>
      <c r="M353">
        <v>351</v>
      </c>
    </row>
    <row r="354" spans="1:13" hidden="1" x14ac:dyDescent="0.3">
      <c r="A354" s="1">
        <v>44227</v>
      </c>
      <c r="B354" s="2" t="s">
        <v>9</v>
      </c>
      <c r="C354">
        <v>13301</v>
      </c>
      <c r="D354">
        <v>125</v>
      </c>
      <c r="E354">
        <v>2883</v>
      </c>
      <c r="F354">
        <v>10065</v>
      </c>
      <c r="G354">
        <v>185</v>
      </c>
      <c r="H354">
        <v>13</v>
      </c>
      <c r="I354">
        <v>177486</v>
      </c>
      <c r="J354">
        <v>84223</v>
      </c>
      <c r="K354">
        <v>353</v>
      </c>
      <c r="L354">
        <v>353</v>
      </c>
      <c r="M354">
        <v>352</v>
      </c>
    </row>
    <row r="355" spans="1:13" hidden="1" x14ac:dyDescent="0.3">
      <c r="A355" s="1">
        <v>44228</v>
      </c>
      <c r="B355" s="2" t="s">
        <v>9</v>
      </c>
      <c r="C355">
        <v>13420</v>
      </c>
      <c r="D355">
        <v>93</v>
      </c>
      <c r="E355">
        <v>2874</v>
      </c>
      <c r="F355">
        <v>10189</v>
      </c>
      <c r="G355">
        <v>184</v>
      </c>
      <c r="H355">
        <v>13</v>
      </c>
      <c r="I355">
        <v>179140</v>
      </c>
      <c r="J355">
        <v>84832</v>
      </c>
      <c r="K355">
        <v>357</v>
      </c>
      <c r="L355">
        <v>354</v>
      </c>
      <c r="M355">
        <v>353</v>
      </c>
    </row>
    <row r="356" spans="1:13" hidden="1" x14ac:dyDescent="0.3">
      <c r="A356" s="1">
        <v>44229</v>
      </c>
      <c r="B356" s="2" t="s">
        <v>9</v>
      </c>
      <c r="C356">
        <v>13534</v>
      </c>
      <c r="D356">
        <v>96</v>
      </c>
      <c r="E356">
        <v>2815</v>
      </c>
      <c r="F356">
        <v>10358</v>
      </c>
      <c r="G356">
        <v>176</v>
      </c>
      <c r="H356">
        <v>14</v>
      </c>
      <c r="I356">
        <v>180652</v>
      </c>
      <c r="J356">
        <v>85394</v>
      </c>
      <c r="K356">
        <v>363</v>
      </c>
      <c r="L356">
        <v>355</v>
      </c>
      <c r="M356">
        <v>354</v>
      </c>
    </row>
    <row r="357" spans="1:13" hidden="1" x14ac:dyDescent="0.3">
      <c r="A357" s="1">
        <v>44230</v>
      </c>
      <c r="B357" s="2" t="s">
        <v>9</v>
      </c>
      <c r="C357">
        <v>13655</v>
      </c>
      <c r="D357">
        <v>102</v>
      </c>
      <c r="E357">
        <v>2730</v>
      </c>
      <c r="F357">
        <v>10558</v>
      </c>
      <c r="G357">
        <v>156</v>
      </c>
      <c r="H357">
        <v>15</v>
      </c>
      <c r="I357">
        <v>181740</v>
      </c>
      <c r="J357">
        <v>86155</v>
      </c>
      <c r="K357">
        <v>369</v>
      </c>
      <c r="L357">
        <v>356</v>
      </c>
      <c r="M357">
        <v>355</v>
      </c>
    </row>
    <row r="358" spans="1:13" hidden="1" x14ac:dyDescent="0.3">
      <c r="A358" s="1">
        <v>44231</v>
      </c>
      <c r="B358" s="2" t="s">
        <v>9</v>
      </c>
      <c r="C358">
        <v>13767</v>
      </c>
      <c r="D358">
        <v>96</v>
      </c>
      <c r="E358">
        <v>2578</v>
      </c>
      <c r="F358">
        <v>10819</v>
      </c>
      <c r="G358">
        <v>154</v>
      </c>
      <c r="H358">
        <v>18</v>
      </c>
      <c r="I358">
        <v>182913</v>
      </c>
      <c r="J358">
        <v>86979</v>
      </c>
      <c r="K358">
        <v>372</v>
      </c>
      <c r="L358">
        <v>357</v>
      </c>
      <c r="M358">
        <v>356</v>
      </c>
    </row>
    <row r="359" spans="1:13" hidden="1" x14ac:dyDescent="0.3">
      <c r="A359" s="1">
        <v>44232</v>
      </c>
      <c r="B359" s="2" t="s">
        <v>9</v>
      </c>
      <c r="C359">
        <v>13844</v>
      </c>
      <c r="D359">
        <v>61</v>
      </c>
      <c r="E359">
        <v>2409</v>
      </c>
      <c r="F359">
        <v>11062</v>
      </c>
      <c r="G359">
        <v>145</v>
      </c>
      <c r="H359">
        <v>17</v>
      </c>
      <c r="I359">
        <v>184131</v>
      </c>
      <c r="J359">
        <v>89063</v>
      </c>
      <c r="K359">
        <v>375</v>
      </c>
      <c r="L359">
        <v>358</v>
      </c>
      <c r="M359">
        <v>357</v>
      </c>
    </row>
    <row r="360" spans="1:13" hidden="1" x14ac:dyDescent="0.3">
      <c r="A360" s="1">
        <v>44233</v>
      </c>
      <c r="B360" s="2" t="s">
        <v>9</v>
      </c>
      <c r="C360">
        <v>13925</v>
      </c>
      <c r="D360">
        <v>84</v>
      </c>
      <c r="E360">
        <v>2240</v>
      </c>
      <c r="F360">
        <v>11309</v>
      </c>
      <c r="G360">
        <v>153</v>
      </c>
      <c r="H360">
        <v>18</v>
      </c>
      <c r="I360">
        <v>185429</v>
      </c>
      <c r="J360">
        <v>90682</v>
      </c>
      <c r="K360">
        <v>378</v>
      </c>
      <c r="L360">
        <v>359</v>
      </c>
      <c r="M360">
        <v>358</v>
      </c>
    </row>
    <row r="361" spans="1:13" hidden="1" x14ac:dyDescent="0.3">
      <c r="A361" s="1">
        <v>44234</v>
      </c>
      <c r="B361" s="2" t="s">
        <v>9</v>
      </c>
      <c r="C361">
        <v>13969</v>
      </c>
      <c r="D361">
        <v>43</v>
      </c>
      <c r="E361">
        <v>2096</v>
      </c>
      <c r="F361">
        <v>11495</v>
      </c>
      <c r="G361">
        <v>161</v>
      </c>
      <c r="H361">
        <v>20</v>
      </c>
      <c r="I361">
        <v>187257</v>
      </c>
      <c r="J361">
        <v>91322</v>
      </c>
      <c r="K361">
        <v>380</v>
      </c>
      <c r="L361">
        <v>360</v>
      </c>
      <c r="M361">
        <v>359</v>
      </c>
    </row>
    <row r="362" spans="1:13" hidden="1" x14ac:dyDescent="0.3">
      <c r="A362" s="1">
        <v>44145</v>
      </c>
      <c r="B362" s="2" t="s">
        <v>6</v>
      </c>
      <c r="C362">
        <v>4238</v>
      </c>
      <c r="D362">
        <v>64</v>
      </c>
      <c r="E362">
        <v>1263</v>
      </c>
      <c r="F362">
        <v>2936</v>
      </c>
      <c r="G362">
        <v>81</v>
      </c>
      <c r="H362">
        <v>5</v>
      </c>
      <c r="I362">
        <v>74198</v>
      </c>
      <c r="J362">
        <v>41734</v>
      </c>
      <c r="K362">
        <v>40</v>
      </c>
      <c r="L362">
        <v>361</v>
      </c>
      <c r="M362">
        <v>360</v>
      </c>
    </row>
    <row r="363" spans="1:13" hidden="1" x14ac:dyDescent="0.3">
      <c r="A363" s="1">
        <v>44146</v>
      </c>
      <c r="B363" s="2" t="s">
        <v>6</v>
      </c>
      <c r="C363">
        <v>4301</v>
      </c>
      <c r="D363">
        <v>66</v>
      </c>
      <c r="E363">
        <v>1250</v>
      </c>
      <c r="F363">
        <v>3012</v>
      </c>
      <c r="G363">
        <v>81</v>
      </c>
      <c r="H363">
        <v>5</v>
      </c>
      <c r="I363">
        <v>75170</v>
      </c>
      <c r="J363">
        <v>41820</v>
      </c>
      <c r="K363">
        <v>40</v>
      </c>
      <c r="L363">
        <v>362</v>
      </c>
      <c r="M363">
        <v>361</v>
      </c>
    </row>
    <row r="364" spans="1:13" hidden="1" x14ac:dyDescent="0.3">
      <c r="A364" s="1">
        <v>44147</v>
      </c>
      <c r="B364" s="2" t="s">
        <v>6</v>
      </c>
      <c r="C364">
        <v>4366</v>
      </c>
      <c r="D364">
        <v>65</v>
      </c>
      <c r="E364">
        <v>1270</v>
      </c>
      <c r="F364">
        <v>3056</v>
      </c>
      <c r="G364">
        <v>78</v>
      </c>
      <c r="H364">
        <v>5</v>
      </c>
      <c r="I364">
        <v>76086</v>
      </c>
      <c r="J364">
        <v>41937</v>
      </c>
      <c r="K364">
        <v>41</v>
      </c>
      <c r="L364">
        <v>363</v>
      </c>
      <c r="M364">
        <v>362</v>
      </c>
    </row>
    <row r="365" spans="1:13" hidden="1" x14ac:dyDescent="0.3">
      <c r="A365" s="1">
        <v>44148</v>
      </c>
      <c r="B365" s="2" t="s">
        <v>6</v>
      </c>
      <c r="C365">
        <v>4432</v>
      </c>
      <c r="D365">
        <v>64</v>
      </c>
      <c r="E365">
        <v>1277</v>
      </c>
      <c r="F365">
        <v>3114</v>
      </c>
      <c r="G365">
        <v>68</v>
      </c>
      <c r="H365">
        <v>6</v>
      </c>
      <c r="I365">
        <v>77203</v>
      </c>
      <c r="J365">
        <v>41991</v>
      </c>
      <c r="K365">
        <v>42</v>
      </c>
      <c r="L365">
        <v>364</v>
      </c>
      <c r="M365">
        <v>363</v>
      </c>
    </row>
    <row r="366" spans="1:13" hidden="1" x14ac:dyDescent="0.3">
      <c r="A366" s="1">
        <v>44149</v>
      </c>
      <c r="B366" s="2" t="s">
        <v>6</v>
      </c>
      <c r="C366">
        <v>4482</v>
      </c>
      <c r="D366">
        <v>50</v>
      </c>
      <c r="E366">
        <v>1267</v>
      </c>
      <c r="F366">
        <v>3174</v>
      </c>
      <c r="G366">
        <v>61</v>
      </c>
      <c r="H366">
        <v>7</v>
      </c>
      <c r="I366">
        <v>78366</v>
      </c>
      <c r="J366">
        <v>42027</v>
      </c>
      <c r="K366">
        <v>42</v>
      </c>
      <c r="L366">
        <v>365</v>
      </c>
      <c r="M366">
        <v>364</v>
      </c>
    </row>
    <row r="367" spans="1:13" hidden="1" x14ac:dyDescent="0.3">
      <c r="A367" s="1">
        <v>44150</v>
      </c>
      <c r="B367" s="2" t="s">
        <v>6</v>
      </c>
      <c r="C367">
        <v>4531</v>
      </c>
      <c r="D367">
        <v>48</v>
      </c>
      <c r="E367">
        <v>1233</v>
      </c>
      <c r="F367">
        <v>3256</v>
      </c>
      <c r="G367">
        <v>61</v>
      </c>
      <c r="H367">
        <v>9</v>
      </c>
      <c r="I367">
        <v>78754</v>
      </c>
      <c r="J367">
        <v>42065</v>
      </c>
      <c r="K367">
        <v>43</v>
      </c>
      <c r="L367">
        <v>366</v>
      </c>
      <c r="M367">
        <v>365</v>
      </c>
    </row>
    <row r="368" spans="1:13" hidden="1" x14ac:dyDescent="0.3">
      <c r="A368" s="1">
        <v>44151</v>
      </c>
      <c r="B368" s="2" t="s">
        <v>6</v>
      </c>
      <c r="C368">
        <v>4599</v>
      </c>
      <c r="D368">
        <v>67</v>
      </c>
      <c r="E368">
        <v>1213</v>
      </c>
      <c r="F368">
        <v>3344</v>
      </c>
      <c r="G368">
        <v>64</v>
      </c>
      <c r="H368">
        <v>8</v>
      </c>
      <c r="I368">
        <v>79358</v>
      </c>
      <c r="J368">
        <v>42149</v>
      </c>
      <c r="K368">
        <v>43</v>
      </c>
      <c r="L368">
        <v>367</v>
      </c>
      <c r="M368">
        <v>366</v>
      </c>
    </row>
    <row r="369" spans="1:13" hidden="1" x14ac:dyDescent="0.3">
      <c r="A369" s="1">
        <v>44152</v>
      </c>
      <c r="B369" s="2" t="s">
        <v>6</v>
      </c>
      <c r="C369">
        <v>4691</v>
      </c>
      <c r="D369">
        <v>88</v>
      </c>
      <c r="E369">
        <v>1254</v>
      </c>
      <c r="F369">
        <v>3395</v>
      </c>
      <c r="G369">
        <v>60</v>
      </c>
      <c r="H369">
        <v>8</v>
      </c>
      <c r="I369">
        <v>80252</v>
      </c>
      <c r="J369">
        <v>42240</v>
      </c>
      <c r="K369">
        <v>43</v>
      </c>
      <c r="L369">
        <v>368</v>
      </c>
      <c r="M369">
        <v>367</v>
      </c>
    </row>
    <row r="370" spans="1:13" hidden="1" x14ac:dyDescent="0.3">
      <c r="A370" s="1">
        <v>44153</v>
      </c>
      <c r="B370" s="2" t="s">
        <v>6</v>
      </c>
      <c r="C370">
        <v>4761</v>
      </c>
      <c r="D370">
        <v>67</v>
      </c>
      <c r="E370">
        <v>1250</v>
      </c>
      <c r="F370">
        <v>3468</v>
      </c>
      <c r="G370">
        <v>54</v>
      </c>
      <c r="H370">
        <v>8</v>
      </c>
      <c r="I370">
        <v>81249</v>
      </c>
      <c r="J370">
        <v>42310</v>
      </c>
      <c r="K370">
        <v>44</v>
      </c>
      <c r="L370">
        <v>369</v>
      </c>
      <c r="M370">
        <v>368</v>
      </c>
    </row>
    <row r="371" spans="1:13" hidden="1" x14ac:dyDescent="0.3">
      <c r="A371" s="1">
        <v>44154</v>
      </c>
      <c r="B371" s="2" t="s">
        <v>6</v>
      </c>
      <c r="C371">
        <v>4845</v>
      </c>
      <c r="D371">
        <v>84</v>
      </c>
      <c r="E371">
        <v>1235</v>
      </c>
      <c r="F371">
        <v>3566</v>
      </c>
      <c r="G371">
        <v>62</v>
      </c>
      <c r="H371">
        <v>6</v>
      </c>
      <c r="I371">
        <v>82404</v>
      </c>
      <c r="J371">
        <v>42395</v>
      </c>
      <c r="K371">
        <v>45</v>
      </c>
      <c r="L371">
        <v>370</v>
      </c>
      <c r="M371">
        <v>369</v>
      </c>
    </row>
    <row r="372" spans="1:13" hidden="1" x14ac:dyDescent="0.3">
      <c r="A372" s="1">
        <v>44155</v>
      </c>
      <c r="B372" s="2" t="s">
        <v>6</v>
      </c>
      <c r="C372">
        <v>4934</v>
      </c>
      <c r="D372">
        <v>87</v>
      </c>
      <c r="E372">
        <v>1242</v>
      </c>
      <c r="F372">
        <v>3646</v>
      </c>
      <c r="G372">
        <v>53</v>
      </c>
      <c r="H372">
        <v>6</v>
      </c>
      <c r="I372">
        <v>83433</v>
      </c>
      <c r="J372">
        <v>42469</v>
      </c>
      <c r="K372">
        <v>47</v>
      </c>
      <c r="L372">
        <v>371</v>
      </c>
      <c r="M372">
        <v>370</v>
      </c>
    </row>
    <row r="373" spans="1:13" hidden="1" x14ac:dyDescent="0.3">
      <c r="A373" s="1">
        <v>44156</v>
      </c>
      <c r="B373" s="2" t="s">
        <v>6</v>
      </c>
      <c r="C373">
        <v>4985</v>
      </c>
      <c r="D373">
        <v>51</v>
      </c>
      <c r="E373">
        <v>1235</v>
      </c>
      <c r="F373">
        <v>3704</v>
      </c>
      <c r="G373">
        <v>52</v>
      </c>
      <c r="H373">
        <v>5</v>
      </c>
      <c r="I373">
        <v>84295</v>
      </c>
      <c r="J373">
        <v>42503</v>
      </c>
      <c r="K373">
        <v>47</v>
      </c>
      <c r="L373">
        <v>372</v>
      </c>
      <c r="M373">
        <v>371</v>
      </c>
    </row>
    <row r="374" spans="1:13" hidden="1" x14ac:dyDescent="0.3">
      <c r="A374" s="1">
        <v>44157</v>
      </c>
      <c r="B374" s="2" t="s">
        <v>6</v>
      </c>
      <c r="C374">
        <v>5063</v>
      </c>
      <c r="D374">
        <v>78</v>
      </c>
      <c r="E374">
        <v>1234</v>
      </c>
      <c r="F374">
        <v>3782</v>
      </c>
      <c r="G374">
        <v>58</v>
      </c>
      <c r="H374">
        <v>4</v>
      </c>
      <c r="I374">
        <v>84981</v>
      </c>
      <c r="J374">
        <v>42549</v>
      </c>
      <c r="K374">
        <v>48</v>
      </c>
      <c r="L374">
        <v>373</v>
      </c>
      <c r="M374">
        <v>372</v>
      </c>
    </row>
    <row r="375" spans="1:13" hidden="1" x14ac:dyDescent="0.3">
      <c r="A375" s="1">
        <v>44158</v>
      </c>
      <c r="B375" s="2" t="s">
        <v>6</v>
      </c>
      <c r="C375">
        <v>5134</v>
      </c>
      <c r="D375">
        <v>70</v>
      </c>
      <c r="E375">
        <v>1235</v>
      </c>
      <c r="F375">
        <v>3850</v>
      </c>
      <c r="G375">
        <v>59</v>
      </c>
      <c r="H375">
        <v>6</v>
      </c>
      <c r="I375">
        <v>85672</v>
      </c>
      <c r="J375">
        <v>42649</v>
      </c>
      <c r="K375">
        <v>50</v>
      </c>
      <c r="L375">
        <v>374</v>
      </c>
      <c r="M375">
        <v>373</v>
      </c>
    </row>
    <row r="376" spans="1:13" hidden="1" x14ac:dyDescent="0.3">
      <c r="A376" s="1">
        <v>44159</v>
      </c>
      <c r="B376" s="2" t="s">
        <v>6</v>
      </c>
      <c r="C376">
        <v>5184</v>
      </c>
      <c r="D376">
        <v>48</v>
      </c>
      <c r="E376">
        <v>1218</v>
      </c>
      <c r="F376">
        <v>3917</v>
      </c>
      <c r="G376">
        <v>58</v>
      </c>
      <c r="H376">
        <v>6</v>
      </c>
      <c r="I376">
        <v>86332</v>
      </c>
      <c r="J376">
        <v>42776</v>
      </c>
      <c r="K376">
        <v>50</v>
      </c>
      <c r="L376">
        <v>375</v>
      </c>
      <c r="M376">
        <v>374</v>
      </c>
    </row>
    <row r="377" spans="1:13" hidden="1" x14ac:dyDescent="0.3">
      <c r="A377" s="1">
        <v>44160</v>
      </c>
      <c r="B377" s="2" t="s">
        <v>6</v>
      </c>
      <c r="C377">
        <v>5241</v>
      </c>
      <c r="D377">
        <v>58</v>
      </c>
      <c r="E377">
        <v>1214</v>
      </c>
      <c r="F377">
        <v>3978</v>
      </c>
      <c r="G377">
        <v>53</v>
      </c>
      <c r="H377">
        <v>7</v>
      </c>
      <c r="I377">
        <v>87223</v>
      </c>
      <c r="J377">
        <v>42873</v>
      </c>
      <c r="K377">
        <v>50</v>
      </c>
      <c r="L377">
        <v>376</v>
      </c>
      <c r="M377">
        <v>375</v>
      </c>
    </row>
    <row r="378" spans="1:13" hidden="1" x14ac:dyDescent="0.3">
      <c r="A378" s="1">
        <v>44161</v>
      </c>
      <c r="B378" s="2" t="s">
        <v>6</v>
      </c>
      <c r="C378">
        <v>5294</v>
      </c>
      <c r="D378">
        <v>51</v>
      </c>
      <c r="E378">
        <v>1200</v>
      </c>
      <c r="F378">
        <v>4044</v>
      </c>
      <c r="G378">
        <v>55</v>
      </c>
      <c r="H378">
        <v>7</v>
      </c>
      <c r="I378">
        <v>87947</v>
      </c>
      <c r="J378">
        <v>42943</v>
      </c>
      <c r="K378">
        <v>51</v>
      </c>
      <c r="L378">
        <v>377</v>
      </c>
      <c r="M378">
        <v>376</v>
      </c>
    </row>
    <row r="379" spans="1:13" hidden="1" x14ac:dyDescent="0.3">
      <c r="A379" s="1">
        <v>44162</v>
      </c>
      <c r="B379" s="2" t="s">
        <v>6</v>
      </c>
      <c r="C379">
        <v>5350</v>
      </c>
      <c r="D379">
        <v>55</v>
      </c>
      <c r="E379">
        <v>1167</v>
      </c>
      <c r="F379">
        <v>4132</v>
      </c>
      <c r="G379">
        <v>50</v>
      </c>
      <c r="H379">
        <v>6</v>
      </c>
      <c r="I379">
        <v>88639</v>
      </c>
      <c r="J379">
        <v>43101</v>
      </c>
      <c r="K379">
        <v>52</v>
      </c>
      <c r="L379">
        <v>378</v>
      </c>
      <c r="M379">
        <v>377</v>
      </c>
    </row>
    <row r="380" spans="1:13" hidden="1" x14ac:dyDescent="0.3">
      <c r="A380" s="1">
        <v>44163</v>
      </c>
      <c r="B380" s="2" t="s">
        <v>6</v>
      </c>
      <c r="C380">
        <v>5408</v>
      </c>
      <c r="D380">
        <v>55</v>
      </c>
      <c r="E380">
        <v>1136</v>
      </c>
      <c r="F380">
        <v>4220</v>
      </c>
      <c r="G380">
        <v>51</v>
      </c>
      <c r="H380">
        <v>6</v>
      </c>
      <c r="I380">
        <v>89544</v>
      </c>
      <c r="J380">
        <v>43154</v>
      </c>
      <c r="K380">
        <v>53</v>
      </c>
      <c r="L380">
        <v>379</v>
      </c>
      <c r="M380">
        <v>378</v>
      </c>
    </row>
    <row r="381" spans="1:13" hidden="1" x14ac:dyDescent="0.3">
      <c r="A381" s="1">
        <v>44164</v>
      </c>
      <c r="B381" s="2" t="s">
        <v>6</v>
      </c>
      <c r="C381">
        <v>5466</v>
      </c>
      <c r="D381">
        <v>54</v>
      </c>
      <c r="E381">
        <v>1156</v>
      </c>
      <c r="F381">
        <v>4256</v>
      </c>
      <c r="G381">
        <v>54</v>
      </c>
      <c r="H381">
        <v>8</v>
      </c>
      <c r="I381">
        <v>90157</v>
      </c>
      <c r="J381">
        <v>43209</v>
      </c>
      <c r="K381">
        <v>55</v>
      </c>
      <c r="L381">
        <v>380</v>
      </c>
      <c r="M381">
        <v>379</v>
      </c>
    </row>
    <row r="382" spans="1:13" hidden="1" x14ac:dyDescent="0.3">
      <c r="A382" s="1">
        <v>44165</v>
      </c>
      <c r="B382" s="2" t="s">
        <v>6</v>
      </c>
      <c r="C382">
        <v>5517</v>
      </c>
      <c r="D382">
        <v>49</v>
      </c>
      <c r="E382">
        <v>1137</v>
      </c>
      <c r="F382">
        <v>4326</v>
      </c>
      <c r="G382">
        <v>56</v>
      </c>
      <c r="H382">
        <v>6</v>
      </c>
      <c r="I382">
        <v>90715</v>
      </c>
      <c r="J382">
        <v>43269</v>
      </c>
      <c r="K382">
        <v>55</v>
      </c>
      <c r="L382">
        <v>381</v>
      </c>
      <c r="M382">
        <v>380</v>
      </c>
    </row>
    <row r="383" spans="1:13" hidden="1" x14ac:dyDescent="0.3">
      <c r="A383" s="1">
        <v>44166</v>
      </c>
      <c r="B383" s="2" t="s">
        <v>6</v>
      </c>
      <c r="C383">
        <v>5560</v>
      </c>
      <c r="D383">
        <v>41</v>
      </c>
      <c r="E383">
        <v>1122</v>
      </c>
      <c r="F383">
        <v>4383</v>
      </c>
      <c r="G383">
        <v>50</v>
      </c>
      <c r="H383">
        <v>8</v>
      </c>
      <c r="I383">
        <v>91451</v>
      </c>
      <c r="J383">
        <v>43403</v>
      </c>
      <c r="K383">
        <v>56</v>
      </c>
      <c r="L383">
        <v>382</v>
      </c>
      <c r="M383">
        <v>381</v>
      </c>
    </row>
    <row r="384" spans="1:13" hidden="1" x14ac:dyDescent="0.3">
      <c r="A384" s="1">
        <v>44167</v>
      </c>
      <c r="B384" s="2" t="s">
        <v>6</v>
      </c>
      <c r="C384">
        <v>5602</v>
      </c>
      <c r="D384">
        <v>42</v>
      </c>
      <c r="E384">
        <v>1106</v>
      </c>
      <c r="F384">
        <v>4440</v>
      </c>
      <c r="G384">
        <v>42</v>
      </c>
      <c r="H384">
        <v>10</v>
      </c>
      <c r="I384">
        <v>92575</v>
      </c>
      <c r="J384">
        <v>43492</v>
      </c>
      <c r="K384">
        <v>57</v>
      </c>
      <c r="L384">
        <v>383</v>
      </c>
      <c r="M384">
        <v>382</v>
      </c>
    </row>
    <row r="385" spans="1:13" hidden="1" x14ac:dyDescent="0.3">
      <c r="A385" s="1">
        <v>44168</v>
      </c>
      <c r="B385" s="2" t="s">
        <v>6</v>
      </c>
      <c r="C385">
        <v>5629</v>
      </c>
      <c r="D385">
        <v>26</v>
      </c>
      <c r="E385">
        <v>1065</v>
      </c>
      <c r="F385">
        <v>4506</v>
      </c>
      <c r="G385">
        <v>41</v>
      </c>
      <c r="H385">
        <v>9</v>
      </c>
      <c r="I385">
        <v>93369</v>
      </c>
      <c r="J385">
        <v>43577</v>
      </c>
      <c r="K385">
        <v>59</v>
      </c>
      <c r="L385">
        <v>384</v>
      </c>
      <c r="M385">
        <v>383</v>
      </c>
    </row>
    <row r="386" spans="1:13" hidden="1" x14ac:dyDescent="0.3">
      <c r="A386" s="1">
        <v>44169</v>
      </c>
      <c r="B386" s="2" t="s">
        <v>6</v>
      </c>
      <c r="C386">
        <v>5668</v>
      </c>
      <c r="D386">
        <v>38</v>
      </c>
      <c r="E386">
        <v>1025</v>
      </c>
      <c r="F386">
        <v>4585</v>
      </c>
      <c r="G386">
        <v>42</v>
      </c>
      <c r="H386">
        <v>9</v>
      </c>
      <c r="I386">
        <v>94462</v>
      </c>
      <c r="J386">
        <v>43668</v>
      </c>
      <c r="K386">
        <v>59</v>
      </c>
      <c r="L386">
        <v>385</v>
      </c>
      <c r="M386">
        <v>384</v>
      </c>
    </row>
    <row r="387" spans="1:13" hidden="1" x14ac:dyDescent="0.3">
      <c r="A387" s="1">
        <v>44170</v>
      </c>
      <c r="B387" s="2" t="s">
        <v>6</v>
      </c>
      <c r="C387">
        <v>5705</v>
      </c>
      <c r="D387">
        <v>30</v>
      </c>
      <c r="E387">
        <v>990</v>
      </c>
      <c r="F387">
        <v>4656</v>
      </c>
      <c r="G387">
        <v>42</v>
      </c>
      <c r="H387">
        <v>9</v>
      </c>
      <c r="I387">
        <v>95314</v>
      </c>
      <c r="J387">
        <v>43719</v>
      </c>
      <c r="K387">
        <v>60</v>
      </c>
      <c r="L387">
        <v>386</v>
      </c>
      <c r="M387">
        <v>385</v>
      </c>
    </row>
    <row r="388" spans="1:13" hidden="1" x14ac:dyDescent="0.3">
      <c r="A388" s="1">
        <v>44171</v>
      </c>
      <c r="B388" s="2" t="s">
        <v>6</v>
      </c>
      <c r="C388">
        <v>5738</v>
      </c>
      <c r="D388">
        <v>29</v>
      </c>
      <c r="E388">
        <v>971</v>
      </c>
      <c r="F388">
        <v>4708</v>
      </c>
      <c r="G388">
        <v>44</v>
      </c>
      <c r="H388">
        <v>9</v>
      </c>
      <c r="I388">
        <v>95971</v>
      </c>
      <c r="J388">
        <v>43754</v>
      </c>
      <c r="K388">
        <v>60</v>
      </c>
      <c r="L388">
        <v>387</v>
      </c>
      <c r="M388">
        <v>386</v>
      </c>
    </row>
    <row r="389" spans="1:13" hidden="1" x14ac:dyDescent="0.3">
      <c r="A389" s="1">
        <v>44172</v>
      </c>
      <c r="B389" s="2" t="s">
        <v>6</v>
      </c>
      <c r="C389">
        <v>5782</v>
      </c>
      <c r="D389">
        <v>41</v>
      </c>
      <c r="E389">
        <v>899</v>
      </c>
      <c r="F389">
        <v>4822</v>
      </c>
      <c r="G389">
        <v>40</v>
      </c>
      <c r="H389">
        <v>9</v>
      </c>
      <c r="I389">
        <v>96546</v>
      </c>
      <c r="J389">
        <v>43847</v>
      </c>
      <c r="K389">
        <v>62</v>
      </c>
      <c r="L389">
        <v>388</v>
      </c>
      <c r="M389">
        <v>387</v>
      </c>
    </row>
    <row r="390" spans="1:13" hidden="1" x14ac:dyDescent="0.3">
      <c r="A390" s="1">
        <v>44173</v>
      </c>
      <c r="B390" s="2" t="s">
        <v>6</v>
      </c>
      <c r="C390">
        <v>5830</v>
      </c>
      <c r="D390">
        <v>43</v>
      </c>
      <c r="E390">
        <v>871</v>
      </c>
      <c r="F390">
        <v>4895</v>
      </c>
      <c r="G390">
        <v>41</v>
      </c>
      <c r="H390">
        <v>9</v>
      </c>
      <c r="I390">
        <v>97341</v>
      </c>
      <c r="J390">
        <v>43922</v>
      </c>
      <c r="K390">
        <v>65</v>
      </c>
      <c r="L390">
        <v>389</v>
      </c>
      <c r="M390">
        <v>388</v>
      </c>
    </row>
    <row r="391" spans="1:13" hidden="1" x14ac:dyDescent="0.3">
      <c r="A391" s="1">
        <v>44174</v>
      </c>
      <c r="B391" s="2" t="s">
        <v>6</v>
      </c>
      <c r="C391">
        <v>5869</v>
      </c>
      <c r="D391">
        <v>34</v>
      </c>
      <c r="E391">
        <v>856</v>
      </c>
      <c r="F391">
        <v>4948</v>
      </c>
      <c r="G391">
        <v>42</v>
      </c>
      <c r="H391">
        <v>9</v>
      </c>
      <c r="I391">
        <v>97911</v>
      </c>
      <c r="J391">
        <v>44010</v>
      </c>
      <c r="K391">
        <v>67</v>
      </c>
      <c r="L391">
        <v>390</v>
      </c>
      <c r="M391">
        <v>389</v>
      </c>
    </row>
    <row r="392" spans="1:13" hidden="1" x14ac:dyDescent="0.3">
      <c r="A392" s="1">
        <v>44175</v>
      </c>
      <c r="B392" s="2" t="s">
        <v>6</v>
      </c>
      <c r="C392">
        <v>5906</v>
      </c>
      <c r="D392">
        <v>39</v>
      </c>
      <c r="E392">
        <v>839</v>
      </c>
      <c r="F392">
        <v>5001</v>
      </c>
      <c r="G392">
        <v>42</v>
      </c>
      <c r="H392">
        <v>10</v>
      </c>
      <c r="I392">
        <v>98762</v>
      </c>
      <c r="J392">
        <v>44099</v>
      </c>
      <c r="K392">
        <v>68</v>
      </c>
      <c r="L392">
        <v>391</v>
      </c>
      <c r="M392">
        <v>390</v>
      </c>
    </row>
    <row r="393" spans="1:13" hidden="1" x14ac:dyDescent="0.3">
      <c r="A393" s="1">
        <v>44176</v>
      </c>
      <c r="B393" s="2" t="s">
        <v>6</v>
      </c>
      <c r="C393">
        <v>5970</v>
      </c>
      <c r="D393">
        <v>58</v>
      </c>
      <c r="E393">
        <v>851</v>
      </c>
      <c r="F393">
        <v>5052</v>
      </c>
      <c r="G393">
        <v>39</v>
      </c>
      <c r="H393">
        <v>9</v>
      </c>
      <c r="I393">
        <v>99820</v>
      </c>
      <c r="J393">
        <v>44231</v>
      </c>
      <c r="K393">
        <v>69</v>
      </c>
      <c r="L393">
        <v>392</v>
      </c>
      <c r="M393">
        <v>391</v>
      </c>
    </row>
    <row r="394" spans="1:13" hidden="1" x14ac:dyDescent="0.3">
      <c r="A394" s="1">
        <v>44177</v>
      </c>
      <c r="B394" s="2" t="s">
        <v>6</v>
      </c>
      <c r="C394">
        <v>6038</v>
      </c>
      <c r="D394">
        <v>63</v>
      </c>
      <c r="E394">
        <v>851</v>
      </c>
      <c r="F394">
        <v>5119</v>
      </c>
      <c r="G394">
        <v>38</v>
      </c>
      <c r="H394">
        <v>8</v>
      </c>
      <c r="I394">
        <v>100802</v>
      </c>
      <c r="J394">
        <v>44296</v>
      </c>
      <c r="K394">
        <v>70</v>
      </c>
      <c r="L394">
        <v>393</v>
      </c>
      <c r="M394">
        <v>392</v>
      </c>
    </row>
    <row r="395" spans="1:13" hidden="1" x14ac:dyDescent="0.3">
      <c r="A395" s="1">
        <v>44178</v>
      </c>
      <c r="B395" s="2" t="s">
        <v>6</v>
      </c>
      <c r="C395">
        <v>6090</v>
      </c>
      <c r="D395">
        <v>43</v>
      </c>
      <c r="E395">
        <v>848</v>
      </c>
      <c r="F395">
        <v>5174</v>
      </c>
      <c r="G395">
        <v>42</v>
      </c>
      <c r="H395">
        <v>8</v>
      </c>
      <c r="I395">
        <v>101325</v>
      </c>
      <c r="J395">
        <v>44389</v>
      </c>
      <c r="K395">
        <v>70</v>
      </c>
      <c r="L395">
        <v>394</v>
      </c>
      <c r="M395">
        <v>393</v>
      </c>
    </row>
    <row r="396" spans="1:13" hidden="1" x14ac:dyDescent="0.3">
      <c r="A396" s="1">
        <v>44179</v>
      </c>
      <c r="B396" s="2" t="s">
        <v>6</v>
      </c>
      <c r="C396">
        <v>6172</v>
      </c>
      <c r="D396">
        <v>70</v>
      </c>
      <c r="E396">
        <v>867</v>
      </c>
      <c r="F396">
        <v>5237</v>
      </c>
      <c r="G396">
        <v>44</v>
      </c>
      <c r="H396">
        <v>8</v>
      </c>
      <c r="I396">
        <v>102136</v>
      </c>
      <c r="J396">
        <v>44510</v>
      </c>
      <c r="K396">
        <v>71</v>
      </c>
      <c r="L396">
        <v>395</v>
      </c>
      <c r="M396">
        <v>394</v>
      </c>
    </row>
    <row r="397" spans="1:13" hidden="1" x14ac:dyDescent="0.3">
      <c r="A397" s="1">
        <v>44180</v>
      </c>
      <c r="B397" s="2" t="s">
        <v>6</v>
      </c>
      <c r="C397">
        <v>6217</v>
      </c>
      <c r="D397">
        <v>29</v>
      </c>
      <c r="E397">
        <v>869</v>
      </c>
      <c r="F397">
        <v>5279</v>
      </c>
      <c r="G397">
        <v>44</v>
      </c>
      <c r="H397">
        <v>8</v>
      </c>
      <c r="I397">
        <v>102889</v>
      </c>
      <c r="J397">
        <v>44661</v>
      </c>
      <c r="K397">
        <v>72</v>
      </c>
      <c r="L397">
        <v>396</v>
      </c>
      <c r="M397">
        <v>395</v>
      </c>
    </row>
    <row r="398" spans="1:13" hidden="1" x14ac:dyDescent="0.3">
      <c r="A398" s="1">
        <v>44181</v>
      </c>
      <c r="B398" s="2" t="s">
        <v>6</v>
      </c>
      <c r="C398">
        <v>6278</v>
      </c>
      <c r="D398">
        <v>49</v>
      </c>
      <c r="E398">
        <v>865</v>
      </c>
      <c r="F398">
        <v>5344</v>
      </c>
      <c r="G398">
        <v>44</v>
      </c>
      <c r="H398">
        <v>9</v>
      </c>
      <c r="I398">
        <v>103782</v>
      </c>
      <c r="J398">
        <v>44782</v>
      </c>
      <c r="K398">
        <v>72</v>
      </c>
      <c r="L398">
        <v>397</v>
      </c>
      <c r="M398">
        <v>396</v>
      </c>
    </row>
    <row r="399" spans="1:13" hidden="1" x14ac:dyDescent="0.3">
      <c r="A399" s="1">
        <v>44182</v>
      </c>
      <c r="B399" s="2" t="s">
        <v>6</v>
      </c>
      <c r="C399">
        <v>6350</v>
      </c>
      <c r="D399">
        <v>62</v>
      </c>
      <c r="E399">
        <v>897</v>
      </c>
      <c r="F399">
        <v>5384</v>
      </c>
      <c r="G399">
        <v>46</v>
      </c>
      <c r="H399">
        <v>9</v>
      </c>
      <c r="I399">
        <v>104598</v>
      </c>
      <c r="J399">
        <v>44951</v>
      </c>
      <c r="K399">
        <v>72</v>
      </c>
      <c r="L399">
        <v>398</v>
      </c>
      <c r="M399">
        <v>397</v>
      </c>
    </row>
    <row r="400" spans="1:13" hidden="1" x14ac:dyDescent="0.3">
      <c r="A400" s="1">
        <v>44183</v>
      </c>
      <c r="B400" s="2" t="s">
        <v>6</v>
      </c>
      <c r="C400">
        <v>6414</v>
      </c>
      <c r="D400">
        <v>62</v>
      </c>
      <c r="E400">
        <v>925</v>
      </c>
      <c r="F400">
        <v>5419</v>
      </c>
      <c r="G400">
        <v>37</v>
      </c>
      <c r="H400">
        <v>8</v>
      </c>
      <c r="I400">
        <v>105534</v>
      </c>
      <c r="J400">
        <v>45080</v>
      </c>
      <c r="K400">
        <v>73</v>
      </c>
      <c r="L400">
        <v>399</v>
      </c>
      <c r="M400">
        <v>398</v>
      </c>
    </row>
    <row r="401" spans="1:13" hidden="1" x14ac:dyDescent="0.3">
      <c r="A401" s="1">
        <v>44184</v>
      </c>
      <c r="B401" s="2" t="s">
        <v>6</v>
      </c>
      <c r="C401">
        <v>6472</v>
      </c>
      <c r="D401">
        <v>57</v>
      </c>
      <c r="E401">
        <v>936</v>
      </c>
      <c r="F401">
        <v>5464</v>
      </c>
      <c r="G401">
        <v>40</v>
      </c>
      <c r="H401">
        <v>8</v>
      </c>
      <c r="I401">
        <v>106253</v>
      </c>
      <c r="J401">
        <v>45157</v>
      </c>
      <c r="K401">
        <v>75</v>
      </c>
      <c r="L401">
        <v>400</v>
      </c>
      <c r="M401">
        <v>399</v>
      </c>
    </row>
    <row r="402" spans="1:13" hidden="1" x14ac:dyDescent="0.3">
      <c r="A402" s="1">
        <v>44185</v>
      </c>
      <c r="B402" s="2" t="s">
        <v>6</v>
      </c>
      <c r="C402">
        <v>6498</v>
      </c>
      <c r="D402">
        <v>21</v>
      </c>
      <c r="E402">
        <v>917</v>
      </c>
      <c r="F402">
        <v>5508</v>
      </c>
      <c r="G402">
        <v>42</v>
      </c>
      <c r="H402">
        <v>7</v>
      </c>
      <c r="I402">
        <v>106722</v>
      </c>
      <c r="J402">
        <v>45218</v>
      </c>
      <c r="K402">
        <v>76</v>
      </c>
      <c r="L402">
        <v>401</v>
      </c>
      <c r="M402">
        <v>400</v>
      </c>
    </row>
    <row r="403" spans="1:13" hidden="1" x14ac:dyDescent="0.3">
      <c r="A403" s="1">
        <v>44186</v>
      </c>
      <c r="B403" s="2" t="s">
        <v>6</v>
      </c>
      <c r="C403">
        <v>6543</v>
      </c>
      <c r="D403">
        <v>39</v>
      </c>
      <c r="E403">
        <v>922</v>
      </c>
      <c r="F403">
        <v>5548</v>
      </c>
      <c r="G403">
        <v>42</v>
      </c>
      <c r="H403">
        <v>8</v>
      </c>
      <c r="I403">
        <v>107331</v>
      </c>
      <c r="J403">
        <v>45357</v>
      </c>
      <c r="K403">
        <v>76</v>
      </c>
      <c r="L403">
        <v>402</v>
      </c>
      <c r="M403">
        <v>401</v>
      </c>
    </row>
    <row r="404" spans="1:13" hidden="1" x14ac:dyDescent="0.3">
      <c r="A404" s="1">
        <v>44187</v>
      </c>
      <c r="B404" s="2" t="s">
        <v>6</v>
      </c>
      <c r="C404">
        <v>6579</v>
      </c>
      <c r="D404">
        <v>25</v>
      </c>
      <c r="E404">
        <v>911</v>
      </c>
      <c r="F404">
        <v>5595</v>
      </c>
      <c r="G404">
        <v>42</v>
      </c>
      <c r="H404">
        <v>6</v>
      </c>
      <c r="I404">
        <v>108212</v>
      </c>
      <c r="J404">
        <v>45477</v>
      </c>
      <c r="K404">
        <v>76</v>
      </c>
      <c r="L404">
        <v>403</v>
      </c>
      <c r="M404">
        <v>402</v>
      </c>
    </row>
    <row r="405" spans="1:13" hidden="1" x14ac:dyDescent="0.3">
      <c r="A405" s="1">
        <v>44188</v>
      </c>
      <c r="B405" s="2" t="s">
        <v>6</v>
      </c>
      <c r="C405">
        <v>6639</v>
      </c>
      <c r="D405">
        <v>53</v>
      </c>
      <c r="E405">
        <v>904</v>
      </c>
      <c r="F405">
        <v>5662</v>
      </c>
      <c r="G405">
        <v>40</v>
      </c>
      <c r="H405">
        <v>8</v>
      </c>
      <c r="I405">
        <v>109184</v>
      </c>
      <c r="J405">
        <v>45607</v>
      </c>
      <c r="K405">
        <v>76</v>
      </c>
      <c r="L405">
        <v>404</v>
      </c>
      <c r="M405">
        <v>403</v>
      </c>
    </row>
    <row r="406" spans="1:13" hidden="1" x14ac:dyDescent="0.3">
      <c r="A406" s="1">
        <v>44189</v>
      </c>
      <c r="B406" s="2" t="s">
        <v>6</v>
      </c>
      <c r="C406">
        <v>6697</v>
      </c>
      <c r="D406">
        <v>49</v>
      </c>
      <c r="E406">
        <v>922</v>
      </c>
      <c r="F406">
        <v>5702</v>
      </c>
      <c r="G406">
        <v>39</v>
      </c>
      <c r="H406">
        <v>9</v>
      </c>
      <c r="I406">
        <v>110201</v>
      </c>
      <c r="J406">
        <v>45722</v>
      </c>
      <c r="K406">
        <v>76</v>
      </c>
      <c r="L406">
        <v>405</v>
      </c>
      <c r="M406">
        <v>404</v>
      </c>
    </row>
    <row r="407" spans="1:13" hidden="1" x14ac:dyDescent="0.3">
      <c r="A407" s="1">
        <v>44190</v>
      </c>
      <c r="B407" s="2" t="s">
        <v>6</v>
      </c>
      <c r="C407">
        <v>6736</v>
      </c>
      <c r="D407">
        <v>38</v>
      </c>
      <c r="E407">
        <v>907</v>
      </c>
      <c r="F407">
        <v>5755</v>
      </c>
      <c r="G407">
        <v>45</v>
      </c>
      <c r="H407">
        <v>9</v>
      </c>
      <c r="I407">
        <v>110689</v>
      </c>
      <c r="J407">
        <v>45786</v>
      </c>
      <c r="K407">
        <v>77</v>
      </c>
      <c r="L407">
        <v>406</v>
      </c>
      <c r="M407">
        <v>405</v>
      </c>
    </row>
    <row r="408" spans="1:13" hidden="1" x14ac:dyDescent="0.3">
      <c r="A408" s="1">
        <v>44191</v>
      </c>
      <c r="B408" s="2" t="s">
        <v>6</v>
      </c>
      <c r="C408">
        <v>6782</v>
      </c>
      <c r="D408">
        <v>47</v>
      </c>
      <c r="E408">
        <v>896</v>
      </c>
      <c r="F408">
        <v>5812</v>
      </c>
      <c r="G408">
        <v>45</v>
      </c>
      <c r="H408">
        <v>11</v>
      </c>
      <c r="I408">
        <v>111195</v>
      </c>
      <c r="J408">
        <v>45839</v>
      </c>
      <c r="K408">
        <v>77</v>
      </c>
      <c r="L408">
        <v>407</v>
      </c>
      <c r="M408">
        <v>406</v>
      </c>
    </row>
    <row r="409" spans="1:13" hidden="1" x14ac:dyDescent="0.3">
      <c r="A409" s="1">
        <v>44192</v>
      </c>
      <c r="B409" s="2" t="s">
        <v>6</v>
      </c>
      <c r="C409">
        <v>6819</v>
      </c>
      <c r="D409">
        <v>33</v>
      </c>
      <c r="E409">
        <v>866</v>
      </c>
      <c r="F409">
        <v>5879</v>
      </c>
      <c r="G409">
        <v>50</v>
      </c>
      <c r="H409">
        <v>11</v>
      </c>
      <c r="I409">
        <v>111937</v>
      </c>
      <c r="J409">
        <v>45905</v>
      </c>
      <c r="K409">
        <v>77</v>
      </c>
      <c r="L409">
        <v>408</v>
      </c>
      <c r="M409">
        <v>407</v>
      </c>
    </row>
    <row r="410" spans="1:13" hidden="1" x14ac:dyDescent="0.3">
      <c r="A410" s="1">
        <v>44193</v>
      </c>
      <c r="B410" s="2" t="s">
        <v>6</v>
      </c>
      <c r="C410">
        <v>6858</v>
      </c>
      <c r="D410">
        <v>32</v>
      </c>
      <c r="E410">
        <v>852</v>
      </c>
      <c r="F410">
        <v>5932</v>
      </c>
      <c r="G410">
        <v>44</v>
      </c>
      <c r="H410">
        <v>10</v>
      </c>
      <c r="I410">
        <v>112437</v>
      </c>
      <c r="J410">
        <v>46011</v>
      </c>
      <c r="K410">
        <v>77</v>
      </c>
      <c r="L410">
        <v>409</v>
      </c>
      <c r="M410">
        <v>408</v>
      </c>
    </row>
    <row r="411" spans="1:13" hidden="1" x14ac:dyDescent="0.3">
      <c r="A411" s="1">
        <v>44194</v>
      </c>
      <c r="B411" s="2" t="s">
        <v>6</v>
      </c>
      <c r="C411">
        <v>6911</v>
      </c>
      <c r="D411">
        <v>48</v>
      </c>
      <c r="E411">
        <v>821</v>
      </c>
      <c r="F411">
        <v>6016</v>
      </c>
      <c r="G411">
        <v>41</v>
      </c>
      <c r="H411">
        <v>11</v>
      </c>
      <c r="I411">
        <v>113362</v>
      </c>
      <c r="J411">
        <v>46138</v>
      </c>
      <c r="K411">
        <v>77</v>
      </c>
      <c r="L411">
        <v>410</v>
      </c>
      <c r="M411">
        <v>409</v>
      </c>
    </row>
    <row r="412" spans="1:13" hidden="1" x14ac:dyDescent="0.3">
      <c r="A412" s="1">
        <v>44195</v>
      </c>
      <c r="B412" s="2" t="s">
        <v>6</v>
      </c>
      <c r="C412">
        <v>6941</v>
      </c>
      <c r="D412">
        <v>25</v>
      </c>
      <c r="E412">
        <v>816</v>
      </c>
      <c r="F412">
        <v>6050</v>
      </c>
      <c r="G412">
        <v>42</v>
      </c>
      <c r="H412">
        <v>10</v>
      </c>
      <c r="I412">
        <v>114435</v>
      </c>
      <c r="J412">
        <v>46229</v>
      </c>
      <c r="K412">
        <v>78</v>
      </c>
      <c r="L412">
        <v>411</v>
      </c>
      <c r="M412">
        <v>410</v>
      </c>
    </row>
    <row r="413" spans="1:13" hidden="1" x14ac:dyDescent="0.3">
      <c r="A413" s="1">
        <v>44196</v>
      </c>
      <c r="B413" s="2" t="s">
        <v>6</v>
      </c>
      <c r="C413">
        <v>6992</v>
      </c>
      <c r="D413">
        <v>48</v>
      </c>
      <c r="E413">
        <v>789</v>
      </c>
      <c r="F413">
        <v>6126</v>
      </c>
      <c r="G413">
        <v>39</v>
      </c>
      <c r="H413">
        <v>12</v>
      </c>
      <c r="I413">
        <v>115421</v>
      </c>
      <c r="J413">
        <v>46347</v>
      </c>
      <c r="K413">
        <v>80</v>
      </c>
      <c r="L413">
        <v>412</v>
      </c>
      <c r="M413">
        <v>411</v>
      </c>
    </row>
    <row r="414" spans="1:13" hidden="1" x14ac:dyDescent="0.3">
      <c r="A414" s="1">
        <v>44197</v>
      </c>
      <c r="B414" s="2" t="s">
        <v>6</v>
      </c>
      <c r="C414">
        <v>7038</v>
      </c>
      <c r="D414">
        <v>42</v>
      </c>
      <c r="E414">
        <v>773</v>
      </c>
      <c r="F414">
        <v>6188</v>
      </c>
      <c r="G414">
        <v>32</v>
      </c>
      <c r="H414">
        <v>12</v>
      </c>
      <c r="I414">
        <v>115751</v>
      </c>
      <c r="J414">
        <v>46420</v>
      </c>
      <c r="K414">
        <v>81</v>
      </c>
      <c r="L414">
        <v>413</v>
      </c>
      <c r="M414">
        <v>412</v>
      </c>
    </row>
    <row r="415" spans="1:13" hidden="1" x14ac:dyDescent="0.3">
      <c r="A415" s="1">
        <v>44198</v>
      </c>
      <c r="B415" s="2" t="s">
        <v>6</v>
      </c>
      <c r="C415">
        <v>7064</v>
      </c>
      <c r="D415">
        <v>16</v>
      </c>
      <c r="E415">
        <v>710</v>
      </c>
      <c r="F415">
        <v>6274</v>
      </c>
      <c r="G415">
        <v>35</v>
      </c>
      <c r="H415">
        <v>9</v>
      </c>
      <c r="I415">
        <v>116039</v>
      </c>
      <c r="J415">
        <v>46508</v>
      </c>
      <c r="K415">
        <v>83</v>
      </c>
      <c r="L415">
        <v>414</v>
      </c>
      <c r="M415">
        <v>413</v>
      </c>
    </row>
    <row r="416" spans="1:13" hidden="1" x14ac:dyDescent="0.3">
      <c r="A416" s="1">
        <v>44199</v>
      </c>
      <c r="B416" s="2" t="s">
        <v>6</v>
      </c>
      <c r="C416">
        <v>7123</v>
      </c>
      <c r="D416">
        <v>56</v>
      </c>
      <c r="E416">
        <v>731</v>
      </c>
      <c r="F416">
        <v>6312</v>
      </c>
      <c r="G416">
        <v>39</v>
      </c>
      <c r="H416">
        <v>8</v>
      </c>
      <c r="I416">
        <v>116387</v>
      </c>
      <c r="J416">
        <v>46572</v>
      </c>
      <c r="K416">
        <v>83</v>
      </c>
      <c r="L416">
        <v>415</v>
      </c>
      <c r="M416">
        <v>414</v>
      </c>
    </row>
    <row r="417" spans="1:13" hidden="1" x14ac:dyDescent="0.3">
      <c r="A417" s="1">
        <v>44200</v>
      </c>
      <c r="B417" s="2" t="s">
        <v>6</v>
      </c>
      <c r="C417">
        <v>7167</v>
      </c>
      <c r="D417">
        <v>40</v>
      </c>
      <c r="E417">
        <v>751</v>
      </c>
      <c r="F417">
        <v>6336</v>
      </c>
      <c r="G417">
        <v>37</v>
      </c>
      <c r="H417">
        <v>11</v>
      </c>
      <c r="I417">
        <v>116987</v>
      </c>
      <c r="J417">
        <v>46682</v>
      </c>
      <c r="K417">
        <v>83</v>
      </c>
      <c r="L417">
        <v>416</v>
      </c>
      <c r="M417">
        <v>415</v>
      </c>
    </row>
    <row r="418" spans="1:13" hidden="1" x14ac:dyDescent="0.3">
      <c r="A418" s="1">
        <v>44201</v>
      </c>
      <c r="B418" s="2" t="s">
        <v>6</v>
      </c>
      <c r="C418">
        <v>7200</v>
      </c>
      <c r="D418">
        <v>29</v>
      </c>
      <c r="E418">
        <v>743</v>
      </c>
      <c r="F418">
        <v>6377</v>
      </c>
      <c r="G418">
        <v>44</v>
      </c>
      <c r="H418">
        <v>11</v>
      </c>
      <c r="I418">
        <v>117753</v>
      </c>
      <c r="J418">
        <v>46801</v>
      </c>
      <c r="K418">
        <v>83</v>
      </c>
      <c r="L418">
        <v>417</v>
      </c>
      <c r="M418">
        <v>416</v>
      </c>
    </row>
    <row r="419" spans="1:13" hidden="1" x14ac:dyDescent="0.3">
      <c r="A419" s="1">
        <v>44202</v>
      </c>
      <c r="B419" s="2" t="s">
        <v>6</v>
      </c>
      <c r="C419">
        <v>7250</v>
      </c>
      <c r="D419">
        <v>45</v>
      </c>
      <c r="E419">
        <v>735</v>
      </c>
      <c r="F419">
        <v>6435</v>
      </c>
      <c r="G419">
        <v>46</v>
      </c>
      <c r="H419">
        <v>10</v>
      </c>
      <c r="I419">
        <v>118495</v>
      </c>
      <c r="J419">
        <v>46878</v>
      </c>
      <c r="K419">
        <v>83</v>
      </c>
      <c r="L419">
        <v>418</v>
      </c>
      <c r="M419">
        <v>417</v>
      </c>
    </row>
    <row r="420" spans="1:13" hidden="1" x14ac:dyDescent="0.3">
      <c r="A420" s="1">
        <v>44203</v>
      </c>
      <c r="B420" s="2" t="s">
        <v>6</v>
      </c>
      <c r="C420">
        <v>7305</v>
      </c>
      <c r="D420">
        <v>51</v>
      </c>
      <c r="E420">
        <v>717</v>
      </c>
      <c r="F420">
        <v>6507</v>
      </c>
      <c r="G420">
        <v>39</v>
      </c>
      <c r="H420">
        <v>12</v>
      </c>
      <c r="I420">
        <v>118973</v>
      </c>
      <c r="J420">
        <v>46976</v>
      </c>
      <c r="K420">
        <v>84</v>
      </c>
      <c r="L420">
        <v>419</v>
      </c>
      <c r="M420">
        <v>418</v>
      </c>
    </row>
    <row r="421" spans="1:13" hidden="1" x14ac:dyDescent="0.3">
      <c r="A421" s="1">
        <v>44204</v>
      </c>
      <c r="B421" s="2" t="s">
        <v>6</v>
      </c>
      <c r="C421">
        <v>7368</v>
      </c>
      <c r="D421">
        <v>55</v>
      </c>
      <c r="E421">
        <v>724</v>
      </c>
      <c r="F421">
        <v>6563</v>
      </c>
      <c r="G421">
        <v>40</v>
      </c>
      <c r="H421">
        <v>12</v>
      </c>
      <c r="I421">
        <v>119477</v>
      </c>
      <c r="J421">
        <v>47095</v>
      </c>
      <c r="K421">
        <v>84</v>
      </c>
      <c r="L421">
        <v>420</v>
      </c>
      <c r="M421">
        <v>419</v>
      </c>
    </row>
    <row r="422" spans="1:13" hidden="1" x14ac:dyDescent="0.3">
      <c r="A422" s="1">
        <v>44205</v>
      </c>
      <c r="B422" s="2" t="s">
        <v>6</v>
      </c>
      <c r="C422">
        <v>7418</v>
      </c>
      <c r="D422">
        <v>43</v>
      </c>
      <c r="E422">
        <v>736</v>
      </c>
      <c r="F422">
        <v>6599</v>
      </c>
      <c r="G422">
        <v>38</v>
      </c>
      <c r="H422">
        <v>12</v>
      </c>
      <c r="I422">
        <v>120151</v>
      </c>
      <c r="J422">
        <v>47192</v>
      </c>
      <c r="K422">
        <v>86</v>
      </c>
      <c r="L422">
        <v>421</v>
      </c>
      <c r="M422">
        <v>420</v>
      </c>
    </row>
    <row r="423" spans="1:13" hidden="1" x14ac:dyDescent="0.3">
      <c r="A423" s="1">
        <v>44206</v>
      </c>
      <c r="B423" s="2" t="s">
        <v>6</v>
      </c>
      <c r="C423">
        <v>7485</v>
      </c>
      <c r="D423">
        <v>66</v>
      </c>
      <c r="E423">
        <v>758</v>
      </c>
      <c r="F423">
        <v>6644</v>
      </c>
      <c r="G423">
        <v>44</v>
      </c>
      <c r="H423">
        <v>11</v>
      </c>
      <c r="I423">
        <v>120500</v>
      </c>
      <c r="J423">
        <v>47268</v>
      </c>
      <c r="K423">
        <v>87</v>
      </c>
      <c r="L423">
        <v>422</v>
      </c>
      <c r="M423">
        <v>421</v>
      </c>
    </row>
    <row r="424" spans="1:13" hidden="1" x14ac:dyDescent="0.3">
      <c r="A424" s="1">
        <v>44207</v>
      </c>
      <c r="B424" s="2" t="s">
        <v>6</v>
      </c>
      <c r="C424">
        <v>7580</v>
      </c>
      <c r="D424">
        <v>79</v>
      </c>
      <c r="E424">
        <v>809</v>
      </c>
      <c r="F424">
        <v>6687</v>
      </c>
      <c r="G424">
        <v>45</v>
      </c>
      <c r="H424">
        <v>10</v>
      </c>
      <c r="I424">
        <v>120914</v>
      </c>
      <c r="J424">
        <v>47435</v>
      </c>
      <c r="K424">
        <v>88</v>
      </c>
      <c r="L424">
        <v>423</v>
      </c>
      <c r="M424">
        <v>422</v>
      </c>
    </row>
    <row r="425" spans="1:13" hidden="1" x14ac:dyDescent="0.3">
      <c r="A425" s="1">
        <v>44208</v>
      </c>
      <c r="B425" s="2" t="s">
        <v>6</v>
      </c>
      <c r="C425">
        <v>7642</v>
      </c>
      <c r="D425">
        <v>61</v>
      </c>
      <c r="E425">
        <v>832</v>
      </c>
      <c r="F425">
        <v>6726</v>
      </c>
      <c r="G425">
        <v>47</v>
      </c>
      <c r="H425">
        <v>10</v>
      </c>
      <c r="I425">
        <v>121546</v>
      </c>
      <c r="J425">
        <v>47570</v>
      </c>
      <c r="K425">
        <v>88</v>
      </c>
      <c r="L425">
        <v>424</v>
      </c>
      <c r="M425">
        <v>423</v>
      </c>
    </row>
    <row r="426" spans="1:13" hidden="1" x14ac:dyDescent="0.3">
      <c r="A426" s="1">
        <v>44209</v>
      </c>
      <c r="B426" s="2" t="s">
        <v>6</v>
      </c>
      <c r="C426">
        <v>7727</v>
      </c>
      <c r="D426">
        <v>75</v>
      </c>
      <c r="E426">
        <v>867</v>
      </c>
      <c r="F426">
        <v>6775</v>
      </c>
      <c r="G426">
        <v>51</v>
      </c>
      <c r="H426">
        <v>9</v>
      </c>
      <c r="I426">
        <v>122322</v>
      </c>
      <c r="J426">
        <v>47705</v>
      </c>
      <c r="K426">
        <v>89</v>
      </c>
      <c r="L426">
        <v>425</v>
      </c>
      <c r="M426">
        <v>424</v>
      </c>
    </row>
    <row r="427" spans="1:13" hidden="1" x14ac:dyDescent="0.3">
      <c r="A427" s="1">
        <v>44210</v>
      </c>
      <c r="B427" s="2" t="s">
        <v>6</v>
      </c>
      <c r="C427">
        <v>7808</v>
      </c>
      <c r="D427">
        <v>75</v>
      </c>
      <c r="E427">
        <v>907</v>
      </c>
      <c r="F427">
        <v>6816</v>
      </c>
      <c r="G427">
        <v>54</v>
      </c>
      <c r="H427">
        <v>11</v>
      </c>
      <c r="I427">
        <v>123032</v>
      </c>
      <c r="J427">
        <v>47914</v>
      </c>
      <c r="K427">
        <v>89</v>
      </c>
      <c r="L427">
        <v>426</v>
      </c>
      <c r="M427">
        <v>425</v>
      </c>
    </row>
    <row r="428" spans="1:13" hidden="1" x14ac:dyDescent="0.3">
      <c r="A428" s="1">
        <v>44211</v>
      </c>
      <c r="B428" s="2" t="s">
        <v>6</v>
      </c>
      <c r="C428">
        <v>7908</v>
      </c>
      <c r="D428">
        <v>82</v>
      </c>
      <c r="E428">
        <v>954</v>
      </c>
      <c r="F428">
        <v>6869</v>
      </c>
      <c r="G428">
        <v>54</v>
      </c>
      <c r="H428">
        <v>12</v>
      </c>
      <c r="I428">
        <v>123664</v>
      </c>
      <c r="J428">
        <v>48086</v>
      </c>
      <c r="K428">
        <v>89</v>
      </c>
      <c r="L428">
        <v>427</v>
      </c>
      <c r="M428">
        <v>426</v>
      </c>
    </row>
    <row r="429" spans="1:13" hidden="1" x14ac:dyDescent="0.3">
      <c r="A429" s="1">
        <v>44212</v>
      </c>
      <c r="B429" s="2" t="s">
        <v>6</v>
      </c>
      <c r="C429">
        <v>8000</v>
      </c>
      <c r="D429">
        <v>84</v>
      </c>
      <c r="E429">
        <v>983</v>
      </c>
      <c r="F429">
        <v>6931</v>
      </c>
      <c r="G429">
        <v>56</v>
      </c>
      <c r="H429">
        <v>12</v>
      </c>
      <c r="I429">
        <v>124323</v>
      </c>
      <c r="J429">
        <v>48180</v>
      </c>
      <c r="K429">
        <v>90</v>
      </c>
      <c r="L429">
        <v>428</v>
      </c>
      <c r="M429">
        <v>427</v>
      </c>
    </row>
    <row r="430" spans="1:13" hidden="1" x14ac:dyDescent="0.3">
      <c r="A430" s="1">
        <v>44213</v>
      </c>
      <c r="B430" s="2" t="s">
        <v>6</v>
      </c>
      <c r="C430">
        <v>8126</v>
      </c>
      <c r="D430">
        <v>112</v>
      </c>
      <c r="E430">
        <v>1088</v>
      </c>
      <c r="F430">
        <v>6951</v>
      </c>
      <c r="G430">
        <v>64</v>
      </c>
      <c r="H430">
        <v>13</v>
      </c>
      <c r="I430">
        <v>125179</v>
      </c>
      <c r="J430">
        <v>48294</v>
      </c>
      <c r="K430">
        <v>91</v>
      </c>
      <c r="L430">
        <v>429</v>
      </c>
      <c r="M430">
        <v>428</v>
      </c>
    </row>
    <row r="431" spans="1:13" hidden="1" x14ac:dyDescent="0.3">
      <c r="A431" s="1">
        <v>44214</v>
      </c>
      <c r="B431" s="2" t="s">
        <v>6</v>
      </c>
      <c r="C431">
        <v>8226</v>
      </c>
      <c r="D431">
        <v>82</v>
      </c>
      <c r="E431">
        <v>1145</v>
      </c>
      <c r="F431">
        <v>6993</v>
      </c>
      <c r="G431">
        <v>67</v>
      </c>
      <c r="H431">
        <v>11</v>
      </c>
      <c r="I431">
        <v>126045</v>
      </c>
      <c r="J431">
        <v>48446</v>
      </c>
      <c r="K431">
        <v>92</v>
      </c>
      <c r="L431">
        <v>430</v>
      </c>
      <c r="M431">
        <v>429</v>
      </c>
    </row>
    <row r="432" spans="1:13" hidden="1" x14ac:dyDescent="0.3">
      <c r="A432" s="1">
        <v>44215</v>
      </c>
      <c r="B432" s="2" t="s">
        <v>6</v>
      </c>
      <c r="C432">
        <v>8314</v>
      </c>
      <c r="D432">
        <v>76</v>
      </c>
      <c r="E432">
        <v>1195</v>
      </c>
      <c r="F432">
        <v>7031</v>
      </c>
      <c r="G432">
        <v>62</v>
      </c>
      <c r="H432">
        <v>14</v>
      </c>
      <c r="I432">
        <v>127167</v>
      </c>
      <c r="J432">
        <v>48715</v>
      </c>
      <c r="K432">
        <v>92</v>
      </c>
      <c r="L432">
        <v>431</v>
      </c>
      <c r="M432">
        <v>430</v>
      </c>
    </row>
    <row r="433" spans="1:13" hidden="1" x14ac:dyDescent="0.3">
      <c r="A433" s="1">
        <v>44216</v>
      </c>
      <c r="B433" s="2" t="s">
        <v>6</v>
      </c>
      <c r="C433">
        <v>8528</v>
      </c>
      <c r="D433">
        <v>192</v>
      </c>
      <c r="E433">
        <v>1374</v>
      </c>
      <c r="F433">
        <v>7064</v>
      </c>
      <c r="G433">
        <v>74</v>
      </c>
      <c r="H433">
        <v>14</v>
      </c>
      <c r="I433">
        <v>128359</v>
      </c>
      <c r="J433">
        <v>49049</v>
      </c>
      <c r="K433">
        <v>94</v>
      </c>
      <c r="L433">
        <v>432</v>
      </c>
      <c r="M433">
        <v>431</v>
      </c>
    </row>
    <row r="434" spans="1:13" hidden="1" x14ac:dyDescent="0.3">
      <c r="A434" s="1">
        <v>44217</v>
      </c>
      <c r="B434" s="2" t="s">
        <v>6</v>
      </c>
      <c r="C434">
        <v>8690</v>
      </c>
      <c r="D434">
        <v>138</v>
      </c>
      <c r="E434">
        <v>1485</v>
      </c>
      <c r="F434">
        <v>7112</v>
      </c>
      <c r="G434">
        <v>83</v>
      </c>
      <c r="H434">
        <v>14</v>
      </c>
      <c r="I434">
        <v>129727</v>
      </c>
      <c r="J434">
        <v>49434</v>
      </c>
      <c r="K434">
        <v>96</v>
      </c>
      <c r="L434">
        <v>433</v>
      </c>
      <c r="M434">
        <v>432</v>
      </c>
    </row>
    <row r="435" spans="1:13" hidden="1" x14ac:dyDescent="0.3">
      <c r="A435" s="1">
        <v>44218</v>
      </c>
      <c r="B435" s="2" t="s">
        <v>6</v>
      </c>
      <c r="C435">
        <v>8844</v>
      </c>
      <c r="D435">
        <v>124</v>
      </c>
      <c r="E435">
        <v>1579</v>
      </c>
      <c r="F435">
        <v>7171</v>
      </c>
      <c r="G435">
        <v>84</v>
      </c>
      <c r="H435">
        <v>13</v>
      </c>
      <c r="I435">
        <v>131128</v>
      </c>
      <c r="J435">
        <v>49887</v>
      </c>
      <c r="K435">
        <v>97</v>
      </c>
      <c r="L435">
        <v>434</v>
      </c>
      <c r="M435">
        <v>433</v>
      </c>
    </row>
    <row r="436" spans="1:13" hidden="1" x14ac:dyDescent="0.3">
      <c r="A436" s="1">
        <v>44219</v>
      </c>
      <c r="B436" s="2" t="s">
        <v>6</v>
      </c>
      <c r="C436">
        <v>8978</v>
      </c>
      <c r="D436">
        <v>111</v>
      </c>
      <c r="E436">
        <v>1650</v>
      </c>
      <c r="F436">
        <v>7233</v>
      </c>
      <c r="G436">
        <v>102</v>
      </c>
      <c r="H436">
        <v>15</v>
      </c>
      <c r="I436">
        <v>132183</v>
      </c>
      <c r="J436">
        <v>50225</v>
      </c>
      <c r="K436">
        <v>98</v>
      </c>
      <c r="L436">
        <v>435</v>
      </c>
      <c r="M436">
        <v>434</v>
      </c>
    </row>
    <row r="437" spans="1:13" hidden="1" x14ac:dyDescent="0.3">
      <c r="A437" s="1">
        <v>44220</v>
      </c>
      <c r="B437" s="2" t="s">
        <v>6</v>
      </c>
      <c r="C437">
        <v>9179</v>
      </c>
      <c r="D437">
        <v>186</v>
      </c>
      <c r="E437">
        <v>1818</v>
      </c>
      <c r="F437">
        <v>7263</v>
      </c>
      <c r="G437">
        <v>107</v>
      </c>
      <c r="H437">
        <v>15</v>
      </c>
      <c r="I437">
        <v>133480</v>
      </c>
      <c r="J437">
        <v>50481</v>
      </c>
      <c r="K437">
        <v>101</v>
      </c>
      <c r="L437">
        <v>436</v>
      </c>
      <c r="M437">
        <v>435</v>
      </c>
    </row>
    <row r="438" spans="1:13" hidden="1" x14ac:dyDescent="0.3">
      <c r="A438" s="1">
        <v>44221</v>
      </c>
      <c r="B438" s="2" t="s">
        <v>6</v>
      </c>
      <c r="C438">
        <v>9395</v>
      </c>
      <c r="D438">
        <v>187</v>
      </c>
      <c r="E438">
        <v>1940</v>
      </c>
      <c r="F438">
        <v>7357</v>
      </c>
      <c r="G438">
        <v>113</v>
      </c>
      <c r="H438">
        <v>15</v>
      </c>
      <c r="I438">
        <v>134737</v>
      </c>
      <c r="J438">
        <v>50988</v>
      </c>
      <c r="K438">
        <v>101</v>
      </c>
      <c r="L438">
        <v>437</v>
      </c>
      <c r="M438">
        <v>436</v>
      </c>
    </row>
    <row r="439" spans="1:13" hidden="1" x14ac:dyDescent="0.3">
      <c r="A439" s="1">
        <v>44222</v>
      </c>
      <c r="B439" s="2" t="s">
        <v>6</v>
      </c>
      <c r="C439">
        <v>9560</v>
      </c>
      <c r="D439">
        <v>133</v>
      </c>
      <c r="E439">
        <v>2022</v>
      </c>
      <c r="F439">
        <v>7440</v>
      </c>
      <c r="G439">
        <v>118</v>
      </c>
      <c r="H439">
        <v>16</v>
      </c>
      <c r="I439">
        <v>135936</v>
      </c>
      <c r="J439">
        <v>51388</v>
      </c>
      <c r="K439">
        <v>101</v>
      </c>
      <c r="L439">
        <v>438</v>
      </c>
      <c r="M439">
        <v>437</v>
      </c>
    </row>
    <row r="440" spans="1:13" hidden="1" x14ac:dyDescent="0.3">
      <c r="A440" s="1">
        <v>44223</v>
      </c>
      <c r="B440" s="2" t="s">
        <v>6</v>
      </c>
      <c r="C440">
        <v>9747</v>
      </c>
      <c r="D440">
        <v>151</v>
      </c>
      <c r="E440">
        <v>2154</v>
      </c>
      <c r="F440">
        <v>7491</v>
      </c>
      <c r="G440">
        <v>116</v>
      </c>
      <c r="H440">
        <v>17</v>
      </c>
      <c r="I440">
        <v>137290</v>
      </c>
      <c r="J440">
        <v>51916</v>
      </c>
      <c r="K440">
        <v>105</v>
      </c>
      <c r="L440">
        <v>439</v>
      </c>
      <c r="M440">
        <v>438</v>
      </c>
    </row>
    <row r="441" spans="1:13" hidden="1" x14ac:dyDescent="0.3">
      <c r="A441" s="1">
        <v>44224</v>
      </c>
      <c r="B441" s="2" t="s">
        <v>6</v>
      </c>
      <c r="C441">
        <v>9917</v>
      </c>
      <c r="D441">
        <v>156</v>
      </c>
      <c r="E441">
        <v>2246</v>
      </c>
      <c r="F441">
        <v>7569</v>
      </c>
      <c r="G441">
        <v>119</v>
      </c>
      <c r="H441">
        <v>25</v>
      </c>
      <c r="I441">
        <v>138517</v>
      </c>
      <c r="J441">
        <v>52471</v>
      </c>
      <c r="K441">
        <v>105</v>
      </c>
      <c r="L441">
        <v>440</v>
      </c>
      <c r="M441">
        <v>439</v>
      </c>
    </row>
    <row r="442" spans="1:13" hidden="1" x14ac:dyDescent="0.3">
      <c r="A442" s="1">
        <v>44225</v>
      </c>
      <c r="B442" s="2" t="s">
        <v>6</v>
      </c>
      <c r="C442">
        <v>10125</v>
      </c>
      <c r="D442">
        <v>172</v>
      </c>
      <c r="E442">
        <v>2365</v>
      </c>
      <c r="F442">
        <v>7654</v>
      </c>
      <c r="G442">
        <v>112</v>
      </c>
      <c r="H442">
        <v>29</v>
      </c>
      <c r="I442">
        <v>140170</v>
      </c>
      <c r="J442">
        <v>53271</v>
      </c>
      <c r="K442">
        <v>109</v>
      </c>
      <c r="L442">
        <v>441</v>
      </c>
      <c r="M442">
        <v>440</v>
      </c>
    </row>
    <row r="443" spans="1:13" hidden="1" x14ac:dyDescent="0.3">
      <c r="A443" s="1">
        <v>44226</v>
      </c>
      <c r="B443" s="2" t="s">
        <v>6</v>
      </c>
      <c r="C443">
        <v>10293</v>
      </c>
      <c r="D443">
        <v>148</v>
      </c>
      <c r="E443">
        <v>2455</v>
      </c>
      <c r="F443">
        <v>7732</v>
      </c>
      <c r="G443">
        <v>124</v>
      </c>
      <c r="H443">
        <v>30</v>
      </c>
      <c r="I443">
        <v>141439</v>
      </c>
      <c r="J443">
        <v>54250</v>
      </c>
      <c r="K443">
        <v>109</v>
      </c>
      <c r="L443">
        <v>442</v>
      </c>
      <c r="M443">
        <v>441</v>
      </c>
    </row>
    <row r="444" spans="1:13" hidden="1" x14ac:dyDescent="0.3">
      <c r="A444" s="1">
        <v>44227</v>
      </c>
      <c r="B444" s="2" t="s">
        <v>6</v>
      </c>
      <c r="C444">
        <v>10412</v>
      </c>
      <c r="D444">
        <v>106</v>
      </c>
      <c r="E444">
        <v>2469</v>
      </c>
      <c r="F444">
        <v>7834</v>
      </c>
      <c r="G444">
        <v>131</v>
      </c>
      <c r="H444">
        <v>31</v>
      </c>
      <c r="I444">
        <v>142327</v>
      </c>
      <c r="J444">
        <v>54491</v>
      </c>
      <c r="K444">
        <v>112</v>
      </c>
      <c r="L444">
        <v>443</v>
      </c>
      <c r="M444">
        <v>442</v>
      </c>
    </row>
    <row r="445" spans="1:13" hidden="1" x14ac:dyDescent="0.3">
      <c r="A445" s="1">
        <v>44228</v>
      </c>
      <c r="B445" s="2" t="s">
        <v>6</v>
      </c>
      <c r="C445">
        <v>10566</v>
      </c>
      <c r="D445">
        <v>130</v>
      </c>
      <c r="E445">
        <v>2503</v>
      </c>
      <c r="F445">
        <v>7951</v>
      </c>
      <c r="G445">
        <v>130</v>
      </c>
      <c r="H445">
        <v>30</v>
      </c>
      <c r="I445">
        <v>143207</v>
      </c>
      <c r="J445">
        <v>54919</v>
      </c>
      <c r="K445">
        <v>115</v>
      </c>
      <c r="L445">
        <v>444</v>
      </c>
      <c r="M445">
        <v>443</v>
      </c>
    </row>
    <row r="446" spans="1:13" hidden="1" x14ac:dyDescent="0.3">
      <c r="A446" s="1">
        <v>44229</v>
      </c>
      <c r="B446" s="2" t="s">
        <v>6</v>
      </c>
      <c r="C446">
        <v>10745</v>
      </c>
      <c r="D446">
        <v>125</v>
      </c>
      <c r="E446">
        <v>2578</v>
      </c>
      <c r="F446">
        <v>8053</v>
      </c>
      <c r="G446">
        <v>117</v>
      </c>
      <c r="H446">
        <v>29</v>
      </c>
      <c r="I446">
        <v>144328</v>
      </c>
      <c r="J446">
        <v>55479</v>
      </c>
      <c r="K446">
        <v>117</v>
      </c>
      <c r="L446">
        <v>445</v>
      </c>
      <c r="M446">
        <v>444</v>
      </c>
    </row>
    <row r="447" spans="1:13" hidden="1" x14ac:dyDescent="0.3">
      <c r="A447" s="1">
        <v>44230</v>
      </c>
      <c r="B447" s="2" t="s">
        <v>6</v>
      </c>
      <c r="C447">
        <v>10860</v>
      </c>
      <c r="D447">
        <v>91</v>
      </c>
      <c r="E447">
        <v>2613</v>
      </c>
      <c r="F447">
        <v>8131</v>
      </c>
      <c r="G447">
        <v>113</v>
      </c>
      <c r="H447">
        <v>27</v>
      </c>
      <c r="I447">
        <v>145580</v>
      </c>
      <c r="J447">
        <v>56919</v>
      </c>
      <c r="K447">
        <v>119</v>
      </c>
      <c r="L447">
        <v>446</v>
      </c>
      <c r="M447">
        <v>445</v>
      </c>
    </row>
    <row r="448" spans="1:13" hidden="1" x14ac:dyDescent="0.3">
      <c r="A448" s="1">
        <v>44231</v>
      </c>
      <c r="B448" s="2" t="s">
        <v>6</v>
      </c>
      <c r="C448">
        <v>11023</v>
      </c>
      <c r="D448">
        <v>152</v>
      </c>
      <c r="E448">
        <v>2576</v>
      </c>
      <c r="F448">
        <v>8326</v>
      </c>
      <c r="G448">
        <v>112</v>
      </c>
      <c r="H448">
        <v>27</v>
      </c>
      <c r="I448">
        <v>147019</v>
      </c>
      <c r="J448">
        <v>58910</v>
      </c>
      <c r="K448">
        <v>124</v>
      </c>
      <c r="L448">
        <v>447</v>
      </c>
      <c r="M448">
        <v>446</v>
      </c>
    </row>
    <row r="449" spans="1:13" hidden="1" x14ac:dyDescent="0.3">
      <c r="A449" s="1">
        <v>44232</v>
      </c>
      <c r="B449" s="2" t="s">
        <v>6</v>
      </c>
      <c r="C449">
        <v>11137</v>
      </c>
      <c r="D449">
        <v>103</v>
      </c>
      <c r="E449">
        <v>2562</v>
      </c>
      <c r="F449">
        <v>8450</v>
      </c>
      <c r="G449">
        <v>106</v>
      </c>
      <c r="H449">
        <v>24</v>
      </c>
      <c r="I449">
        <v>148155</v>
      </c>
      <c r="J449">
        <v>61171</v>
      </c>
      <c r="K449">
        <v>128</v>
      </c>
      <c r="L449">
        <v>448</v>
      </c>
      <c r="M449">
        <v>447</v>
      </c>
    </row>
    <row r="450" spans="1:13" hidden="1" x14ac:dyDescent="0.3">
      <c r="A450" s="1">
        <v>44233</v>
      </c>
      <c r="B450" s="2" t="s">
        <v>6</v>
      </c>
      <c r="C450">
        <v>11249</v>
      </c>
      <c r="D450">
        <v>134</v>
      </c>
      <c r="E450">
        <v>2526</v>
      </c>
      <c r="F450">
        <v>8598</v>
      </c>
      <c r="G450">
        <v>105</v>
      </c>
      <c r="H450">
        <v>23</v>
      </c>
      <c r="I450">
        <v>149151</v>
      </c>
      <c r="J450">
        <v>62678</v>
      </c>
      <c r="K450">
        <v>128</v>
      </c>
      <c r="L450">
        <v>449</v>
      </c>
      <c r="M450">
        <v>448</v>
      </c>
    </row>
    <row r="451" spans="1:13" hidden="1" x14ac:dyDescent="0.3">
      <c r="A451" s="1">
        <v>44234</v>
      </c>
      <c r="B451" s="2" t="s">
        <v>6</v>
      </c>
      <c r="C451">
        <v>11308</v>
      </c>
      <c r="D451">
        <v>48</v>
      </c>
      <c r="E451">
        <v>2483</v>
      </c>
      <c r="F451">
        <v>8700</v>
      </c>
      <c r="G451">
        <v>111</v>
      </c>
      <c r="H451">
        <v>21</v>
      </c>
      <c r="I451">
        <v>149934</v>
      </c>
      <c r="J451">
        <v>63016</v>
      </c>
      <c r="K451">
        <v>128</v>
      </c>
      <c r="L451">
        <v>450</v>
      </c>
      <c r="M451">
        <v>449</v>
      </c>
    </row>
    <row r="452" spans="1:13" hidden="1" x14ac:dyDescent="0.3">
      <c r="A452" s="1">
        <v>44145</v>
      </c>
      <c r="B452" s="2" t="s">
        <v>7</v>
      </c>
      <c r="C452">
        <v>6629</v>
      </c>
      <c r="D452">
        <v>73</v>
      </c>
      <c r="E452">
        <v>1186</v>
      </c>
      <c r="F452">
        <v>5293</v>
      </c>
      <c r="G452">
        <v>54</v>
      </c>
      <c r="H452">
        <v>16</v>
      </c>
      <c r="I452">
        <v>121974</v>
      </c>
      <c r="J452">
        <v>83653</v>
      </c>
      <c r="K452">
        <v>150</v>
      </c>
      <c r="L452">
        <v>451</v>
      </c>
      <c r="M452">
        <v>450</v>
      </c>
    </row>
    <row r="453" spans="1:13" hidden="1" x14ac:dyDescent="0.3">
      <c r="A453" s="1">
        <v>44146</v>
      </c>
      <c r="B453" s="2" t="s">
        <v>7</v>
      </c>
      <c r="C453">
        <v>6693</v>
      </c>
      <c r="D453">
        <v>62</v>
      </c>
      <c r="E453">
        <v>1148</v>
      </c>
      <c r="F453">
        <v>5391</v>
      </c>
      <c r="G453">
        <v>54</v>
      </c>
      <c r="H453">
        <v>14</v>
      </c>
      <c r="I453">
        <v>122953</v>
      </c>
      <c r="J453">
        <v>83785</v>
      </c>
      <c r="K453">
        <v>154</v>
      </c>
      <c r="L453">
        <v>452</v>
      </c>
      <c r="M453">
        <v>451</v>
      </c>
    </row>
    <row r="454" spans="1:13" hidden="1" x14ac:dyDescent="0.3">
      <c r="A454" s="1">
        <v>44147</v>
      </c>
      <c r="B454" s="2" t="s">
        <v>7</v>
      </c>
      <c r="C454">
        <v>6791</v>
      </c>
      <c r="D454">
        <v>95</v>
      </c>
      <c r="E454">
        <v>1130</v>
      </c>
      <c r="F454">
        <v>5506</v>
      </c>
      <c r="G454">
        <v>54</v>
      </c>
      <c r="H454">
        <v>14</v>
      </c>
      <c r="I454">
        <v>123984</v>
      </c>
      <c r="J454">
        <v>84099</v>
      </c>
      <c r="K454">
        <v>155</v>
      </c>
      <c r="L454">
        <v>453</v>
      </c>
      <c r="M454">
        <v>452</v>
      </c>
    </row>
    <row r="455" spans="1:13" hidden="1" x14ac:dyDescent="0.3">
      <c r="A455" s="1">
        <v>44148</v>
      </c>
      <c r="B455" s="2" t="s">
        <v>7</v>
      </c>
      <c r="C455">
        <v>6848</v>
      </c>
      <c r="D455">
        <v>52</v>
      </c>
      <c r="E455">
        <v>1085</v>
      </c>
      <c r="F455">
        <v>5607</v>
      </c>
      <c r="G455">
        <v>47</v>
      </c>
      <c r="H455">
        <v>14</v>
      </c>
      <c r="I455">
        <v>125968</v>
      </c>
      <c r="J455">
        <v>84520</v>
      </c>
      <c r="K455">
        <v>156</v>
      </c>
      <c r="L455">
        <v>454</v>
      </c>
      <c r="M455">
        <v>453</v>
      </c>
    </row>
    <row r="456" spans="1:13" hidden="1" x14ac:dyDescent="0.3">
      <c r="A456" s="1">
        <v>44149</v>
      </c>
      <c r="B456" s="2" t="s">
        <v>7</v>
      </c>
      <c r="C456">
        <v>6914</v>
      </c>
      <c r="D456">
        <v>63</v>
      </c>
      <c r="E456">
        <v>1041</v>
      </c>
      <c r="F456">
        <v>5715</v>
      </c>
      <c r="G456">
        <v>47</v>
      </c>
      <c r="H456">
        <v>15</v>
      </c>
      <c r="I456">
        <v>127591</v>
      </c>
      <c r="J456">
        <v>84585</v>
      </c>
      <c r="K456">
        <v>158</v>
      </c>
      <c r="L456">
        <v>455</v>
      </c>
      <c r="M456">
        <v>454</v>
      </c>
    </row>
    <row r="457" spans="1:13" hidden="1" x14ac:dyDescent="0.3">
      <c r="A457" s="1">
        <v>44150</v>
      </c>
      <c r="B457" s="2" t="s">
        <v>7</v>
      </c>
      <c r="C457">
        <v>6978</v>
      </c>
      <c r="D457">
        <v>63</v>
      </c>
      <c r="E457">
        <v>1036</v>
      </c>
      <c r="F457">
        <v>5784</v>
      </c>
      <c r="G457">
        <v>46</v>
      </c>
      <c r="H457">
        <v>17</v>
      </c>
      <c r="I457">
        <v>129446</v>
      </c>
      <c r="J457">
        <v>84644</v>
      </c>
      <c r="K457">
        <v>158</v>
      </c>
      <c r="L457">
        <v>456</v>
      </c>
      <c r="M457">
        <v>455</v>
      </c>
    </row>
    <row r="458" spans="1:13" hidden="1" x14ac:dyDescent="0.3">
      <c r="A458" s="1">
        <v>44151</v>
      </c>
      <c r="B458" s="2" t="s">
        <v>7</v>
      </c>
      <c r="C458">
        <v>7028</v>
      </c>
      <c r="D458">
        <v>41</v>
      </c>
      <c r="E458">
        <v>1036</v>
      </c>
      <c r="F458">
        <v>5834</v>
      </c>
      <c r="G458">
        <v>45</v>
      </c>
      <c r="H458">
        <v>16</v>
      </c>
      <c r="I458">
        <v>131944</v>
      </c>
      <c r="J458">
        <v>84746</v>
      </c>
      <c r="K458">
        <v>158</v>
      </c>
      <c r="L458">
        <v>457</v>
      </c>
      <c r="M458">
        <v>456</v>
      </c>
    </row>
    <row r="459" spans="1:13" hidden="1" x14ac:dyDescent="0.3">
      <c r="A459" s="1">
        <v>44152</v>
      </c>
      <c r="B459" s="2" t="s">
        <v>7</v>
      </c>
      <c r="C459">
        <v>7089</v>
      </c>
      <c r="D459">
        <v>60</v>
      </c>
      <c r="E459">
        <v>1006</v>
      </c>
      <c r="F459">
        <v>5925</v>
      </c>
      <c r="G459">
        <v>42</v>
      </c>
      <c r="H459">
        <v>15</v>
      </c>
      <c r="I459">
        <v>133582</v>
      </c>
      <c r="J459">
        <v>84900</v>
      </c>
      <c r="K459">
        <v>158</v>
      </c>
      <c r="L459">
        <v>458</v>
      </c>
      <c r="M459">
        <v>457</v>
      </c>
    </row>
    <row r="460" spans="1:13" hidden="1" x14ac:dyDescent="0.3">
      <c r="A460" s="1">
        <v>44153</v>
      </c>
      <c r="B460" s="2" t="s">
        <v>7</v>
      </c>
      <c r="C460">
        <v>7160</v>
      </c>
      <c r="D460">
        <v>67</v>
      </c>
      <c r="E460">
        <v>993</v>
      </c>
      <c r="F460">
        <v>6009</v>
      </c>
      <c r="G460">
        <v>40</v>
      </c>
      <c r="H460">
        <v>15</v>
      </c>
      <c r="I460">
        <v>134582</v>
      </c>
      <c r="J460">
        <v>85044</v>
      </c>
      <c r="K460">
        <v>158</v>
      </c>
      <c r="L460">
        <v>459</v>
      </c>
      <c r="M460">
        <v>458</v>
      </c>
    </row>
    <row r="461" spans="1:13" hidden="1" x14ac:dyDescent="0.3">
      <c r="A461" s="1">
        <v>44154</v>
      </c>
      <c r="B461" s="2" t="s">
        <v>7</v>
      </c>
      <c r="C461">
        <v>7245</v>
      </c>
      <c r="D461">
        <v>79</v>
      </c>
      <c r="E461">
        <v>1008</v>
      </c>
      <c r="F461">
        <v>6077</v>
      </c>
      <c r="G461">
        <v>39</v>
      </c>
      <c r="H461">
        <v>12</v>
      </c>
      <c r="I461">
        <v>135437</v>
      </c>
      <c r="J461">
        <v>85199</v>
      </c>
      <c r="K461">
        <v>160</v>
      </c>
      <c r="L461">
        <v>460</v>
      </c>
      <c r="M461">
        <v>459</v>
      </c>
    </row>
    <row r="462" spans="1:13" hidden="1" x14ac:dyDescent="0.3">
      <c r="A462" s="1">
        <v>44155</v>
      </c>
      <c r="B462" s="2" t="s">
        <v>7</v>
      </c>
      <c r="C462">
        <v>7323</v>
      </c>
      <c r="D462">
        <v>69</v>
      </c>
      <c r="E462">
        <v>1005</v>
      </c>
      <c r="F462">
        <v>6158</v>
      </c>
      <c r="G462">
        <v>40</v>
      </c>
      <c r="H462">
        <v>12</v>
      </c>
      <c r="I462">
        <v>136309</v>
      </c>
      <c r="J462">
        <v>85294</v>
      </c>
      <c r="K462">
        <v>160</v>
      </c>
      <c r="L462">
        <v>461</v>
      </c>
      <c r="M462">
        <v>460</v>
      </c>
    </row>
    <row r="463" spans="1:13" hidden="1" x14ac:dyDescent="0.3">
      <c r="A463" s="1">
        <v>44156</v>
      </c>
      <c r="B463" s="2" t="s">
        <v>7</v>
      </c>
      <c r="C463">
        <v>7378</v>
      </c>
      <c r="D463">
        <v>54</v>
      </c>
      <c r="E463">
        <v>975</v>
      </c>
      <c r="F463">
        <v>6242</v>
      </c>
      <c r="G463">
        <v>41</v>
      </c>
      <c r="H463">
        <v>12</v>
      </c>
      <c r="I463">
        <v>137467</v>
      </c>
      <c r="J463">
        <v>85400</v>
      </c>
      <c r="K463">
        <v>161</v>
      </c>
      <c r="L463">
        <v>462</v>
      </c>
      <c r="M463">
        <v>461</v>
      </c>
    </row>
    <row r="464" spans="1:13" hidden="1" x14ac:dyDescent="0.3">
      <c r="A464" s="1">
        <v>44157</v>
      </c>
      <c r="B464" s="2" t="s">
        <v>7</v>
      </c>
      <c r="C464">
        <v>7419</v>
      </c>
      <c r="D464">
        <v>40</v>
      </c>
      <c r="E464">
        <v>959</v>
      </c>
      <c r="F464">
        <v>6297</v>
      </c>
      <c r="G464">
        <v>43</v>
      </c>
      <c r="H464">
        <v>11</v>
      </c>
      <c r="I464">
        <v>138229</v>
      </c>
      <c r="J464">
        <v>85452</v>
      </c>
      <c r="K464">
        <v>163</v>
      </c>
      <c r="L464">
        <v>463</v>
      </c>
      <c r="M464">
        <v>462</v>
      </c>
    </row>
    <row r="465" spans="1:13" hidden="1" x14ac:dyDescent="0.3">
      <c r="A465" s="1">
        <v>44158</v>
      </c>
      <c r="B465" s="2" t="s">
        <v>7</v>
      </c>
      <c r="C465">
        <v>7479</v>
      </c>
      <c r="D465">
        <v>52</v>
      </c>
      <c r="E465">
        <v>982</v>
      </c>
      <c r="F465">
        <v>6332</v>
      </c>
      <c r="G465">
        <v>42</v>
      </c>
      <c r="H465">
        <v>10</v>
      </c>
      <c r="I465">
        <v>138744</v>
      </c>
      <c r="J465">
        <v>85583</v>
      </c>
      <c r="K465">
        <v>165</v>
      </c>
      <c r="L465">
        <v>464</v>
      </c>
      <c r="M465">
        <v>463</v>
      </c>
    </row>
    <row r="466" spans="1:13" hidden="1" x14ac:dyDescent="0.3">
      <c r="A466" s="1">
        <v>44159</v>
      </c>
      <c r="B466" s="2" t="s">
        <v>7</v>
      </c>
      <c r="C466">
        <v>7524</v>
      </c>
      <c r="D466">
        <v>44</v>
      </c>
      <c r="E466">
        <v>962</v>
      </c>
      <c r="F466">
        <v>6396</v>
      </c>
      <c r="G466">
        <v>39</v>
      </c>
      <c r="H466">
        <v>8</v>
      </c>
      <c r="I466">
        <v>139589</v>
      </c>
      <c r="J466">
        <v>85751</v>
      </c>
      <c r="K466">
        <v>166</v>
      </c>
      <c r="L466">
        <v>465</v>
      </c>
      <c r="M466">
        <v>464</v>
      </c>
    </row>
    <row r="467" spans="1:13" hidden="1" x14ac:dyDescent="0.3">
      <c r="A467" s="1">
        <v>44160</v>
      </c>
      <c r="B467" s="2" t="s">
        <v>7</v>
      </c>
      <c r="C467">
        <v>7587</v>
      </c>
      <c r="D467">
        <v>48</v>
      </c>
      <c r="E467">
        <v>948</v>
      </c>
      <c r="F467">
        <v>6473</v>
      </c>
      <c r="G467">
        <v>40</v>
      </c>
      <c r="H467">
        <v>7</v>
      </c>
      <c r="I467">
        <v>141045</v>
      </c>
      <c r="J467">
        <v>86019</v>
      </c>
      <c r="K467">
        <v>166</v>
      </c>
      <c r="L467">
        <v>466</v>
      </c>
      <c r="M467">
        <v>465</v>
      </c>
    </row>
    <row r="468" spans="1:13" hidden="1" x14ac:dyDescent="0.3">
      <c r="A468" s="1">
        <v>44161</v>
      </c>
      <c r="B468" s="2" t="s">
        <v>7</v>
      </c>
      <c r="C468">
        <v>7644</v>
      </c>
      <c r="D468">
        <v>57</v>
      </c>
      <c r="E468">
        <v>930</v>
      </c>
      <c r="F468">
        <v>6547</v>
      </c>
      <c r="G468">
        <v>34</v>
      </c>
      <c r="H468">
        <v>8</v>
      </c>
      <c r="I468">
        <v>142549</v>
      </c>
      <c r="J468">
        <v>86183</v>
      </c>
      <c r="K468">
        <v>168</v>
      </c>
      <c r="L468">
        <v>467</v>
      </c>
      <c r="M468">
        <v>466</v>
      </c>
    </row>
    <row r="469" spans="1:13" hidden="1" x14ac:dyDescent="0.3">
      <c r="A469" s="1">
        <v>44162</v>
      </c>
      <c r="B469" s="2" t="s">
        <v>7</v>
      </c>
      <c r="C469">
        <v>7693</v>
      </c>
      <c r="D469">
        <v>39</v>
      </c>
      <c r="E469">
        <v>898</v>
      </c>
      <c r="F469">
        <v>6628</v>
      </c>
      <c r="G469">
        <v>27</v>
      </c>
      <c r="H469">
        <v>8</v>
      </c>
      <c r="I469">
        <v>143576</v>
      </c>
      <c r="J469">
        <v>86357</v>
      </c>
      <c r="K469">
        <v>168</v>
      </c>
      <c r="L469">
        <v>468</v>
      </c>
      <c r="M469">
        <v>467</v>
      </c>
    </row>
    <row r="470" spans="1:13" hidden="1" x14ac:dyDescent="0.3">
      <c r="A470" s="1">
        <v>44163</v>
      </c>
      <c r="B470" s="2" t="s">
        <v>7</v>
      </c>
      <c r="C470">
        <v>7737</v>
      </c>
      <c r="D470">
        <v>42</v>
      </c>
      <c r="E470">
        <v>866</v>
      </c>
      <c r="F470">
        <v>6704</v>
      </c>
      <c r="G470">
        <v>29</v>
      </c>
      <c r="H470">
        <v>6</v>
      </c>
      <c r="I470">
        <v>144459</v>
      </c>
      <c r="J470">
        <v>86426</v>
      </c>
      <c r="K470">
        <v>168</v>
      </c>
      <c r="L470">
        <v>469</v>
      </c>
      <c r="M470">
        <v>468</v>
      </c>
    </row>
    <row r="471" spans="1:13" hidden="1" x14ac:dyDescent="0.3">
      <c r="A471" s="1">
        <v>44164</v>
      </c>
      <c r="B471" s="2" t="s">
        <v>7</v>
      </c>
      <c r="C471">
        <v>7763</v>
      </c>
      <c r="D471">
        <v>23</v>
      </c>
      <c r="E471">
        <v>860</v>
      </c>
      <c r="F471">
        <v>6736</v>
      </c>
      <c r="G471">
        <v>31</v>
      </c>
      <c r="H471">
        <v>6</v>
      </c>
      <c r="I471">
        <v>145101</v>
      </c>
      <c r="J471">
        <v>86490</v>
      </c>
      <c r="K471">
        <v>168</v>
      </c>
      <c r="L471">
        <v>470</v>
      </c>
      <c r="M471">
        <v>469</v>
      </c>
    </row>
    <row r="472" spans="1:13" hidden="1" x14ac:dyDescent="0.3">
      <c r="A472" s="1">
        <v>44165</v>
      </c>
      <c r="B472" s="2" t="s">
        <v>7</v>
      </c>
      <c r="C472">
        <v>7799</v>
      </c>
      <c r="D472">
        <v>25</v>
      </c>
      <c r="E472">
        <v>845</v>
      </c>
      <c r="F472">
        <v>6787</v>
      </c>
      <c r="G472">
        <v>32</v>
      </c>
      <c r="H472">
        <v>7</v>
      </c>
      <c r="I472">
        <v>145719</v>
      </c>
      <c r="J472">
        <v>86630</v>
      </c>
      <c r="K472">
        <v>168</v>
      </c>
      <c r="L472">
        <v>471</v>
      </c>
      <c r="M472">
        <v>470</v>
      </c>
    </row>
    <row r="473" spans="1:13" hidden="1" x14ac:dyDescent="0.3">
      <c r="A473" s="1">
        <v>44166</v>
      </c>
      <c r="B473" s="2" t="s">
        <v>7</v>
      </c>
      <c r="C473">
        <v>7857</v>
      </c>
      <c r="D473">
        <v>37</v>
      </c>
      <c r="E473">
        <v>834</v>
      </c>
      <c r="F473">
        <v>6856</v>
      </c>
      <c r="G473">
        <v>33</v>
      </c>
      <c r="H473">
        <v>5</v>
      </c>
      <c r="I473">
        <v>146679</v>
      </c>
      <c r="J473">
        <v>86876</v>
      </c>
      <c r="K473">
        <v>168</v>
      </c>
      <c r="L473">
        <v>472</v>
      </c>
      <c r="M473">
        <v>471</v>
      </c>
    </row>
    <row r="474" spans="1:13" hidden="1" x14ac:dyDescent="0.3">
      <c r="A474" s="1">
        <v>44167</v>
      </c>
      <c r="B474" s="2" t="s">
        <v>7</v>
      </c>
      <c r="C474">
        <v>7924</v>
      </c>
      <c r="D474">
        <v>55</v>
      </c>
      <c r="E474">
        <v>825</v>
      </c>
      <c r="F474">
        <v>6932</v>
      </c>
      <c r="G474">
        <v>37</v>
      </c>
      <c r="H474">
        <v>4</v>
      </c>
      <c r="I474">
        <v>147649</v>
      </c>
      <c r="J474">
        <v>87113</v>
      </c>
      <c r="K474">
        <v>168</v>
      </c>
      <c r="L474">
        <v>473</v>
      </c>
      <c r="M474">
        <v>472</v>
      </c>
    </row>
    <row r="475" spans="1:13" hidden="1" x14ac:dyDescent="0.3">
      <c r="A475" s="1">
        <v>44168</v>
      </c>
      <c r="B475" s="2" t="s">
        <v>7</v>
      </c>
      <c r="C475">
        <v>7991</v>
      </c>
      <c r="D475">
        <v>46</v>
      </c>
      <c r="E475">
        <v>821</v>
      </c>
      <c r="F475">
        <v>7002</v>
      </c>
      <c r="G475">
        <v>40</v>
      </c>
      <c r="H475">
        <v>4</v>
      </c>
      <c r="I475">
        <v>148351</v>
      </c>
      <c r="J475">
        <v>87408</v>
      </c>
      <c r="K475">
        <v>169</v>
      </c>
      <c r="L475">
        <v>474</v>
      </c>
      <c r="M475">
        <v>473</v>
      </c>
    </row>
    <row r="476" spans="1:13" hidden="1" x14ac:dyDescent="0.3">
      <c r="A476" s="1">
        <v>44169</v>
      </c>
      <c r="B476" s="2" t="s">
        <v>7</v>
      </c>
      <c r="C476">
        <v>8052</v>
      </c>
      <c r="D476">
        <v>45</v>
      </c>
      <c r="E476">
        <v>807</v>
      </c>
      <c r="F476">
        <v>7076</v>
      </c>
      <c r="G476">
        <v>36</v>
      </c>
      <c r="H476">
        <v>6</v>
      </c>
      <c r="I476">
        <v>149227</v>
      </c>
      <c r="J476">
        <v>87756</v>
      </c>
      <c r="K476">
        <v>170</v>
      </c>
      <c r="L476">
        <v>475</v>
      </c>
      <c r="M476">
        <v>474</v>
      </c>
    </row>
    <row r="477" spans="1:13" hidden="1" x14ac:dyDescent="0.3">
      <c r="A477" s="1">
        <v>44170</v>
      </c>
      <c r="B477" s="2" t="s">
        <v>7</v>
      </c>
      <c r="C477">
        <v>8104</v>
      </c>
      <c r="D477">
        <v>45</v>
      </c>
      <c r="E477">
        <v>784</v>
      </c>
      <c r="F477">
        <v>7151</v>
      </c>
      <c r="G477">
        <v>43</v>
      </c>
      <c r="H477">
        <v>6</v>
      </c>
      <c r="I477">
        <v>150645</v>
      </c>
      <c r="J477">
        <v>87849</v>
      </c>
      <c r="K477">
        <v>170</v>
      </c>
      <c r="L477">
        <v>476</v>
      </c>
      <c r="M477">
        <v>475</v>
      </c>
    </row>
    <row r="478" spans="1:13" hidden="1" x14ac:dyDescent="0.3">
      <c r="A478" s="1">
        <v>44171</v>
      </c>
      <c r="B478" s="2" t="s">
        <v>7</v>
      </c>
      <c r="C478">
        <v>8151</v>
      </c>
      <c r="D478">
        <v>43</v>
      </c>
      <c r="E478">
        <v>795</v>
      </c>
      <c r="F478">
        <v>7187</v>
      </c>
      <c r="G478">
        <v>45</v>
      </c>
      <c r="H478">
        <v>6</v>
      </c>
      <c r="I478">
        <v>151823</v>
      </c>
      <c r="J478">
        <v>87906</v>
      </c>
      <c r="K478">
        <v>170</v>
      </c>
      <c r="L478">
        <v>477</v>
      </c>
      <c r="M478">
        <v>476</v>
      </c>
    </row>
    <row r="479" spans="1:13" hidden="1" x14ac:dyDescent="0.3">
      <c r="A479" s="1">
        <v>44172</v>
      </c>
      <c r="B479" s="2" t="s">
        <v>7</v>
      </c>
      <c r="C479">
        <v>8216</v>
      </c>
      <c r="D479">
        <v>54</v>
      </c>
      <c r="E479">
        <v>783</v>
      </c>
      <c r="F479">
        <v>7264</v>
      </c>
      <c r="G479">
        <v>51</v>
      </c>
      <c r="H479">
        <v>6</v>
      </c>
      <c r="I479">
        <v>153607</v>
      </c>
      <c r="J479">
        <v>88087</v>
      </c>
      <c r="K479">
        <v>170</v>
      </c>
      <c r="L479">
        <v>478</v>
      </c>
      <c r="M479">
        <v>477</v>
      </c>
    </row>
    <row r="480" spans="1:13" hidden="1" x14ac:dyDescent="0.3">
      <c r="A480" s="1">
        <v>44173</v>
      </c>
      <c r="B480" s="2" t="s">
        <v>7</v>
      </c>
      <c r="C480">
        <v>8269</v>
      </c>
      <c r="D480">
        <v>50</v>
      </c>
      <c r="E480">
        <v>785</v>
      </c>
      <c r="F480">
        <v>7313</v>
      </c>
      <c r="G480">
        <v>52</v>
      </c>
      <c r="H480">
        <v>6</v>
      </c>
      <c r="I480">
        <v>154486</v>
      </c>
      <c r="J480">
        <v>88185</v>
      </c>
      <c r="K480">
        <v>172</v>
      </c>
      <c r="L480">
        <v>479</v>
      </c>
      <c r="M480">
        <v>478</v>
      </c>
    </row>
    <row r="481" spans="1:13" hidden="1" x14ac:dyDescent="0.3">
      <c r="A481" s="1">
        <v>44174</v>
      </c>
      <c r="B481" s="2" t="s">
        <v>7</v>
      </c>
      <c r="C481">
        <v>8346</v>
      </c>
      <c r="D481">
        <v>65</v>
      </c>
      <c r="E481">
        <v>817</v>
      </c>
      <c r="F481">
        <v>7358</v>
      </c>
      <c r="G481">
        <v>53</v>
      </c>
      <c r="H481">
        <v>6</v>
      </c>
      <c r="I481">
        <v>156448</v>
      </c>
      <c r="J481">
        <v>88354</v>
      </c>
      <c r="K481">
        <v>172</v>
      </c>
      <c r="L481">
        <v>480</v>
      </c>
      <c r="M481">
        <v>479</v>
      </c>
    </row>
    <row r="482" spans="1:13" hidden="1" x14ac:dyDescent="0.3">
      <c r="A482" s="1">
        <v>44175</v>
      </c>
      <c r="B482" s="2" t="s">
        <v>7</v>
      </c>
      <c r="C482">
        <v>8412</v>
      </c>
      <c r="D482">
        <v>47</v>
      </c>
      <c r="E482">
        <v>824</v>
      </c>
      <c r="F482">
        <v>7416</v>
      </c>
      <c r="G482">
        <v>52</v>
      </c>
      <c r="H482">
        <v>7</v>
      </c>
      <c r="I482">
        <v>157288</v>
      </c>
      <c r="J482">
        <v>88546</v>
      </c>
      <c r="K482">
        <v>173</v>
      </c>
      <c r="L482">
        <v>481</v>
      </c>
      <c r="M482">
        <v>480</v>
      </c>
    </row>
    <row r="483" spans="1:13" hidden="1" x14ac:dyDescent="0.3">
      <c r="A483" s="1">
        <v>44176</v>
      </c>
      <c r="B483" s="2" t="s">
        <v>7</v>
      </c>
      <c r="C483">
        <v>8503</v>
      </c>
      <c r="D483">
        <v>72</v>
      </c>
      <c r="E483">
        <v>852</v>
      </c>
      <c r="F483">
        <v>7479</v>
      </c>
      <c r="G483">
        <v>50</v>
      </c>
      <c r="H483">
        <v>11</v>
      </c>
      <c r="I483">
        <v>158434</v>
      </c>
      <c r="J483">
        <v>88803</v>
      </c>
      <c r="K483">
        <v>174</v>
      </c>
      <c r="L483">
        <v>482</v>
      </c>
      <c r="M483">
        <v>481</v>
      </c>
    </row>
    <row r="484" spans="1:13" hidden="1" x14ac:dyDescent="0.3">
      <c r="A484" s="1">
        <v>44177</v>
      </c>
      <c r="B484" s="2" t="s">
        <v>7</v>
      </c>
      <c r="C484">
        <v>8599</v>
      </c>
      <c r="D484">
        <v>73</v>
      </c>
      <c r="E484">
        <v>905</v>
      </c>
      <c r="F484">
        <v>7522</v>
      </c>
      <c r="G484">
        <v>56</v>
      </c>
      <c r="H484">
        <v>10</v>
      </c>
      <c r="I484">
        <v>159813</v>
      </c>
      <c r="J484">
        <v>88948</v>
      </c>
      <c r="K484">
        <v>174</v>
      </c>
      <c r="L484">
        <v>483</v>
      </c>
      <c r="M484">
        <v>482</v>
      </c>
    </row>
    <row r="485" spans="1:13" hidden="1" x14ac:dyDescent="0.3">
      <c r="A485" s="1">
        <v>44178</v>
      </c>
      <c r="B485" s="2" t="s">
        <v>7</v>
      </c>
      <c r="C485">
        <v>8687</v>
      </c>
      <c r="D485">
        <v>70</v>
      </c>
      <c r="E485">
        <v>952</v>
      </c>
      <c r="F485">
        <v>7563</v>
      </c>
      <c r="G485">
        <v>62</v>
      </c>
      <c r="H485">
        <v>11</v>
      </c>
      <c r="I485">
        <v>161945</v>
      </c>
      <c r="J485">
        <v>89063</v>
      </c>
      <c r="K485">
        <v>174</v>
      </c>
      <c r="L485">
        <v>484</v>
      </c>
      <c r="M485">
        <v>483</v>
      </c>
    </row>
    <row r="486" spans="1:13" hidden="1" x14ac:dyDescent="0.3">
      <c r="A486" s="1">
        <v>44179</v>
      </c>
      <c r="B486" s="2" t="s">
        <v>7</v>
      </c>
      <c r="C486">
        <v>8765</v>
      </c>
      <c r="D486">
        <v>56</v>
      </c>
      <c r="E486">
        <v>1005</v>
      </c>
      <c r="F486">
        <v>7587</v>
      </c>
      <c r="G486">
        <v>67</v>
      </c>
      <c r="H486">
        <v>8</v>
      </c>
      <c r="I486">
        <v>163782</v>
      </c>
      <c r="J486">
        <v>89305</v>
      </c>
      <c r="K486">
        <v>175</v>
      </c>
      <c r="L486">
        <v>485</v>
      </c>
      <c r="M486">
        <v>484</v>
      </c>
    </row>
    <row r="487" spans="1:13" hidden="1" x14ac:dyDescent="0.3">
      <c r="A487" s="1">
        <v>44180</v>
      </c>
      <c r="B487" s="2" t="s">
        <v>7</v>
      </c>
      <c r="C487">
        <v>8883</v>
      </c>
      <c r="D487">
        <v>101</v>
      </c>
      <c r="E487">
        <v>1054</v>
      </c>
      <c r="F487">
        <v>7656</v>
      </c>
      <c r="G487">
        <v>64</v>
      </c>
      <c r="H487">
        <v>7</v>
      </c>
      <c r="I487">
        <v>166335</v>
      </c>
      <c r="J487">
        <v>89538</v>
      </c>
      <c r="K487">
        <v>175</v>
      </c>
      <c r="L487">
        <v>486</v>
      </c>
      <c r="M487">
        <v>485</v>
      </c>
    </row>
    <row r="488" spans="1:13" hidden="1" x14ac:dyDescent="0.3">
      <c r="A488" s="1">
        <v>44181</v>
      </c>
      <c r="B488" s="2" t="s">
        <v>7</v>
      </c>
      <c r="C488">
        <v>8993</v>
      </c>
      <c r="D488">
        <v>91</v>
      </c>
      <c r="E488">
        <v>1100</v>
      </c>
      <c r="F488">
        <v>7719</v>
      </c>
      <c r="G488">
        <v>62</v>
      </c>
      <c r="H488">
        <v>6</v>
      </c>
      <c r="I488">
        <v>168336</v>
      </c>
      <c r="J488">
        <v>89774</v>
      </c>
      <c r="K488">
        <v>175</v>
      </c>
      <c r="L488">
        <v>487</v>
      </c>
      <c r="M488">
        <v>486</v>
      </c>
    </row>
    <row r="489" spans="1:13" hidden="1" x14ac:dyDescent="0.3">
      <c r="A489" s="1">
        <v>44182</v>
      </c>
      <c r="B489" s="2" t="s">
        <v>7</v>
      </c>
      <c r="C489">
        <v>9097</v>
      </c>
      <c r="D489">
        <v>84</v>
      </c>
      <c r="E489">
        <v>1144</v>
      </c>
      <c r="F489">
        <v>7779</v>
      </c>
      <c r="G489">
        <v>63</v>
      </c>
      <c r="H489">
        <v>6</v>
      </c>
      <c r="I489">
        <v>169789</v>
      </c>
      <c r="J489">
        <v>90000</v>
      </c>
      <c r="K489">
        <v>176</v>
      </c>
      <c r="L489">
        <v>488</v>
      </c>
      <c r="M489">
        <v>487</v>
      </c>
    </row>
    <row r="490" spans="1:13" hidden="1" x14ac:dyDescent="0.3">
      <c r="A490" s="1">
        <v>44183</v>
      </c>
      <c r="B490" s="2" t="s">
        <v>7</v>
      </c>
      <c r="C490">
        <v>9198</v>
      </c>
      <c r="D490">
        <v>74</v>
      </c>
      <c r="E490">
        <v>1195</v>
      </c>
      <c r="F490">
        <v>7829</v>
      </c>
      <c r="G490">
        <v>66</v>
      </c>
      <c r="H490">
        <v>6</v>
      </c>
      <c r="I490">
        <v>171809</v>
      </c>
      <c r="J490">
        <v>90232</v>
      </c>
      <c r="K490">
        <v>176</v>
      </c>
      <c r="L490">
        <v>489</v>
      </c>
      <c r="M490">
        <v>488</v>
      </c>
    </row>
    <row r="491" spans="1:13" hidden="1" x14ac:dyDescent="0.3">
      <c r="A491" s="1">
        <v>44184</v>
      </c>
      <c r="B491" s="2" t="s">
        <v>7</v>
      </c>
      <c r="C491">
        <v>9279</v>
      </c>
      <c r="D491">
        <v>77</v>
      </c>
      <c r="E491">
        <v>1216</v>
      </c>
      <c r="F491">
        <v>7889</v>
      </c>
      <c r="G491">
        <v>73</v>
      </c>
      <c r="H491">
        <v>5</v>
      </c>
      <c r="I491">
        <v>173432</v>
      </c>
      <c r="J491">
        <v>90351</v>
      </c>
      <c r="K491">
        <v>176</v>
      </c>
      <c r="L491">
        <v>490</v>
      </c>
      <c r="M491">
        <v>489</v>
      </c>
    </row>
    <row r="492" spans="1:13" hidden="1" x14ac:dyDescent="0.3">
      <c r="A492" s="1">
        <v>44185</v>
      </c>
      <c r="B492" s="2" t="s">
        <v>7</v>
      </c>
      <c r="C492">
        <v>9343</v>
      </c>
      <c r="D492">
        <v>61</v>
      </c>
      <c r="E492">
        <v>1235</v>
      </c>
      <c r="F492">
        <v>7933</v>
      </c>
      <c r="G492">
        <v>76</v>
      </c>
      <c r="H492">
        <v>6</v>
      </c>
      <c r="I492">
        <v>175129</v>
      </c>
      <c r="J492">
        <v>90451</v>
      </c>
      <c r="K492">
        <v>177</v>
      </c>
      <c r="L492">
        <v>491</v>
      </c>
      <c r="M492">
        <v>490</v>
      </c>
    </row>
    <row r="493" spans="1:13" hidden="1" x14ac:dyDescent="0.3">
      <c r="A493" s="1">
        <v>44186</v>
      </c>
      <c r="B493" s="2" t="s">
        <v>7</v>
      </c>
      <c r="C493">
        <v>9398</v>
      </c>
      <c r="D493">
        <v>42</v>
      </c>
      <c r="E493">
        <v>1248</v>
      </c>
      <c r="F493">
        <v>7975</v>
      </c>
      <c r="G493">
        <v>73</v>
      </c>
      <c r="H493">
        <v>7</v>
      </c>
      <c r="I493">
        <v>176863</v>
      </c>
      <c r="J493">
        <v>90648</v>
      </c>
      <c r="K493">
        <v>177</v>
      </c>
      <c r="L493">
        <v>492</v>
      </c>
      <c r="M493">
        <v>491</v>
      </c>
    </row>
    <row r="494" spans="1:13" hidden="1" x14ac:dyDescent="0.3">
      <c r="A494" s="1">
        <v>44187</v>
      </c>
      <c r="B494" s="2" t="s">
        <v>7</v>
      </c>
      <c r="C494">
        <v>9478</v>
      </c>
      <c r="D494">
        <v>61</v>
      </c>
      <c r="E494">
        <v>1270</v>
      </c>
      <c r="F494">
        <v>8031</v>
      </c>
      <c r="G494">
        <v>76</v>
      </c>
      <c r="H494">
        <v>5</v>
      </c>
      <c r="I494">
        <v>178364</v>
      </c>
      <c r="J494">
        <v>90898</v>
      </c>
      <c r="K494">
        <v>179</v>
      </c>
      <c r="L494">
        <v>493</v>
      </c>
      <c r="M494">
        <v>492</v>
      </c>
    </row>
    <row r="495" spans="1:13" hidden="1" x14ac:dyDescent="0.3">
      <c r="A495" s="1">
        <v>44188</v>
      </c>
      <c r="B495" s="2" t="s">
        <v>7</v>
      </c>
      <c r="C495">
        <v>9592</v>
      </c>
      <c r="D495">
        <v>103</v>
      </c>
      <c r="E495">
        <v>1321</v>
      </c>
      <c r="F495">
        <v>8094</v>
      </c>
      <c r="G495">
        <v>70</v>
      </c>
      <c r="H495">
        <v>6</v>
      </c>
      <c r="I495">
        <v>179948</v>
      </c>
      <c r="J495">
        <v>91144</v>
      </c>
      <c r="K495">
        <v>179</v>
      </c>
      <c r="L495">
        <v>494</v>
      </c>
      <c r="M495">
        <v>493</v>
      </c>
    </row>
    <row r="496" spans="1:13" hidden="1" x14ac:dyDescent="0.3">
      <c r="A496" s="1">
        <v>44189</v>
      </c>
      <c r="B496" s="2" t="s">
        <v>7</v>
      </c>
      <c r="C496">
        <v>9670</v>
      </c>
      <c r="D496">
        <v>63</v>
      </c>
      <c r="E496">
        <v>1323</v>
      </c>
      <c r="F496">
        <v>8170</v>
      </c>
      <c r="G496">
        <v>63</v>
      </c>
      <c r="H496">
        <v>7</v>
      </c>
      <c r="I496">
        <v>182331</v>
      </c>
      <c r="J496">
        <v>91366</v>
      </c>
      <c r="K496">
        <v>179</v>
      </c>
      <c r="L496">
        <v>495</v>
      </c>
      <c r="M496">
        <v>494</v>
      </c>
    </row>
    <row r="497" spans="1:13" hidden="1" x14ac:dyDescent="0.3">
      <c r="A497" s="1">
        <v>44190</v>
      </c>
      <c r="B497" s="2" t="s">
        <v>7</v>
      </c>
      <c r="C497">
        <v>9769</v>
      </c>
      <c r="D497">
        <v>96</v>
      </c>
      <c r="E497">
        <v>1355</v>
      </c>
      <c r="F497">
        <v>8234</v>
      </c>
      <c r="G497">
        <v>65</v>
      </c>
      <c r="H497">
        <v>7</v>
      </c>
      <c r="I497">
        <v>184272</v>
      </c>
      <c r="J497">
        <v>91457</v>
      </c>
      <c r="K497">
        <v>182</v>
      </c>
      <c r="L497">
        <v>496</v>
      </c>
      <c r="M497">
        <v>495</v>
      </c>
    </row>
    <row r="498" spans="1:13" hidden="1" x14ac:dyDescent="0.3">
      <c r="A498" s="1">
        <v>44191</v>
      </c>
      <c r="B498" s="2" t="s">
        <v>7</v>
      </c>
      <c r="C498">
        <v>9848</v>
      </c>
      <c r="D498">
        <v>68</v>
      </c>
      <c r="E498">
        <v>1352</v>
      </c>
      <c r="F498">
        <v>8314</v>
      </c>
      <c r="G498">
        <v>69</v>
      </c>
      <c r="H498">
        <v>7</v>
      </c>
      <c r="I498">
        <v>184920</v>
      </c>
      <c r="J498">
        <v>91549</v>
      </c>
      <c r="K498">
        <v>184</v>
      </c>
      <c r="L498">
        <v>497</v>
      </c>
      <c r="M498">
        <v>496</v>
      </c>
    </row>
    <row r="499" spans="1:13" hidden="1" x14ac:dyDescent="0.3">
      <c r="A499" s="1">
        <v>44192</v>
      </c>
      <c r="B499" s="2" t="s">
        <v>7</v>
      </c>
      <c r="C499">
        <v>9924</v>
      </c>
      <c r="D499">
        <v>70</v>
      </c>
      <c r="E499">
        <v>1347</v>
      </c>
      <c r="F499">
        <v>8395</v>
      </c>
      <c r="G499">
        <v>71</v>
      </c>
      <c r="H499">
        <v>7</v>
      </c>
      <c r="I499">
        <v>185800</v>
      </c>
      <c r="J499">
        <v>91655</v>
      </c>
      <c r="K499">
        <v>184</v>
      </c>
      <c r="L499">
        <v>498</v>
      </c>
      <c r="M499">
        <v>497</v>
      </c>
    </row>
    <row r="500" spans="1:13" hidden="1" x14ac:dyDescent="0.3">
      <c r="A500" s="1">
        <v>44193</v>
      </c>
      <c r="B500" s="2" t="s">
        <v>7</v>
      </c>
      <c r="C500">
        <v>9996</v>
      </c>
      <c r="D500">
        <v>54</v>
      </c>
      <c r="E500">
        <v>1336</v>
      </c>
      <c r="F500">
        <v>8474</v>
      </c>
      <c r="G500">
        <v>74</v>
      </c>
      <c r="H500">
        <v>5</v>
      </c>
      <c r="I500">
        <v>186535</v>
      </c>
      <c r="J500">
        <v>91849</v>
      </c>
      <c r="K500">
        <v>188</v>
      </c>
      <c r="L500">
        <v>499</v>
      </c>
      <c r="M500">
        <v>498</v>
      </c>
    </row>
    <row r="501" spans="1:13" hidden="1" x14ac:dyDescent="0.3">
      <c r="A501" s="1">
        <v>44194</v>
      </c>
      <c r="B501" s="2" t="s">
        <v>7</v>
      </c>
      <c r="C501">
        <v>10117</v>
      </c>
      <c r="D501">
        <v>103</v>
      </c>
      <c r="E501">
        <v>1373</v>
      </c>
      <c r="F501">
        <v>8557</v>
      </c>
      <c r="G501">
        <v>65</v>
      </c>
      <c r="H501">
        <v>7</v>
      </c>
      <c r="I501">
        <v>187694</v>
      </c>
      <c r="J501">
        <v>92122</v>
      </c>
      <c r="K501">
        <v>189</v>
      </c>
      <c r="L501">
        <v>500</v>
      </c>
      <c r="M501">
        <v>499</v>
      </c>
    </row>
    <row r="502" spans="1:13" hidden="1" x14ac:dyDescent="0.3">
      <c r="A502" s="1">
        <v>44195</v>
      </c>
      <c r="B502" s="2" t="s">
        <v>7</v>
      </c>
      <c r="C502">
        <v>10232</v>
      </c>
      <c r="D502">
        <v>89</v>
      </c>
      <c r="E502">
        <v>1369</v>
      </c>
      <c r="F502">
        <v>8674</v>
      </c>
      <c r="G502">
        <v>69</v>
      </c>
      <c r="H502">
        <v>7</v>
      </c>
      <c r="I502">
        <v>188719</v>
      </c>
      <c r="J502">
        <v>92370</v>
      </c>
      <c r="K502">
        <v>191</v>
      </c>
      <c r="L502">
        <v>501</v>
      </c>
      <c r="M502">
        <v>500</v>
      </c>
    </row>
    <row r="503" spans="1:13" hidden="1" x14ac:dyDescent="0.3">
      <c r="A503" s="1">
        <v>44196</v>
      </c>
      <c r="B503" s="2" t="s">
        <v>7</v>
      </c>
      <c r="C503">
        <v>10335</v>
      </c>
      <c r="D503">
        <v>83</v>
      </c>
      <c r="E503">
        <v>1346</v>
      </c>
      <c r="F503">
        <v>8798</v>
      </c>
      <c r="G503">
        <v>75</v>
      </c>
      <c r="H503">
        <v>8</v>
      </c>
      <c r="I503">
        <v>190051</v>
      </c>
      <c r="J503">
        <v>92624</v>
      </c>
      <c r="K503">
        <v>193</v>
      </c>
      <c r="L503">
        <v>502</v>
      </c>
      <c r="M503">
        <v>501</v>
      </c>
    </row>
    <row r="504" spans="1:13" hidden="1" x14ac:dyDescent="0.3">
      <c r="A504" s="1">
        <v>44197</v>
      </c>
      <c r="B504" s="2" t="s">
        <v>7</v>
      </c>
      <c r="C504">
        <v>10457</v>
      </c>
      <c r="D504">
        <v>115</v>
      </c>
      <c r="E504">
        <v>1356</v>
      </c>
      <c r="F504">
        <v>8910</v>
      </c>
      <c r="G504">
        <v>79</v>
      </c>
      <c r="H504">
        <v>8</v>
      </c>
      <c r="I504">
        <v>190999</v>
      </c>
      <c r="J504">
        <v>92720</v>
      </c>
      <c r="K504">
        <v>193</v>
      </c>
      <c r="L504">
        <v>503</v>
      </c>
      <c r="M504">
        <v>502</v>
      </c>
    </row>
    <row r="505" spans="1:13" hidden="1" x14ac:dyDescent="0.3">
      <c r="A505" s="1">
        <v>44198</v>
      </c>
      <c r="B505" s="2" t="s">
        <v>7</v>
      </c>
      <c r="C505">
        <v>10523</v>
      </c>
      <c r="D505">
        <v>57</v>
      </c>
      <c r="E505">
        <v>1332</v>
      </c>
      <c r="F505">
        <v>8996</v>
      </c>
      <c r="G505">
        <v>76</v>
      </c>
      <c r="H505">
        <v>11</v>
      </c>
      <c r="I505">
        <v>191595</v>
      </c>
      <c r="J505">
        <v>92859</v>
      </c>
      <c r="K505">
        <v>197</v>
      </c>
      <c r="L505">
        <v>504</v>
      </c>
      <c r="M505">
        <v>503</v>
      </c>
    </row>
    <row r="506" spans="1:13" hidden="1" x14ac:dyDescent="0.3">
      <c r="A506" s="1">
        <v>44199</v>
      </c>
      <c r="B506" s="2" t="s">
        <v>7</v>
      </c>
      <c r="C506">
        <v>10576</v>
      </c>
      <c r="D506">
        <v>43</v>
      </c>
      <c r="E506">
        <v>1327</v>
      </c>
      <c r="F506">
        <v>9051</v>
      </c>
      <c r="G506">
        <v>74</v>
      </c>
      <c r="H506">
        <v>12</v>
      </c>
      <c r="I506">
        <v>192423</v>
      </c>
      <c r="J506">
        <v>93010</v>
      </c>
      <c r="K506">
        <v>200</v>
      </c>
      <c r="L506">
        <v>505</v>
      </c>
      <c r="M506">
        <v>504</v>
      </c>
    </row>
    <row r="507" spans="1:13" hidden="1" x14ac:dyDescent="0.3">
      <c r="A507" s="1">
        <v>44200</v>
      </c>
      <c r="B507" s="2" t="s">
        <v>7</v>
      </c>
      <c r="C507">
        <v>10636</v>
      </c>
      <c r="D507">
        <v>37</v>
      </c>
      <c r="E507">
        <v>1336</v>
      </c>
      <c r="F507">
        <v>9102</v>
      </c>
      <c r="G507">
        <v>80</v>
      </c>
      <c r="H507">
        <v>13</v>
      </c>
      <c r="I507">
        <v>193006</v>
      </c>
      <c r="J507">
        <v>93241</v>
      </c>
      <c r="K507">
        <v>200</v>
      </c>
      <c r="L507">
        <v>506</v>
      </c>
      <c r="M507">
        <v>505</v>
      </c>
    </row>
    <row r="508" spans="1:13" hidden="1" x14ac:dyDescent="0.3">
      <c r="A508" s="1">
        <v>44201</v>
      </c>
      <c r="B508" s="2" t="s">
        <v>7</v>
      </c>
      <c r="C508">
        <v>10792</v>
      </c>
      <c r="D508">
        <v>133</v>
      </c>
      <c r="E508">
        <v>1442</v>
      </c>
      <c r="F508">
        <v>9151</v>
      </c>
      <c r="G508">
        <v>83</v>
      </c>
      <c r="H508">
        <v>13</v>
      </c>
      <c r="I508">
        <v>194985</v>
      </c>
      <c r="J508">
        <v>93535</v>
      </c>
      <c r="K508">
        <v>201</v>
      </c>
      <c r="L508">
        <v>507</v>
      </c>
      <c r="M508">
        <v>506</v>
      </c>
    </row>
    <row r="509" spans="1:13" hidden="1" x14ac:dyDescent="0.3">
      <c r="A509" s="1">
        <v>44202</v>
      </c>
      <c r="B509" s="2" t="s">
        <v>7</v>
      </c>
      <c r="C509">
        <v>10898</v>
      </c>
      <c r="D509">
        <v>93</v>
      </c>
      <c r="E509">
        <v>1453</v>
      </c>
      <c r="F509">
        <v>9245</v>
      </c>
      <c r="G509">
        <v>91</v>
      </c>
      <c r="H509">
        <v>9</v>
      </c>
      <c r="I509">
        <v>197078</v>
      </c>
      <c r="J509">
        <v>93644</v>
      </c>
      <c r="K509">
        <v>202</v>
      </c>
      <c r="L509">
        <v>508</v>
      </c>
      <c r="M509">
        <v>507</v>
      </c>
    </row>
    <row r="510" spans="1:13" hidden="1" x14ac:dyDescent="0.3">
      <c r="A510" s="1">
        <v>44203</v>
      </c>
      <c r="B510" s="2" t="s">
        <v>7</v>
      </c>
      <c r="C510">
        <v>11077</v>
      </c>
      <c r="D510">
        <v>139</v>
      </c>
      <c r="E510">
        <v>1517</v>
      </c>
      <c r="F510">
        <v>9360</v>
      </c>
      <c r="G510">
        <v>92</v>
      </c>
      <c r="H510">
        <v>9</v>
      </c>
      <c r="I510">
        <v>199738</v>
      </c>
      <c r="J510">
        <v>93851</v>
      </c>
      <c r="K510">
        <v>202</v>
      </c>
      <c r="L510">
        <v>509</v>
      </c>
      <c r="M510">
        <v>508</v>
      </c>
    </row>
    <row r="511" spans="1:13" hidden="1" x14ac:dyDescent="0.3">
      <c r="A511" s="1">
        <v>44204</v>
      </c>
      <c r="B511" s="2" t="s">
        <v>7</v>
      </c>
      <c r="C511">
        <v>11280</v>
      </c>
      <c r="D511">
        <v>169</v>
      </c>
      <c r="E511">
        <v>1650</v>
      </c>
      <c r="F511">
        <v>9430</v>
      </c>
      <c r="G511">
        <v>94</v>
      </c>
      <c r="H511">
        <v>8</v>
      </c>
      <c r="I511">
        <v>201981</v>
      </c>
      <c r="J511">
        <v>94266</v>
      </c>
      <c r="K511">
        <v>202</v>
      </c>
      <c r="L511">
        <v>510</v>
      </c>
      <c r="M511">
        <v>509</v>
      </c>
    </row>
    <row r="512" spans="1:13" hidden="1" x14ac:dyDescent="0.3">
      <c r="A512" s="1">
        <v>44205</v>
      </c>
      <c r="B512" s="2" t="s">
        <v>7</v>
      </c>
      <c r="C512">
        <v>11378</v>
      </c>
      <c r="D512">
        <v>88</v>
      </c>
      <c r="E512">
        <v>1642</v>
      </c>
      <c r="F512">
        <v>9536</v>
      </c>
      <c r="G512">
        <v>98</v>
      </c>
      <c r="H512">
        <v>7</v>
      </c>
      <c r="I512">
        <v>204277</v>
      </c>
      <c r="J512">
        <v>94457</v>
      </c>
      <c r="K512">
        <v>202</v>
      </c>
      <c r="L512">
        <v>511</v>
      </c>
      <c r="M512">
        <v>510</v>
      </c>
    </row>
    <row r="513" spans="1:13" hidden="1" x14ac:dyDescent="0.3">
      <c r="A513" s="1">
        <v>44206</v>
      </c>
      <c r="B513" s="2" t="s">
        <v>7</v>
      </c>
      <c r="C513">
        <v>11477</v>
      </c>
      <c r="D513">
        <v>74</v>
      </c>
      <c r="E513">
        <v>1679</v>
      </c>
      <c r="F513">
        <v>9596</v>
      </c>
      <c r="G513">
        <v>101</v>
      </c>
      <c r="H513">
        <v>8</v>
      </c>
      <c r="I513">
        <v>206256</v>
      </c>
      <c r="J513">
        <v>94568</v>
      </c>
      <c r="K513">
        <v>204</v>
      </c>
      <c r="L513">
        <v>512</v>
      </c>
      <c r="M513">
        <v>511</v>
      </c>
    </row>
    <row r="514" spans="1:13" hidden="1" x14ac:dyDescent="0.3">
      <c r="A514" s="1">
        <v>44207</v>
      </c>
      <c r="B514" s="2" t="s">
        <v>7</v>
      </c>
      <c r="C514">
        <v>11677</v>
      </c>
      <c r="D514">
        <v>171</v>
      </c>
      <c r="E514">
        <v>1810</v>
      </c>
      <c r="F514">
        <v>9664</v>
      </c>
      <c r="G514">
        <v>105</v>
      </c>
      <c r="H514">
        <v>7</v>
      </c>
      <c r="I514">
        <v>207313</v>
      </c>
      <c r="J514">
        <v>94818</v>
      </c>
      <c r="K514">
        <v>206</v>
      </c>
      <c r="L514">
        <v>513</v>
      </c>
      <c r="M514">
        <v>512</v>
      </c>
    </row>
    <row r="515" spans="1:13" hidden="1" x14ac:dyDescent="0.3">
      <c r="A515" s="1">
        <v>44208</v>
      </c>
      <c r="B515" s="2" t="s">
        <v>7</v>
      </c>
      <c r="C515">
        <v>11872</v>
      </c>
      <c r="D515">
        <v>149</v>
      </c>
      <c r="E515">
        <v>1886</v>
      </c>
      <c r="F515">
        <v>9775</v>
      </c>
      <c r="G515">
        <v>93</v>
      </c>
      <c r="H515">
        <v>6</v>
      </c>
      <c r="I515">
        <v>209553</v>
      </c>
      <c r="J515">
        <v>95267</v>
      </c>
      <c r="K515">
        <v>215</v>
      </c>
      <c r="L515">
        <v>514</v>
      </c>
      <c r="M515">
        <v>513</v>
      </c>
    </row>
    <row r="516" spans="1:13" hidden="1" x14ac:dyDescent="0.3">
      <c r="A516" s="1">
        <v>44209</v>
      </c>
      <c r="B516" s="2" t="s">
        <v>7</v>
      </c>
      <c r="C516">
        <v>12103</v>
      </c>
      <c r="D516">
        <v>197</v>
      </c>
      <c r="E516">
        <v>1983</v>
      </c>
      <c r="F516">
        <v>9909</v>
      </c>
      <c r="G516">
        <v>92</v>
      </c>
      <c r="H516">
        <v>8</v>
      </c>
      <c r="I516">
        <v>211665</v>
      </c>
      <c r="J516">
        <v>95629</v>
      </c>
      <c r="K516">
        <v>215</v>
      </c>
      <c r="L516">
        <v>515</v>
      </c>
      <c r="M516">
        <v>514</v>
      </c>
    </row>
    <row r="517" spans="1:13" hidden="1" x14ac:dyDescent="0.3">
      <c r="A517" s="1">
        <v>44210</v>
      </c>
      <c r="B517" s="2" t="s">
        <v>7</v>
      </c>
      <c r="C517">
        <v>12313</v>
      </c>
      <c r="D517">
        <v>163</v>
      </c>
      <c r="E517">
        <v>2081</v>
      </c>
      <c r="F517">
        <v>10020</v>
      </c>
      <c r="G517">
        <v>94</v>
      </c>
      <c r="H517">
        <v>10</v>
      </c>
      <c r="I517">
        <v>213458</v>
      </c>
      <c r="J517">
        <v>96010</v>
      </c>
      <c r="K517">
        <v>216</v>
      </c>
      <c r="L517">
        <v>516</v>
      </c>
      <c r="M517">
        <v>515</v>
      </c>
    </row>
    <row r="518" spans="1:13" hidden="1" x14ac:dyDescent="0.3">
      <c r="A518" s="1">
        <v>44211</v>
      </c>
      <c r="B518" s="2" t="s">
        <v>7</v>
      </c>
      <c r="C518">
        <v>12524</v>
      </c>
      <c r="D518">
        <v>162</v>
      </c>
      <c r="E518">
        <v>2157</v>
      </c>
      <c r="F518">
        <v>10152</v>
      </c>
      <c r="G518">
        <v>97</v>
      </c>
      <c r="H518">
        <v>12</v>
      </c>
      <c r="I518">
        <v>215235</v>
      </c>
      <c r="J518">
        <v>96475</v>
      </c>
      <c r="K518">
        <v>220</v>
      </c>
      <c r="L518">
        <v>517</v>
      </c>
      <c r="M518">
        <v>516</v>
      </c>
    </row>
    <row r="519" spans="1:13" hidden="1" x14ac:dyDescent="0.3">
      <c r="A519" s="1">
        <v>44212</v>
      </c>
      <c r="B519" s="2" t="s">
        <v>7</v>
      </c>
      <c r="C519">
        <v>12701</v>
      </c>
      <c r="D519">
        <v>145</v>
      </c>
      <c r="E519">
        <v>2245</v>
      </c>
      <c r="F519">
        <v>10239</v>
      </c>
      <c r="G519">
        <v>95</v>
      </c>
      <c r="H519">
        <v>14</v>
      </c>
      <c r="I519">
        <v>216816</v>
      </c>
      <c r="J519">
        <v>96706</v>
      </c>
      <c r="K519">
        <v>222</v>
      </c>
      <c r="L519">
        <v>518</v>
      </c>
      <c r="M519">
        <v>517</v>
      </c>
    </row>
    <row r="520" spans="1:13" hidden="1" x14ac:dyDescent="0.3">
      <c r="A520" s="1">
        <v>44213</v>
      </c>
      <c r="B520" s="2" t="s">
        <v>7</v>
      </c>
      <c r="C520">
        <v>12841</v>
      </c>
      <c r="D520">
        <v>117</v>
      </c>
      <c r="E520">
        <v>2341</v>
      </c>
      <c r="F520">
        <v>10281</v>
      </c>
      <c r="G520">
        <v>99</v>
      </c>
      <c r="H520">
        <v>16</v>
      </c>
      <c r="I520">
        <v>218343</v>
      </c>
      <c r="J520">
        <v>96877</v>
      </c>
      <c r="K520">
        <v>224</v>
      </c>
      <c r="L520">
        <v>519</v>
      </c>
      <c r="M520">
        <v>518</v>
      </c>
    </row>
    <row r="521" spans="1:13" hidden="1" x14ac:dyDescent="0.3">
      <c r="A521" s="1">
        <v>44214</v>
      </c>
      <c r="B521" s="2" t="s">
        <v>7</v>
      </c>
      <c r="C521">
        <v>13047</v>
      </c>
      <c r="D521">
        <v>166</v>
      </c>
      <c r="E521">
        <v>2507</v>
      </c>
      <c r="F521">
        <v>10317</v>
      </c>
      <c r="G521">
        <v>100</v>
      </c>
      <c r="H521">
        <v>20</v>
      </c>
      <c r="I521">
        <v>220220</v>
      </c>
      <c r="J521">
        <v>97275</v>
      </c>
      <c r="K521">
        <v>230</v>
      </c>
      <c r="L521">
        <v>520</v>
      </c>
      <c r="M521">
        <v>519</v>
      </c>
    </row>
    <row r="522" spans="1:13" hidden="1" x14ac:dyDescent="0.3">
      <c r="A522" s="1">
        <v>44215</v>
      </c>
      <c r="B522" s="2" t="s">
        <v>7</v>
      </c>
      <c r="C522">
        <v>13237</v>
      </c>
      <c r="D522">
        <v>126</v>
      </c>
      <c r="E522">
        <v>2593</v>
      </c>
      <c r="F522">
        <v>10418</v>
      </c>
      <c r="G522">
        <v>106</v>
      </c>
      <c r="H522">
        <v>26</v>
      </c>
      <c r="I522">
        <v>222178</v>
      </c>
      <c r="J522">
        <v>97852</v>
      </c>
      <c r="K522">
        <v>234</v>
      </c>
      <c r="L522">
        <v>521</v>
      </c>
      <c r="M522">
        <v>520</v>
      </c>
    </row>
    <row r="523" spans="1:13" hidden="1" x14ac:dyDescent="0.3">
      <c r="A523" s="1">
        <v>44216</v>
      </c>
      <c r="B523" s="2" t="s">
        <v>7</v>
      </c>
      <c r="C523">
        <v>13470</v>
      </c>
      <c r="D523">
        <v>173</v>
      </c>
      <c r="E523">
        <v>2694</v>
      </c>
      <c r="F523">
        <v>10547</v>
      </c>
      <c r="G523">
        <v>108</v>
      </c>
      <c r="H523">
        <v>28</v>
      </c>
      <c r="I523">
        <v>224172</v>
      </c>
      <c r="J523">
        <v>98367</v>
      </c>
      <c r="K523">
        <v>237</v>
      </c>
      <c r="L523">
        <v>522</v>
      </c>
      <c r="M523">
        <v>521</v>
      </c>
    </row>
    <row r="524" spans="1:13" hidden="1" x14ac:dyDescent="0.3">
      <c r="A524" s="1">
        <v>44217</v>
      </c>
      <c r="B524" s="2" t="s">
        <v>7</v>
      </c>
      <c r="C524">
        <v>13765</v>
      </c>
      <c r="D524">
        <v>225</v>
      </c>
      <c r="E524">
        <v>2843</v>
      </c>
      <c r="F524">
        <v>10691</v>
      </c>
      <c r="G524">
        <v>114</v>
      </c>
      <c r="H524">
        <v>28</v>
      </c>
      <c r="I524">
        <v>226321</v>
      </c>
      <c r="J524">
        <v>98916</v>
      </c>
      <c r="K524">
        <v>240</v>
      </c>
      <c r="L524">
        <v>523</v>
      </c>
      <c r="M524">
        <v>522</v>
      </c>
    </row>
    <row r="525" spans="1:13" hidden="1" x14ac:dyDescent="0.3">
      <c r="A525" s="1">
        <v>44218</v>
      </c>
      <c r="B525" s="2" t="s">
        <v>7</v>
      </c>
      <c r="C525">
        <v>14018</v>
      </c>
      <c r="D525">
        <v>172</v>
      </c>
      <c r="E525">
        <v>2947</v>
      </c>
      <c r="F525">
        <v>10838</v>
      </c>
      <c r="G525">
        <v>106</v>
      </c>
      <c r="H525">
        <v>27</v>
      </c>
      <c r="I525">
        <v>228050</v>
      </c>
      <c r="J525">
        <v>99485</v>
      </c>
      <c r="K525">
        <v>243</v>
      </c>
      <c r="L525">
        <v>524</v>
      </c>
      <c r="M525">
        <v>523</v>
      </c>
    </row>
    <row r="526" spans="1:13" hidden="1" x14ac:dyDescent="0.3">
      <c r="A526" s="1">
        <v>44219</v>
      </c>
      <c r="B526" s="2" t="s">
        <v>7</v>
      </c>
      <c r="C526">
        <v>14177</v>
      </c>
      <c r="D526">
        <v>118</v>
      </c>
      <c r="E526">
        <v>2924</v>
      </c>
      <c r="F526">
        <v>11020</v>
      </c>
      <c r="G526">
        <v>112</v>
      </c>
      <c r="H526">
        <v>29</v>
      </c>
      <c r="I526">
        <v>229725</v>
      </c>
      <c r="J526">
        <v>99886</v>
      </c>
      <c r="K526">
        <v>243</v>
      </c>
      <c r="L526">
        <v>525</v>
      </c>
      <c r="M526">
        <v>524</v>
      </c>
    </row>
    <row r="527" spans="1:13" hidden="1" x14ac:dyDescent="0.3">
      <c r="A527" s="1">
        <v>44220</v>
      </c>
      <c r="B527" s="2" t="s">
        <v>7</v>
      </c>
      <c r="C527">
        <v>14471</v>
      </c>
      <c r="D527">
        <v>251</v>
      </c>
      <c r="E527">
        <v>3118</v>
      </c>
      <c r="F527">
        <v>11119</v>
      </c>
      <c r="G527">
        <v>122</v>
      </c>
      <c r="H527">
        <v>32</v>
      </c>
      <c r="I527">
        <v>232286</v>
      </c>
      <c r="J527">
        <v>100122</v>
      </c>
      <c r="K527">
        <v>243</v>
      </c>
      <c r="L527">
        <v>526</v>
      </c>
      <c r="M527">
        <v>525</v>
      </c>
    </row>
    <row r="528" spans="1:13" hidden="1" x14ac:dyDescent="0.3">
      <c r="A528" s="1">
        <v>44221</v>
      </c>
      <c r="B528" s="2" t="s">
        <v>7</v>
      </c>
      <c r="C528">
        <v>14710</v>
      </c>
      <c r="D528">
        <v>174</v>
      </c>
      <c r="E528">
        <v>3242</v>
      </c>
      <c r="F528">
        <v>11229</v>
      </c>
      <c r="G528">
        <v>124</v>
      </c>
      <c r="H528">
        <v>34</v>
      </c>
      <c r="I528">
        <v>234472</v>
      </c>
      <c r="J528">
        <v>100673</v>
      </c>
      <c r="K528">
        <v>248</v>
      </c>
      <c r="L528">
        <v>527</v>
      </c>
      <c r="M528">
        <v>526</v>
      </c>
    </row>
    <row r="529" spans="1:13" hidden="1" x14ac:dyDescent="0.3">
      <c r="A529" s="1">
        <v>44222</v>
      </c>
      <c r="B529" s="2" t="s">
        <v>7</v>
      </c>
      <c r="C529">
        <v>14935</v>
      </c>
      <c r="D529">
        <v>159</v>
      </c>
      <c r="E529">
        <v>3309</v>
      </c>
      <c r="F529">
        <v>11385</v>
      </c>
      <c r="G529">
        <v>126</v>
      </c>
      <c r="H529">
        <v>36</v>
      </c>
      <c r="I529">
        <v>236459</v>
      </c>
      <c r="J529">
        <v>101308</v>
      </c>
      <c r="K529">
        <v>250</v>
      </c>
      <c r="L529">
        <v>528</v>
      </c>
      <c r="M529">
        <v>527</v>
      </c>
    </row>
    <row r="530" spans="1:13" hidden="1" x14ac:dyDescent="0.3">
      <c r="A530" s="1">
        <v>44223</v>
      </c>
      <c r="B530" s="2" t="s">
        <v>7</v>
      </c>
      <c r="C530">
        <v>15132</v>
      </c>
      <c r="D530">
        <v>124</v>
      </c>
      <c r="E530">
        <v>3271</v>
      </c>
      <c r="F530">
        <v>11616</v>
      </c>
      <c r="G530">
        <v>119</v>
      </c>
      <c r="H530">
        <v>35</v>
      </c>
      <c r="I530">
        <v>238642</v>
      </c>
      <c r="J530">
        <v>102112</v>
      </c>
      <c r="K530">
        <v>253</v>
      </c>
      <c r="L530">
        <v>529</v>
      </c>
      <c r="M530">
        <v>528</v>
      </c>
    </row>
    <row r="531" spans="1:13" hidden="1" x14ac:dyDescent="0.3">
      <c r="A531" s="1">
        <v>44224</v>
      </c>
      <c r="B531" s="2" t="s">
        <v>7</v>
      </c>
      <c r="C531">
        <v>15433</v>
      </c>
      <c r="D531">
        <v>253</v>
      </c>
      <c r="E531">
        <v>3373</v>
      </c>
      <c r="F531">
        <v>11811</v>
      </c>
      <c r="G531">
        <v>133</v>
      </c>
      <c r="H531">
        <v>40</v>
      </c>
      <c r="I531">
        <v>240664</v>
      </c>
      <c r="J531">
        <v>103391</v>
      </c>
      <c r="K531">
        <v>257</v>
      </c>
      <c r="L531">
        <v>530</v>
      </c>
      <c r="M531">
        <v>529</v>
      </c>
    </row>
    <row r="532" spans="1:13" hidden="1" x14ac:dyDescent="0.3">
      <c r="A532" s="1">
        <v>44225</v>
      </c>
      <c r="B532" s="2" t="s">
        <v>7</v>
      </c>
      <c r="C532">
        <v>15699</v>
      </c>
      <c r="D532">
        <v>209</v>
      </c>
      <c r="E532">
        <v>3445</v>
      </c>
      <c r="F532">
        <v>12002</v>
      </c>
      <c r="G532">
        <v>131</v>
      </c>
      <c r="H532">
        <v>40</v>
      </c>
      <c r="I532">
        <v>243354</v>
      </c>
      <c r="J532">
        <v>104827</v>
      </c>
      <c r="K532">
        <v>260</v>
      </c>
      <c r="L532">
        <v>531</v>
      </c>
      <c r="M532">
        <v>530</v>
      </c>
    </row>
    <row r="533" spans="1:13" hidden="1" x14ac:dyDescent="0.3">
      <c r="A533" s="1">
        <v>44226</v>
      </c>
      <c r="B533" s="2" t="s">
        <v>7</v>
      </c>
      <c r="C533">
        <v>15875</v>
      </c>
      <c r="D533">
        <v>137</v>
      </c>
      <c r="E533">
        <v>3425</v>
      </c>
      <c r="F533">
        <v>12198</v>
      </c>
      <c r="G533">
        <v>141</v>
      </c>
      <c r="H533">
        <v>42</v>
      </c>
      <c r="I533">
        <v>245624</v>
      </c>
      <c r="J533">
        <v>106409</v>
      </c>
      <c r="K533">
        <v>260</v>
      </c>
      <c r="L533">
        <v>532</v>
      </c>
      <c r="M533">
        <v>531</v>
      </c>
    </row>
    <row r="534" spans="1:13" hidden="1" x14ac:dyDescent="0.3">
      <c r="A534" s="1">
        <v>44227</v>
      </c>
      <c r="B534" s="2" t="s">
        <v>7</v>
      </c>
      <c r="C534">
        <v>16023</v>
      </c>
      <c r="D534">
        <v>130</v>
      </c>
      <c r="E534">
        <v>3418</v>
      </c>
      <c r="F534">
        <v>12351</v>
      </c>
      <c r="G534">
        <v>156</v>
      </c>
      <c r="H534">
        <v>44</v>
      </c>
      <c r="I534">
        <v>249355</v>
      </c>
      <c r="J534">
        <v>106702</v>
      </c>
      <c r="K534">
        <v>262</v>
      </c>
      <c r="L534">
        <v>533</v>
      </c>
      <c r="M534">
        <v>532</v>
      </c>
    </row>
    <row r="535" spans="1:13" hidden="1" x14ac:dyDescent="0.3">
      <c r="A535" s="1">
        <v>44228</v>
      </c>
      <c r="B535" s="2" t="s">
        <v>7</v>
      </c>
      <c r="C535">
        <v>16192</v>
      </c>
      <c r="D535">
        <v>125</v>
      </c>
      <c r="E535">
        <v>3442</v>
      </c>
      <c r="F535">
        <v>12489</v>
      </c>
      <c r="G535">
        <v>141</v>
      </c>
      <c r="H535">
        <v>47</v>
      </c>
      <c r="I535">
        <v>253142</v>
      </c>
      <c r="J535">
        <v>107349</v>
      </c>
      <c r="K535">
        <v>269</v>
      </c>
      <c r="L535">
        <v>534</v>
      </c>
      <c r="M535">
        <v>533</v>
      </c>
    </row>
    <row r="536" spans="1:13" hidden="1" x14ac:dyDescent="0.3">
      <c r="A536" s="1">
        <v>44229</v>
      </c>
      <c r="B536" s="2" t="s">
        <v>7</v>
      </c>
      <c r="C536">
        <v>16321</v>
      </c>
      <c r="D536">
        <v>102</v>
      </c>
      <c r="E536">
        <v>3366</v>
      </c>
      <c r="F536">
        <v>12690</v>
      </c>
      <c r="G536">
        <v>125</v>
      </c>
      <c r="H536">
        <v>43</v>
      </c>
      <c r="I536">
        <v>257114</v>
      </c>
      <c r="J536">
        <v>108550</v>
      </c>
      <c r="K536">
        <v>273</v>
      </c>
      <c r="L536">
        <v>535</v>
      </c>
      <c r="M536">
        <v>534</v>
      </c>
    </row>
    <row r="537" spans="1:13" hidden="1" x14ac:dyDescent="0.3">
      <c r="A537" s="1">
        <v>44230</v>
      </c>
      <c r="B537" s="2" t="s">
        <v>7</v>
      </c>
      <c r="C537">
        <v>16563</v>
      </c>
      <c r="D537">
        <v>224</v>
      </c>
      <c r="E537">
        <v>3418</v>
      </c>
      <c r="F537">
        <v>12875</v>
      </c>
      <c r="G537">
        <v>128</v>
      </c>
      <c r="H537">
        <v>42</v>
      </c>
      <c r="I537">
        <v>259775</v>
      </c>
      <c r="J537">
        <v>110155</v>
      </c>
      <c r="K537">
        <v>278</v>
      </c>
      <c r="L537">
        <v>536</v>
      </c>
      <c r="M537">
        <v>535</v>
      </c>
    </row>
    <row r="538" spans="1:13" hidden="1" x14ac:dyDescent="0.3">
      <c r="A538" s="1">
        <v>44231</v>
      </c>
      <c r="B538" s="2" t="s">
        <v>7</v>
      </c>
      <c r="C538">
        <v>16735</v>
      </c>
      <c r="D538">
        <v>143</v>
      </c>
      <c r="E538">
        <v>3339</v>
      </c>
      <c r="F538">
        <v>13124</v>
      </c>
      <c r="G538">
        <v>131</v>
      </c>
      <c r="H538">
        <v>43</v>
      </c>
      <c r="I538">
        <v>262117</v>
      </c>
      <c r="J538">
        <v>112361</v>
      </c>
      <c r="K538">
        <v>281</v>
      </c>
      <c r="L538">
        <v>537</v>
      </c>
      <c r="M538">
        <v>536</v>
      </c>
    </row>
    <row r="539" spans="1:13" hidden="1" x14ac:dyDescent="0.3">
      <c r="A539" s="1">
        <v>44232</v>
      </c>
      <c r="B539" s="2" t="s">
        <v>7</v>
      </c>
      <c r="C539">
        <v>16865</v>
      </c>
      <c r="D539">
        <v>116</v>
      </c>
      <c r="E539">
        <v>3183</v>
      </c>
      <c r="F539">
        <v>13406</v>
      </c>
      <c r="G539">
        <v>136</v>
      </c>
      <c r="H539">
        <v>44</v>
      </c>
      <c r="I539">
        <v>264420</v>
      </c>
      <c r="J539">
        <v>114024</v>
      </c>
      <c r="K539">
        <v>285</v>
      </c>
      <c r="L539">
        <v>538</v>
      </c>
      <c r="M539">
        <v>537</v>
      </c>
    </row>
    <row r="540" spans="1:13" hidden="1" x14ac:dyDescent="0.3">
      <c r="A540" s="1">
        <v>44233</v>
      </c>
      <c r="B540" s="2" t="s">
        <v>7</v>
      </c>
      <c r="C540">
        <v>16973</v>
      </c>
      <c r="D540">
        <v>100</v>
      </c>
      <c r="E540">
        <v>3023</v>
      </c>
      <c r="F540">
        <v>13673</v>
      </c>
      <c r="G540">
        <v>129</v>
      </c>
      <c r="H540">
        <v>44</v>
      </c>
      <c r="I540">
        <v>266298</v>
      </c>
      <c r="J540">
        <v>118743</v>
      </c>
      <c r="K540">
        <v>286</v>
      </c>
      <c r="L540">
        <v>539</v>
      </c>
      <c r="M540">
        <v>538</v>
      </c>
    </row>
    <row r="541" spans="1:13" hidden="1" x14ac:dyDescent="0.3">
      <c r="A541" s="1">
        <v>44234</v>
      </c>
      <c r="B541" s="2" t="s">
        <v>7</v>
      </c>
      <c r="C541">
        <v>17046</v>
      </c>
      <c r="D541">
        <v>60</v>
      </c>
      <c r="E541">
        <v>2932</v>
      </c>
      <c r="F541">
        <v>13833</v>
      </c>
      <c r="G541">
        <v>133</v>
      </c>
      <c r="H541">
        <v>47</v>
      </c>
      <c r="I541">
        <v>268497</v>
      </c>
      <c r="J541">
        <v>123323</v>
      </c>
      <c r="K541">
        <v>290</v>
      </c>
      <c r="L541">
        <v>540</v>
      </c>
      <c r="M541">
        <v>539</v>
      </c>
    </row>
    <row r="542" spans="1:13" hidden="1" x14ac:dyDescent="0.3">
      <c r="A542" s="1">
        <v>44145</v>
      </c>
      <c r="B542" s="2" t="s">
        <v>2</v>
      </c>
      <c r="C542">
        <v>7492</v>
      </c>
      <c r="D542">
        <v>150</v>
      </c>
      <c r="E542">
        <v>2463</v>
      </c>
      <c r="F542">
        <v>4861</v>
      </c>
      <c r="G542">
        <v>73</v>
      </c>
      <c r="H542">
        <v>22</v>
      </c>
      <c r="I542">
        <v>151413</v>
      </c>
      <c r="J542">
        <v>54373</v>
      </c>
      <c r="K542">
        <v>168</v>
      </c>
      <c r="L542">
        <v>541</v>
      </c>
      <c r="M542">
        <v>540</v>
      </c>
    </row>
    <row r="543" spans="1:13" hidden="1" x14ac:dyDescent="0.3">
      <c r="A543" s="1">
        <v>44146</v>
      </c>
      <c r="B543" s="2" t="s">
        <v>2</v>
      </c>
      <c r="C543">
        <v>7631</v>
      </c>
      <c r="D543">
        <v>143</v>
      </c>
      <c r="E543">
        <v>2426</v>
      </c>
      <c r="F543">
        <v>5034</v>
      </c>
      <c r="G543">
        <v>75</v>
      </c>
      <c r="H543">
        <v>22</v>
      </c>
      <c r="I543">
        <v>153433</v>
      </c>
      <c r="J543">
        <v>54489</v>
      </c>
      <c r="K543">
        <v>171</v>
      </c>
      <c r="L543">
        <v>542</v>
      </c>
      <c r="M543">
        <v>541</v>
      </c>
    </row>
    <row r="544" spans="1:13" hidden="1" x14ac:dyDescent="0.3">
      <c r="A544" s="1">
        <v>44147</v>
      </c>
      <c r="B544" s="2" t="s">
        <v>2</v>
      </c>
      <c r="C544">
        <v>7848</v>
      </c>
      <c r="D544">
        <v>218</v>
      </c>
      <c r="E544">
        <v>2450</v>
      </c>
      <c r="F544">
        <v>5223</v>
      </c>
      <c r="G544">
        <v>70</v>
      </c>
      <c r="H544">
        <v>23</v>
      </c>
      <c r="I544">
        <v>155539</v>
      </c>
      <c r="J544">
        <v>54597</v>
      </c>
      <c r="K544">
        <v>175</v>
      </c>
      <c r="L544">
        <v>543</v>
      </c>
      <c r="M544">
        <v>542</v>
      </c>
    </row>
    <row r="545" spans="1:13" hidden="1" x14ac:dyDescent="0.3">
      <c r="A545" s="1">
        <v>44148</v>
      </c>
      <c r="B545" s="2" t="s">
        <v>2</v>
      </c>
      <c r="C545">
        <v>8067</v>
      </c>
      <c r="D545">
        <v>214</v>
      </c>
      <c r="E545">
        <v>2508</v>
      </c>
      <c r="F545">
        <v>5383</v>
      </c>
      <c r="G545">
        <v>68</v>
      </c>
      <c r="H545">
        <v>26</v>
      </c>
      <c r="I545">
        <v>157644</v>
      </c>
      <c r="J545">
        <v>54744</v>
      </c>
      <c r="K545">
        <v>176</v>
      </c>
      <c r="L545">
        <v>544</v>
      </c>
      <c r="M545">
        <v>543</v>
      </c>
    </row>
    <row r="546" spans="1:13" hidden="1" x14ac:dyDescent="0.3">
      <c r="A546" s="1">
        <v>44149</v>
      </c>
      <c r="B546" s="2" t="s">
        <v>2</v>
      </c>
      <c r="C546">
        <v>8216</v>
      </c>
      <c r="D546">
        <v>149</v>
      </c>
      <c r="E546">
        <v>2442</v>
      </c>
      <c r="F546">
        <v>5598</v>
      </c>
      <c r="G546">
        <v>77</v>
      </c>
      <c r="H546">
        <v>26</v>
      </c>
      <c r="I546">
        <v>159646</v>
      </c>
      <c r="J546">
        <v>54774</v>
      </c>
      <c r="K546">
        <v>176</v>
      </c>
      <c r="L546">
        <v>545</v>
      </c>
      <c r="M546">
        <v>544</v>
      </c>
    </row>
    <row r="547" spans="1:13" hidden="1" x14ac:dyDescent="0.3">
      <c r="A547" s="1">
        <v>44150</v>
      </c>
      <c r="B547" s="2" t="s">
        <v>2</v>
      </c>
      <c r="C547">
        <v>8309</v>
      </c>
      <c r="D547">
        <v>92</v>
      </c>
      <c r="E547">
        <v>2361</v>
      </c>
      <c r="F547">
        <v>5772</v>
      </c>
      <c r="G547">
        <v>82</v>
      </c>
      <c r="H547">
        <v>25</v>
      </c>
      <c r="I547">
        <v>160932</v>
      </c>
      <c r="J547">
        <v>54815</v>
      </c>
      <c r="K547">
        <v>176</v>
      </c>
      <c r="L547">
        <v>546</v>
      </c>
      <c r="M547">
        <v>545</v>
      </c>
    </row>
    <row r="548" spans="1:13" hidden="1" x14ac:dyDescent="0.3">
      <c r="A548" s="1">
        <v>44151</v>
      </c>
      <c r="B548" s="2" t="s">
        <v>2</v>
      </c>
      <c r="C548">
        <v>8408</v>
      </c>
      <c r="D548">
        <v>97</v>
      </c>
      <c r="E548">
        <v>2347</v>
      </c>
      <c r="F548">
        <v>5876</v>
      </c>
      <c r="G548">
        <v>82</v>
      </c>
      <c r="H548">
        <v>23</v>
      </c>
      <c r="I548">
        <v>161737</v>
      </c>
      <c r="J548">
        <v>54954</v>
      </c>
      <c r="K548">
        <v>185</v>
      </c>
      <c r="L548">
        <v>547</v>
      </c>
      <c r="M548">
        <v>546</v>
      </c>
    </row>
    <row r="549" spans="1:13" hidden="1" x14ac:dyDescent="0.3">
      <c r="A549" s="1">
        <v>44152</v>
      </c>
      <c r="B549" s="2" t="s">
        <v>2</v>
      </c>
      <c r="C549">
        <v>8516</v>
      </c>
      <c r="D549">
        <v>108</v>
      </c>
      <c r="E549">
        <v>2317</v>
      </c>
      <c r="F549">
        <v>6012</v>
      </c>
      <c r="G549">
        <v>75</v>
      </c>
      <c r="H549">
        <v>22</v>
      </c>
      <c r="I549">
        <v>163055</v>
      </c>
      <c r="J549">
        <v>55065</v>
      </c>
      <c r="K549">
        <v>187</v>
      </c>
      <c r="L549">
        <v>548</v>
      </c>
      <c r="M549">
        <v>547</v>
      </c>
    </row>
    <row r="550" spans="1:13" hidden="1" x14ac:dyDescent="0.3">
      <c r="A550" s="1">
        <v>44153</v>
      </c>
      <c r="B550" s="2" t="s">
        <v>2</v>
      </c>
      <c r="C550">
        <v>8796</v>
      </c>
      <c r="D550">
        <v>282</v>
      </c>
      <c r="E550">
        <v>2422</v>
      </c>
      <c r="F550">
        <v>6182</v>
      </c>
      <c r="G550">
        <v>76</v>
      </c>
      <c r="H550">
        <v>22</v>
      </c>
      <c r="I550">
        <v>165226</v>
      </c>
      <c r="J550">
        <v>55139</v>
      </c>
      <c r="K550">
        <v>193</v>
      </c>
      <c r="L550">
        <v>549</v>
      </c>
      <c r="M550">
        <v>548</v>
      </c>
    </row>
    <row r="551" spans="1:13" hidden="1" x14ac:dyDescent="0.3">
      <c r="A551" s="1">
        <v>44154</v>
      </c>
      <c r="B551" s="2" t="s">
        <v>2</v>
      </c>
      <c r="C551">
        <v>8967</v>
      </c>
      <c r="D551">
        <v>168</v>
      </c>
      <c r="E551">
        <v>2380</v>
      </c>
      <c r="F551">
        <v>6392</v>
      </c>
      <c r="G551">
        <v>76</v>
      </c>
      <c r="H551">
        <v>24</v>
      </c>
      <c r="I551">
        <v>166827</v>
      </c>
      <c r="J551">
        <v>55233</v>
      </c>
      <c r="K551">
        <v>196</v>
      </c>
      <c r="L551">
        <v>550</v>
      </c>
      <c r="M551">
        <v>549</v>
      </c>
    </row>
    <row r="552" spans="1:13" hidden="1" x14ac:dyDescent="0.3">
      <c r="A552" s="1">
        <v>44155</v>
      </c>
      <c r="B552" s="2" t="s">
        <v>2</v>
      </c>
      <c r="C552">
        <v>9137</v>
      </c>
      <c r="D552">
        <v>171</v>
      </c>
      <c r="E552">
        <v>2388</v>
      </c>
      <c r="F552">
        <v>6550</v>
      </c>
      <c r="G552">
        <v>63</v>
      </c>
      <c r="H552">
        <v>25</v>
      </c>
      <c r="I552">
        <v>168809</v>
      </c>
      <c r="J552">
        <v>55333</v>
      </c>
      <c r="K552">
        <v>200</v>
      </c>
      <c r="L552">
        <v>551</v>
      </c>
      <c r="M552">
        <v>550</v>
      </c>
    </row>
    <row r="553" spans="1:13" hidden="1" x14ac:dyDescent="0.3">
      <c r="A553" s="1">
        <v>44156</v>
      </c>
      <c r="B553" s="2" t="s">
        <v>2</v>
      </c>
      <c r="C553">
        <v>9220</v>
      </c>
      <c r="D553">
        <v>80</v>
      </c>
      <c r="E553">
        <v>2320</v>
      </c>
      <c r="F553">
        <v>6701</v>
      </c>
      <c r="G553">
        <v>67</v>
      </c>
      <c r="H553">
        <v>25</v>
      </c>
      <c r="I553">
        <v>170654</v>
      </c>
      <c r="J553">
        <v>55371</v>
      </c>
      <c r="K553">
        <v>200</v>
      </c>
      <c r="L553">
        <v>552</v>
      </c>
      <c r="M553">
        <v>551</v>
      </c>
    </row>
    <row r="554" spans="1:13" hidden="1" x14ac:dyDescent="0.3">
      <c r="A554" s="1">
        <v>44157</v>
      </c>
      <c r="B554" s="2" t="s">
        <v>2</v>
      </c>
      <c r="C554">
        <v>9264</v>
      </c>
      <c r="D554">
        <v>42</v>
      </c>
      <c r="E554">
        <v>2260</v>
      </c>
      <c r="F554">
        <v>6804</v>
      </c>
      <c r="G554">
        <v>74</v>
      </c>
      <c r="H554">
        <v>25</v>
      </c>
      <c r="I554">
        <v>172124</v>
      </c>
      <c r="J554">
        <v>55410</v>
      </c>
      <c r="K554">
        <v>201</v>
      </c>
      <c r="L554">
        <v>553</v>
      </c>
      <c r="M554">
        <v>552</v>
      </c>
    </row>
    <row r="555" spans="1:13" hidden="1" x14ac:dyDescent="0.3">
      <c r="A555" s="1">
        <v>44158</v>
      </c>
      <c r="B555" s="2" t="s">
        <v>2</v>
      </c>
      <c r="C555">
        <v>9309</v>
      </c>
      <c r="D555">
        <v>43</v>
      </c>
      <c r="E555">
        <v>2209</v>
      </c>
      <c r="F555">
        <v>6897</v>
      </c>
      <c r="G555">
        <v>76</v>
      </c>
      <c r="H555">
        <v>23</v>
      </c>
      <c r="I555">
        <v>173379</v>
      </c>
      <c r="J555">
        <v>55486</v>
      </c>
      <c r="K555">
        <v>204</v>
      </c>
      <c r="L555">
        <v>554</v>
      </c>
      <c r="M555">
        <v>553</v>
      </c>
    </row>
    <row r="556" spans="1:13" hidden="1" x14ac:dyDescent="0.3">
      <c r="A556" s="1">
        <v>44159</v>
      </c>
      <c r="B556" s="2" t="s">
        <v>2</v>
      </c>
      <c r="C556">
        <v>9554</v>
      </c>
      <c r="D556">
        <v>246</v>
      </c>
      <c r="E556">
        <v>2293</v>
      </c>
      <c r="F556">
        <v>7056</v>
      </c>
      <c r="G556">
        <v>78</v>
      </c>
      <c r="H556">
        <v>22</v>
      </c>
      <c r="I556">
        <v>175450</v>
      </c>
      <c r="J556">
        <v>55574</v>
      </c>
      <c r="K556">
        <v>206</v>
      </c>
      <c r="L556">
        <v>555</v>
      </c>
      <c r="M556">
        <v>554</v>
      </c>
    </row>
    <row r="557" spans="1:13" hidden="1" x14ac:dyDescent="0.3">
      <c r="A557" s="1">
        <v>44160</v>
      </c>
      <c r="B557" s="2" t="s">
        <v>2</v>
      </c>
      <c r="C557">
        <v>9663</v>
      </c>
      <c r="D557">
        <v>109</v>
      </c>
      <c r="E557">
        <v>2308</v>
      </c>
      <c r="F557">
        <v>7150</v>
      </c>
      <c r="G557">
        <v>77</v>
      </c>
      <c r="H557">
        <v>22</v>
      </c>
      <c r="I557">
        <v>177455</v>
      </c>
      <c r="J557">
        <v>55649</v>
      </c>
      <c r="K557">
        <v>206</v>
      </c>
      <c r="L557">
        <v>556</v>
      </c>
      <c r="M557">
        <v>555</v>
      </c>
    </row>
    <row r="558" spans="1:13" hidden="1" x14ac:dyDescent="0.3">
      <c r="A558" s="1">
        <v>44161</v>
      </c>
      <c r="B558" s="2" t="s">
        <v>2</v>
      </c>
      <c r="C558">
        <v>9778</v>
      </c>
      <c r="D558">
        <v>115</v>
      </c>
      <c r="E558">
        <v>2268</v>
      </c>
      <c r="F558">
        <v>7304</v>
      </c>
      <c r="G558">
        <v>73</v>
      </c>
      <c r="H558">
        <v>23</v>
      </c>
      <c r="I558">
        <v>179235</v>
      </c>
      <c r="J558">
        <v>55711</v>
      </c>
      <c r="K558">
        <v>207</v>
      </c>
      <c r="L558">
        <v>557</v>
      </c>
      <c r="M558">
        <v>556</v>
      </c>
    </row>
    <row r="559" spans="1:13" hidden="1" x14ac:dyDescent="0.3">
      <c r="A559" s="1">
        <v>44162</v>
      </c>
      <c r="B559" s="2" t="s">
        <v>2</v>
      </c>
      <c r="C559">
        <v>9855</v>
      </c>
      <c r="D559">
        <v>74</v>
      </c>
      <c r="E559">
        <v>2168</v>
      </c>
      <c r="F559">
        <v>7477</v>
      </c>
      <c r="G559">
        <v>63</v>
      </c>
      <c r="H559">
        <v>18</v>
      </c>
      <c r="I559">
        <v>180696</v>
      </c>
      <c r="J559">
        <v>55859</v>
      </c>
      <c r="K559">
        <v>211</v>
      </c>
      <c r="L559">
        <v>558</v>
      </c>
      <c r="M559">
        <v>557</v>
      </c>
    </row>
    <row r="560" spans="1:13" hidden="1" x14ac:dyDescent="0.3">
      <c r="A560" s="1">
        <v>44163</v>
      </c>
      <c r="B560" s="2" t="s">
        <v>2</v>
      </c>
      <c r="C560">
        <v>9963</v>
      </c>
      <c r="D560">
        <v>109</v>
      </c>
      <c r="E560">
        <v>2099</v>
      </c>
      <c r="F560">
        <v>7654</v>
      </c>
      <c r="G560">
        <v>71</v>
      </c>
      <c r="H560">
        <v>17</v>
      </c>
      <c r="I560">
        <v>182601</v>
      </c>
      <c r="J560">
        <v>55882</v>
      </c>
      <c r="K560">
        <v>211</v>
      </c>
      <c r="L560">
        <v>559</v>
      </c>
      <c r="M560">
        <v>558</v>
      </c>
    </row>
    <row r="561" spans="1:13" hidden="1" x14ac:dyDescent="0.3">
      <c r="A561" s="1">
        <v>44164</v>
      </c>
      <c r="B561" s="2" t="s">
        <v>2</v>
      </c>
      <c r="C561">
        <v>9999</v>
      </c>
      <c r="D561">
        <v>35</v>
      </c>
      <c r="E561">
        <v>2021</v>
      </c>
      <c r="F561">
        <v>7764</v>
      </c>
      <c r="G561">
        <v>72</v>
      </c>
      <c r="H561">
        <v>18</v>
      </c>
      <c r="I561">
        <v>184042</v>
      </c>
      <c r="J561">
        <v>55915</v>
      </c>
      <c r="K561">
        <v>215</v>
      </c>
      <c r="L561">
        <v>560</v>
      </c>
      <c r="M561">
        <v>559</v>
      </c>
    </row>
    <row r="562" spans="1:13" hidden="1" x14ac:dyDescent="0.3">
      <c r="A562" s="1">
        <v>44165</v>
      </c>
      <c r="B562" s="2" t="s">
        <v>2</v>
      </c>
      <c r="C562">
        <v>10075</v>
      </c>
      <c r="D562">
        <v>69</v>
      </c>
      <c r="E562">
        <v>1993</v>
      </c>
      <c r="F562">
        <v>7866</v>
      </c>
      <c r="G562">
        <v>67</v>
      </c>
      <c r="H562">
        <v>17</v>
      </c>
      <c r="I562">
        <v>185299</v>
      </c>
      <c r="J562">
        <v>56033</v>
      </c>
      <c r="K562">
        <v>217</v>
      </c>
      <c r="L562">
        <v>561</v>
      </c>
      <c r="M562">
        <v>560</v>
      </c>
    </row>
    <row r="563" spans="1:13" hidden="1" x14ac:dyDescent="0.3">
      <c r="A563" s="1">
        <v>44166</v>
      </c>
      <c r="B563" s="2" t="s">
        <v>2</v>
      </c>
      <c r="C563">
        <v>10188</v>
      </c>
      <c r="D563">
        <v>115</v>
      </c>
      <c r="E563">
        <v>1984</v>
      </c>
      <c r="F563">
        <v>7987</v>
      </c>
      <c r="G563">
        <v>65</v>
      </c>
      <c r="H563">
        <v>17</v>
      </c>
      <c r="I563">
        <v>187202</v>
      </c>
      <c r="J563">
        <v>56103</v>
      </c>
      <c r="K563">
        <v>218</v>
      </c>
      <c r="L563">
        <v>562</v>
      </c>
      <c r="M563">
        <v>561</v>
      </c>
    </row>
    <row r="564" spans="1:13" hidden="1" x14ac:dyDescent="0.3">
      <c r="A564" s="1">
        <v>44167</v>
      </c>
      <c r="B564" s="2" t="s">
        <v>2</v>
      </c>
      <c r="C564">
        <v>10285</v>
      </c>
      <c r="D564">
        <v>100</v>
      </c>
      <c r="E564">
        <v>1977</v>
      </c>
      <c r="F564">
        <v>8089</v>
      </c>
      <c r="G564">
        <v>62</v>
      </c>
      <c r="H564">
        <v>15</v>
      </c>
      <c r="I564">
        <v>188926</v>
      </c>
      <c r="J564">
        <v>56165</v>
      </c>
      <c r="K564">
        <v>220</v>
      </c>
      <c r="L564">
        <v>563</v>
      </c>
      <c r="M564">
        <v>562</v>
      </c>
    </row>
    <row r="565" spans="1:13" hidden="1" x14ac:dyDescent="0.3">
      <c r="A565" s="1">
        <v>44168</v>
      </c>
      <c r="B565" s="2" t="s">
        <v>2</v>
      </c>
      <c r="C565">
        <v>10387</v>
      </c>
      <c r="D565">
        <v>95</v>
      </c>
      <c r="E565">
        <v>1869</v>
      </c>
      <c r="F565">
        <v>8297</v>
      </c>
      <c r="G565">
        <v>63</v>
      </c>
      <c r="H565">
        <v>13</v>
      </c>
      <c r="I565">
        <v>190148</v>
      </c>
      <c r="J565">
        <v>56239</v>
      </c>
      <c r="K565">
        <v>222</v>
      </c>
      <c r="L565">
        <v>564</v>
      </c>
      <c r="M565">
        <v>563</v>
      </c>
    </row>
    <row r="566" spans="1:13" hidden="1" x14ac:dyDescent="0.3">
      <c r="A566" s="1">
        <v>44169</v>
      </c>
      <c r="B566" s="2" t="s">
        <v>2</v>
      </c>
      <c r="C566">
        <v>10487</v>
      </c>
      <c r="D566">
        <v>101</v>
      </c>
      <c r="E566">
        <v>1842</v>
      </c>
      <c r="F566">
        <v>8422</v>
      </c>
      <c r="G566">
        <v>65</v>
      </c>
      <c r="H566">
        <v>12</v>
      </c>
      <c r="I566">
        <v>191386</v>
      </c>
      <c r="J566">
        <v>56291</v>
      </c>
      <c r="K566">
        <v>224</v>
      </c>
      <c r="L566">
        <v>565</v>
      </c>
      <c r="M566">
        <v>564</v>
      </c>
    </row>
    <row r="567" spans="1:13" hidden="1" x14ac:dyDescent="0.3">
      <c r="A567" s="1">
        <v>44170</v>
      </c>
      <c r="B567" s="2" t="s">
        <v>2</v>
      </c>
      <c r="C567">
        <v>10578</v>
      </c>
      <c r="D567">
        <v>92</v>
      </c>
      <c r="E567">
        <v>1800</v>
      </c>
      <c r="F567">
        <v>8555</v>
      </c>
      <c r="G567">
        <v>65</v>
      </c>
      <c r="H567">
        <v>12</v>
      </c>
      <c r="I567">
        <v>193204</v>
      </c>
      <c r="J567">
        <v>56312</v>
      </c>
      <c r="K567">
        <v>224</v>
      </c>
      <c r="L567">
        <v>566</v>
      </c>
      <c r="M567">
        <v>565</v>
      </c>
    </row>
    <row r="568" spans="1:13" hidden="1" x14ac:dyDescent="0.3">
      <c r="A568" s="1">
        <v>44171</v>
      </c>
      <c r="B568" s="2" t="s">
        <v>2</v>
      </c>
      <c r="C568">
        <v>10631</v>
      </c>
      <c r="D568">
        <v>53</v>
      </c>
      <c r="E568">
        <v>1782</v>
      </c>
      <c r="F568">
        <v>8621</v>
      </c>
      <c r="G568">
        <v>66</v>
      </c>
      <c r="H568">
        <v>11</v>
      </c>
      <c r="I568">
        <v>194587</v>
      </c>
      <c r="J568">
        <v>56337</v>
      </c>
      <c r="K568">
        <v>229</v>
      </c>
      <c r="L568">
        <v>567</v>
      </c>
      <c r="M568">
        <v>566</v>
      </c>
    </row>
    <row r="569" spans="1:13" hidden="1" x14ac:dyDescent="0.3">
      <c r="A569" s="1">
        <v>44172</v>
      </c>
      <c r="B569" s="2" t="s">
        <v>2</v>
      </c>
      <c r="C569">
        <v>10691</v>
      </c>
      <c r="D569">
        <v>59</v>
      </c>
      <c r="E569">
        <v>1517</v>
      </c>
      <c r="F569">
        <v>8938</v>
      </c>
      <c r="G569">
        <v>59</v>
      </c>
      <c r="H569">
        <v>9</v>
      </c>
      <c r="I569">
        <v>195913</v>
      </c>
      <c r="J569">
        <v>56394</v>
      </c>
      <c r="K569">
        <v>237</v>
      </c>
      <c r="L569">
        <v>568</v>
      </c>
      <c r="M569">
        <v>567</v>
      </c>
    </row>
    <row r="570" spans="1:13" hidden="1" x14ac:dyDescent="0.3">
      <c r="A570" s="1">
        <v>44173</v>
      </c>
      <c r="B570" s="2" t="s">
        <v>2</v>
      </c>
      <c r="C570">
        <v>10770</v>
      </c>
      <c r="D570">
        <v>75</v>
      </c>
      <c r="E570">
        <v>1499</v>
      </c>
      <c r="F570">
        <v>9035</v>
      </c>
      <c r="G570">
        <v>59</v>
      </c>
      <c r="H570">
        <v>10</v>
      </c>
      <c r="I570">
        <v>197487</v>
      </c>
      <c r="J570">
        <v>56429</v>
      </c>
      <c r="K570">
        <v>237</v>
      </c>
      <c r="L570">
        <v>569</v>
      </c>
      <c r="M570">
        <v>568</v>
      </c>
    </row>
    <row r="571" spans="1:13" hidden="1" x14ac:dyDescent="0.3">
      <c r="A571" s="1">
        <v>44174</v>
      </c>
      <c r="B571" s="2" t="s">
        <v>2</v>
      </c>
      <c r="C571">
        <v>10822</v>
      </c>
      <c r="D571">
        <v>50</v>
      </c>
      <c r="E571">
        <v>1425</v>
      </c>
      <c r="F571">
        <v>9161</v>
      </c>
      <c r="G571">
        <v>62</v>
      </c>
      <c r="H571">
        <v>11</v>
      </c>
      <c r="I571">
        <v>200137</v>
      </c>
      <c r="J571">
        <v>56504</v>
      </c>
      <c r="K571">
        <v>237</v>
      </c>
      <c r="L571">
        <v>570</v>
      </c>
      <c r="M571">
        <v>569</v>
      </c>
    </row>
    <row r="572" spans="1:13" hidden="1" x14ac:dyDescent="0.3">
      <c r="A572" s="1">
        <v>44175</v>
      </c>
      <c r="B572" s="2" t="s">
        <v>2</v>
      </c>
      <c r="C572">
        <v>10949</v>
      </c>
      <c r="D572">
        <v>126</v>
      </c>
      <c r="E572">
        <v>1401</v>
      </c>
      <c r="F572">
        <v>9310</v>
      </c>
      <c r="G572">
        <v>60</v>
      </c>
      <c r="H572">
        <v>12</v>
      </c>
      <c r="I572">
        <v>202118</v>
      </c>
      <c r="J572">
        <v>56587</v>
      </c>
      <c r="K572">
        <v>239</v>
      </c>
      <c r="L572">
        <v>571</v>
      </c>
      <c r="M572">
        <v>570</v>
      </c>
    </row>
    <row r="573" spans="1:13" hidden="1" x14ac:dyDescent="0.3">
      <c r="A573" s="1">
        <v>44176</v>
      </c>
      <c r="B573" s="2" t="s">
        <v>2</v>
      </c>
      <c r="C573">
        <v>11002</v>
      </c>
      <c r="D573">
        <v>52</v>
      </c>
      <c r="E573">
        <v>1315</v>
      </c>
      <c r="F573">
        <v>9445</v>
      </c>
      <c r="G573">
        <v>51</v>
      </c>
      <c r="H573">
        <v>11</v>
      </c>
      <c r="I573">
        <v>203922</v>
      </c>
      <c r="J573">
        <v>56659</v>
      </c>
      <c r="K573">
        <v>243</v>
      </c>
      <c r="L573">
        <v>572</v>
      </c>
      <c r="M573">
        <v>571</v>
      </c>
    </row>
    <row r="574" spans="1:13" hidden="1" x14ac:dyDescent="0.3">
      <c r="A574" s="1">
        <v>44177</v>
      </c>
      <c r="B574" s="2" t="s">
        <v>2</v>
      </c>
      <c r="C574">
        <v>11095</v>
      </c>
      <c r="D574">
        <v>98</v>
      </c>
      <c r="E574">
        <v>1317</v>
      </c>
      <c r="F574">
        <v>9535</v>
      </c>
      <c r="G574">
        <v>47</v>
      </c>
      <c r="H574">
        <v>11</v>
      </c>
      <c r="I574">
        <v>206339</v>
      </c>
      <c r="J574">
        <v>56690</v>
      </c>
      <c r="K574">
        <v>244</v>
      </c>
      <c r="L574">
        <v>573</v>
      </c>
      <c r="M574">
        <v>572</v>
      </c>
    </row>
    <row r="575" spans="1:13" hidden="1" x14ac:dyDescent="0.3">
      <c r="A575" s="1">
        <v>44178</v>
      </c>
      <c r="B575" s="2" t="s">
        <v>2</v>
      </c>
      <c r="C575">
        <v>11151</v>
      </c>
      <c r="D575">
        <v>47</v>
      </c>
      <c r="E575">
        <v>1304</v>
      </c>
      <c r="F575">
        <v>9603</v>
      </c>
      <c r="G575">
        <v>44</v>
      </c>
      <c r="H575">
        <v>12</v>
      </c>
      <c r="I575">
        <v>208436</v>
      </c>
      <c r="J575">
        <v>56728</v>
      </c>
      <c r="K575">
        <v>245</v>
      </c>
      <c r="L575">
        <v>574</v>
      </c>
      <c r="M575">
        <v>573</v>
      </c>
    </row>
    <row r="576" spans="1:13" hidden="1" x14ac:dyDescent="0.3">
      <c r="A576" s="1">
        <v>44179</v>
      </c>
      <c r="B576" s="2" t="s">
        <v>2</v>
      </c>
      <c r="C576">
        <v>11201</v>
      </c>
      <c r="D576">
        <v>47</v>
      </c>
      <c r="E576">
        <v>1329</v>
      </c>
      <c r="F576">
        <v>9627</v>
      </c>
      <c r="G576">
        <v>48</v>
      </c>
      <c r="H576">
        <v>14</v>
      </c>
      <c r="I576">
        <v>210698</v>
      </c>
      <c r="J576">
        <v>56818</v>
      </c>
      <c r="K576">
        <v>246</v>
      </c>
      <c r="L576">
        <v>575</v>
      </c>
      <c r="M576">
        <v>574</v>
      </c>
    </row>
    <row r="577" spans="1:13" hidden="1" x14ac:dyDescent="0.3">
      <c r="A577" s="1">
        <v>44180</v>
      </c>
      <c r="B577" s="2" t="s">
        <v>2</v>
      </c>
      <c r="C577">
        <v>11322</v>
      </c>
      <c r="D577">
        <v>116</v>
      </c>
      <c r="E577">
        <v>1343</v>
      </c>
      <c r="F577">
        <v>9732</v>
      </c>
      <c r="G577">
        <v>47</v>
      </c>
      <c r="H577">
        <v>13</v>
      </c>
      <c r="I577">
        <v>213051</v>
      </c>
      <c r="J577">
        <v>56933</v>
      </c>
      <c r="K577">
        <v>248</v>
      </c>
      <c r="L577">
        <v>576</v>
      </c>
      <c r="M577">
        <v>575</v>
      </c>
    </row>
    <row r="578" spans="1:13" hidden="1" x14ac:dyDescent="0.3">
      <c r="A578" s="1">
        <v>44181</v>
      </c>
      <c r="B578" s="2" t="s">
        <v>2</v>
      </c>
      <c r="C578">
        <v>11417</v>
      </c>
      <c r="D578">
        <v>92</v>
      </c>
      <c r="E578">
        <v>1308</v>
      </c>
      <c r="F578">
        <v>9861</v>
      </c>
      <c r="G578">
        <v>45</v>
      </c>
      <c r="H578">
        <v>13</v>
      </c>
      <c r="I578">
        <v>215719</v>
      </c>
      <c r="J578">
        <v>57026</v>
      </c>
      <c r="K578">
        <v>249</v>
      </c>
      <c r="L578">
        <v>577</v>
      </c>
      <c r="M578">
        <v>576</v>
      </c>
    </row>
    <row r="579" spans="1:13" hidden="1" x14ac:dyDescent="0.3">
      <c r="A579" s="1">
        <v>44182</v>
      </c>
      <c r="B579" s="2" t="s">
        <v>2</v>
      </c>
      <c r="C579">
        <v>11512</v>
      </c>
      <c r="D579">
        <v>90</v>
      </c>
      <c r="E579">
        <v>1302</v>
      </c>
      <c r="F579">
        <v>9961</v>
      </c>
      <c r="G579">
        <v>53</v>
      </c>
      <c r="H579">
        <v>13</v>
      </c>
      <c r="I579">
        <v>217358</v>
      </c>
      <c r="J579">
        <v>57120</v>
      </c>
      <c r="K579">
        <v>250</v>
      </c>
      <c r="L579">
        <v>578</v>
      </c>
      <c r="M579">
        <v>577</v>
      </c>
    </row>
    <row r="580" spans="1:13" hidden="1" x14ac:dyDescent="0.3">
      <c r="A580" s="1">
        <v>44183</v>
      </c>
      <c r="B580" s="2" t="s">
        <v>2</v>
      </c>
      <c r="C580">
        <v>11595</v>
      </c>
      <c r="D580">
        <v>75</v>
      </c>
      <c r="E580">
        <v>1247</v>
      </c>
      <c r="F580">
        <v>10098</v>
      </c>
      <c r="G580">
        <v>45</v>
      </c>
      <c r="H580">
        <v>12</v>
      </c>
      <c r="I580">
        <v>219144</v>
      </c>
      <c r="J580">
        <v>57230</v>
      </c>
      <c r="K580">
        <v>251</v>
      </c>
      <c r="L580">
        <v>579</v>
      </c>
      <c r="M580">
        <v>578</v>
      </c>
    </row>
    <row r="581" spans="1:13" hidden="1" x14ac:dyDescent="0.3">
      <c r="A581" s="1">
        <v>44184</v>
      </c>
      <c r="B581" s="2" t="s">
        <v>2</v>
      </c>
      <c r="C581">
        <v>11671</v>
      </c>
      <c r="D581">
        <v>79</v>
      </c>
      <c r="E581">
        <v>1243</v>
      </c>
      <c r="F581">
        <v>10178</v>
      </c>
      <c r="G581">
        <v>47</v>
      </c>
      <c r="H581">
        <v>12</v>
      </c>
      <c r="I581">
        <v>221745</v>
      </c>
      <c r="J581">
        <v>57288</v>
      </c>
      <c r="K581">
        <v>251</v>
      </c>
      <c r="L581">
        <v>580</v>
      </c>
      <c r="M581">
        <v>579</v>
      </c>
    </row>
    <row r="582" spans="1:13" hidden="1" x14ac:dyDescent="0.3">
      <c r="A582" s="1">
        <v>44185</v>
      </c>
      <c r="B582" s="2" t="s">
        <v>2</v>
      </c>
      <c r="C582">
        <v>11740</v>
      </c>
      <c r="D582">
        <v>68</v>
      </c>
      <c r="E582">
        <v>1246</v>
      </c>
      <c r="F582">
        <v>10244</v>
      </c>
      <c r="G582">
        <v>49</v>
      </c>
      <c r="H582">
        <v>12</v>
      </c>
      <c r="I582">
        <v>223498</v>
      </c>
      <c r="J582">
        <v>57335</v>
      </c>
      <c r="K582">
        <v>251</v>
      </c>
      <c r="L582">
        <v>581</v>
      </c>
      <c r="M582">
        <v>580</v>
      </c>
    </row>
    <row r="583" spans="1:13" hidden="1" x14ac:dyDescent="0.3">
      <c r="A583" s="1">
        <v>44186</v>
      </c>
      <c r="B583" s="2" t="s">
        <v>2</v>
      </c>
      <c r="C583">
        <v>11786</v>
      </c>
      <c r="D583">
        <v>41</v>
      </c>
      <c r="E583">
        <v>1242</v>
      </c>
      <c r="F583">
        <v>10292</v>
      </c>
      <c r="G583">
        <v>51</v>
      </c>
      <c r="H583">
        <v>9</v>
      </c>
      <c r="I583">
        <v>225997</v>
      </c>
      <c r="J583">
        <v>57462</v>
      </c>
      <c r="K583">
        <v>253</v>
      </c>
      <c r="L583">
        <v>582</v>
      </c>
      <c r="M583">
        <v>581</v>
      </c>
    </row>
    <row r="584" spans="1:13" hidden="1" x14ac:dyDescent="0.3">
      <c r="A584" s="1">
        <v>44187</v>
      </c>
      <c r="B584" s="2" t="s">
        <v>2</v>
      </c>
      <c r="C584">
        <v>11878</v>
      </c>
      <c r="D584">
        <v>82</v>
      </c>
      <c r="E584">
        <v>1216</v>
      </c>
      <c r="F584">
        <v>10409</v>
      </c>
      <c r="G584">
        <v>56</v>
      </c>
      <c r="H584">
        <v>11</v>
      </c>
      <c r="I584">
        <v>228944</v>
      </c>
      <c r="J584">
        <v>57574</v>
      </c>
      <c r="K584">
        <v>254</v>
      </c>
      <c r="L584">
        <v>583</v>
      </c>
      <c r="M584">
        <v>582</v>
      </c>
    </row>
    <row r="585" spans="1:13" hidden="1" x14ac:dyDescent="0.3">
      <c r="A585" s="1">
        <v>44188</v>
      </c>
      <c r="B585" s="2" t="s">
        <v>2</v>
      </c>
      <c r="C585">
        <v>11995</v>
      </c>
      <c r="D585">
        <v>111</v>
      </c>
      <c r="E585">
        <v>1265</v>
      </c>
      <c r="F585">
        <v>10474</v>
      </c>
      <c r="G585">
        <v>54</v>
      </c>
      <c r="H585">
        <v>11</v>
      </c>
      <c r="I585">
        <v>231728</v>
      </c>
      <c r="J585">
        <v>57688</v>
      </c>
      <c r="K585">
        <v>257</v>
      </c>
      <c r="L585">
        <v>584</v>
      </c>
      <c r="M585">
        <v>583</v>
      </c>
    </row>
    <row r="586" spans="1:13" hidden="1" x14ac:dyDescent="0.3">
      <c r="A586" s="1">
        <v>44189</v>
      </c>
      <c r="B586" s="2" t="s">
        <v>2</v>
      </c>
      <c r="C586">
        <v>12060</v>
      </c>
      <c r="D586">
        <v>52</v>
      </c>
      <c r="E586">
        <v>1279</v>
      </c>
      <c r="F586">
        <v>10525</v>
      </c>
      <c r="G586">
        <v>50</v>
      </c>
      <c r="H586">
        <v>12</v>
      </c>
      <c r="I586">
        <v>233697</v>
      </c>
      <c r="J586">
        <v>57808</v>
      </c>
      <c r="K586">
        <v>257</v>
      </c>
      <c r="L586">
        <v>585</v>
      </c>
      <c r="M586">
        <v>584</v>
      </c>
    </row>
    <row r="587" spans="1:13" hidden="1" x14ac:dyDescent="0.3">
      <c r="A587" s="1">
        <v>44190</v>
      </c>
      <c r="B587" s="2" t="s">
        <v>2</v>
      </c>
      <c r="C587">
        <v>12148</v>
      </c>
      <c r="D587">
        <v>94</v>
      </c>
      <c r="E587">
        <v>1232</v>
      </c>
      <c r="F587">
        <v>10659</v>
      </c>
      <c r="G587">
        <v>51</v>
      </c>
      <c r="H587">
        <v>13</v>
      </c>
      <c r="I587">
        <v>234881</v>
      </c>
      <c r="J587">
        <v>57852</v>
      </c>
      <c r="K587">
        <v>258</v>
      </c>
      <c r="L587">
        <v>586</v>
      </c>
      <c r="M587">
        <v>585</v>
      </c>
    </row>
    <row r="588" spans="1:13" hidden="1" x14ac:dyDescent="0.3">
      <c r="A588" s="1">
        <v>44191</v>
      </c>
      <c r="B588" s="2" t="s">
        <v>2</v>
      </c>
      <c r="C588">
        <v>12187</v>
      </c>
      <c r="D588">
        <v>38</v>
      </c>
      <c r="E588">
        <v>1226</v>
      </c>
      <c r="F588">
        <v>10701</v>
      </c>
      <c r="G588">
        <v>50</v>
      </c>
      <c r="H588">
        <v>11</v>
      </c>
      <c r="I588">
        <v>235406</v>
      </c>
      <c r="J588">
        <v>57919</v>
      </c>
      <c r="K588">
        <v>261</v>
      </c>
      <c r="L588">
        <v>587</v>
      </c>
      <c r="M588">
        <v>586</v>
      </c>
    </row>
    <row r="589" spans="1:13" hidden="1" x14ac:dyDescent="0.3">
      <c r="A589" s="1">
        <v>44192</v>
      </c>
      <c r="B589" s="2" t="s">
        <v>2</v>
      </c>
      <c r="C589">
        <v>12239</v>
      </c>
      <c r="D589">
        <v>51</v>
      </c>
      <c r="E589">
        <v>1177</v>
      </c>
      <c r="F589">
        <v>10801</v>
      </c>
      <c r="G589">
        <v>51</v>
      </c>
      <c r="H589">
        <v>12</v>
      </c>
      <c r="I589">
        <v>236261</v>
      </c>
      <c r="J589">
        <v>57983</v>
      </c>
      <c r="K589">
        <v>262</v>
      </c>
      <c r="L589">
        <v>588</v>
      </c>
      <c r="M589">
        <v>587</v>
      </c>
    </row>
    <row r="590" spans="1:13" hidden="1" x14ac:dyDescent="0.3">
      <c r="A590" s="1">
        <v>44193</v>
      </c>
      <c r="B590" s="2" t="s">
        <v>2</v>
      </c>
      <c r="C590">
        <v>12316</v>
      </c>
      <c r="D590">
        <v>70</v>
      </c>
      <c r="E590">
        <v>1192</v>
      </c>
      <c r="F590">
        <v>10862</v>
      </c>
      <c r="G590">
        <v>44</v>
      </c>
      <c r="H590">
        <v>12</v>
      </c>
      <c r="I590">
        <v>236973</v>
      </c>
      <c r="J590">
        <v>58090</v>
      </c>
      <c r="K590">
        <v>263</v>
      </c>
      <c r="L590">
        <v>589</v>
      </c>
      <c r="M590">
        <v>588</v>
      </c>
    </row>
    <row r="591" spans="1:13" hidden="1" x14ac:dyDescent="0.3">
      <c r="A591" s="1">
        <v>44194</v>
      </c>
      <c r="B591" s="2" t="s">
        <v>2</v>
      </c>
      <c r="C591">
        <v>12391</v>
      </c>
      <c r="D591">
        <v>73</v>
      </c>
      <c r="E591">
        <v>1173</v>
      </c>
      <c r="F591">
        <v>10952</v>
      </c>
      <c r="G591">
        <v>40</v>
      </c>
      <c r="H591">
        <v>11</v>
      </c>
      <c r="I591">
        <v>238334</v>
      </c>
      <c r="J591">
        <v>58197</v>
      </c>
      <c r="K591">
        <v>267</v>
      </c>
      <c r="L591">
        <v>590</v>
      </c>
      <c r="M591">
        <v>589</v>
      </c>
    </row>
    <row r="592" spans="1:13" hidden="1" x14ac:dyDescent="0.3">
      <c r="A592" s="1">
        <v>44195</v>
      </c>
      <c r="B592" s="2" t="s">
        <v>2</v>
      </c>
      <c r="C592">
        <v>12482</v>
      </c>
      <c r="D592">
        <v>78</v>
      </c>
      <c r="E592">
        <v>1137</v>
      </c>
      <c r="F592">
        <v>11076</v>
      </c>
      <c r="G592">
        <v>42</v>
      </c>
      <c r="H592">
        <v>11</v>
      </c>
      <c r="I592">
        <v>239822</v>
      </c>
      <c r="J592">
        <v>58318</v>
      </c>
      <c r="K592">
        <v>270</v>
      </c>
      <c r="L592">
        <v>591</v>
      </c>
      <c r="M592">
        <v>590</v>
      </c>
    </row>
    <row r="593" spans="1:13" hidden="1" x14ac:dyDescent="0.3">
      <c r="A593" s="1">
        <v>44196</v>
      </c>
      <c r="B593" s="2" t="s">
        <v>2</v>
      </c>
      <c r="C593">
        <v>12613</v>
      </c>
      <c r="D593">
        <v>110</v>
      </c>
      <c r="E593">
        <v>1181</v>
      </c>
      <c r="F593">
        <v>11162</v>
      </c>
      <c r="G593">
        <v>40</v>
      </c>
      <c r="H593">
        <v>9</v>
      </c>
      <c r="I593">
        <v>241510</v>
      </c>
      <c r="J593">
        <v>58439</v>
      </c>
      <c r="K593">
        <v>271</v>
      </c>
      <c r="L593">
        <v>592</v>
      </c>
      <c r="M593">
        <v>591</v>
      </c>
    </row>
    <row r="594" spans="1:13" hidden="1" x14ac:dyDescent="0.3">
      <c r="A594" s="1">
        <v>44197</v>
      </c>
      <c r="B594" s="2" t="s">
        <v>2</v>
      </c>
      <c r="C594">
        <v>12684</v>
      </c>
      <c r="D594">
        <v>65</v>
      </c>
      <c r="E594">
        <v>1175</v>
      </c>
      <c r="F594">
        <v>11239</v>
      </c>
      <c r="G594">
        <v>41</v>
      </c>
      <c r="H594">
        <v>11</v>
      </c>
      <c r="I594">
        <v>242347</v>
      </c>
      <c r="J594">
        <v>58492</v>
      </c>
      <c r="K594">
        <v>271</v>
      </c>
      <c r="L594">
        <v>593</v>
      </c>
      <c r="M594">
        <v>592</v>
      </c>
    </row>
    <row r="595" spans="1:13" hidden="1" x14ac:dyDescent="0.3">
      <c r="A595" s="1">
        <v>44198</v>
      </c>
      <c r="B595" s="2" t="s">
        <v>2</v>
      </c>
      <c r="C595">
        <v>12769</v>
      </c>
      <c r="D595">
        <v>87</v>
      </c>
      <c r="E595">
        <v>1173</v>
      </c>
      <c r="F595">
        <v>11326</v>
      </c>
      <c r="G595">
        <v>43</v>
      </c>
      <c r="H595">
        <v>12</v>
      </c>
      <c r="I595">
        <v>243394</v>
      </c>
      <c r="J595">
        <v>58559</v>
      </c>
      <c r="K595">
        <v>271</v>
      </c>
      <c r="L595">
        <v>594</v>
      </c>
      <c r="M595">
        <v>593</v>
      </c>
    </row>
    <row r="596" spans="1:13" hidden="1" x14ac:dyDescent="0.3">
      <c r="A596" s="1">
        <v>44199</v>
      </c>
      <c r="B596" s="2" t="s">
        <v>2</v>
      </c>
      <c r="C596">
        <v>12802</v>
      </c>
      <c r="D596">
        <v>28</v>
      </c>
      <c r="E596">
        <v>1134</v>
      </c>
      <c r="F596">
        <v>11397</v>
      </c>
      <c r="G596">
        <v>51</v>
      </c>
      <c r="H596">
        <v>11</v>
      </c>
      <c r="I596">
        <v>244550</v>
      </c>
      <c r="J596">
        <v>58615</v>
      </c>
      <c r="K596">
        <v>272</v>
      </c>
      <c r="L596">
        <v>595</v>
      </c>
      <c r="M596">
        <v>594</v>
      </c>
    </row>
    <row r="597" spans="1:13" hidden="1" x14ac:dyDescent="0.3">
      <c r="A597" s="1">
        <v>44200</v>
      </c>
      <c r="B597" s="2" t="s">
        <v>2</v>
      </c>
      <c r="C597">
        <v>12834</v>
      </c>
      <c r="D597">
        <v>29</v>
      </c>
      <c r="E597">
        <v>1113</v>
      </c>
      <c r="F597">
        <v>11450</v>
      </c>
      <c r="G597">
        <v>49</v>
      </c>
      <c r="H597">
        <v>12</v>
      </c>
      <c r="I597">
        <v>245275</v>
      </c>
      <c r="J597">
        <v>58724</v>
      </c>
      <c r="K597">
        <v>272</v>
      </c>
      <c r="L597">
        <v>596</v>
      </c>
      <c r="M597">
        <v>595</v>
      </c>
    </row>
    <row r="598" spans="1:13" hidden="1" x14ac:dyDescent="0.3">
      <c r="A598" s="1">
        <v>44201</v>
      </c>
      <c r="B598" s="2" t="s">
        <v>2</v>
      </c>
      <c r="C598">
        <v>12929</v>
      </c>
      <c r="D598">
        <v>90</v>
      </c>
      <c r="E598">
        <v>1146</v>
      </c>
      <c r="F598">
        <v>11511</v>
      </c>
      <c r="G598">
        <v>41</v>
      </c>
      <c r="H598">
        <v>13</v>
      </c>
      <c r="I598">
        <v>246582</v>
      </c>
      <c r="J598">
        <v>58862</v>
      </c>
      <c r="K598">
        <v>273</v>
      </c>
      <c r="L598">
        <v>597</v>
      </c>
      <c r="M598">
        <v>596</v>
      </c>
    </row>
    <row r="599" spans="1:13" hidden="1" x14ac:dyDescent="0.3">
      <c r="A599" s="1">
        <v>44202</v>
      </c>
      <c r="B599" s="2" t="s">
        <v>2</v>
      </c>
      <c r="C599">
        <v>13113</v>
      </c>
      <c r="D599">
        <v>181</v>
      </c>
      <c r="E599">
        <v>1260</v>
      </c>
      <c r="F599">
        <v>11581</v>
      </c>
      <c r="G599">
        <v>45</v>
      </c>
      <c r="H599">
        <v>14</v>
      </c>
      <c r="I599">
        <v>248071</v>
      </c>
      <c r="J599">
        <v>58939</v>
      </c>
      <c r="K599">
        <v>273</v>
      </c>
      <c r="L599">
        <v>598</v>
      </c>
      <c r="M599">
        <v>597</v>
      </c>
    </row>
    <row r="600" spans="1:13" hidden="1" x14ac:dyDescent="0.3">
      <c r="A600" s="1">
        <v>44203</v>
      </c>
      <c r="B600" s="2" t="s">
        <v>2</v>
      </c>
      <c r="C600">
        <v>13191</v>
      </c>
      <c r="D600">
        <v>66</v>
      </c>
      <c r="E600">
        <v>1222</v>
      </c>
      <c r="F600">
        <v>11694</v>
      </c>
      <c r="G600">
        <v>39</v>
      </c>
      <c r="H600">
        <v>16</v>
      </c>
      <c r="I600">
        <v>248732</v>
      </c>
      <c r="J600">
        <v>59037</v>
      </c>
      <c r="K600">
        <v>276</v>
      </c>
      <c r="L600">
        <v>599</v>
      </c>
      <c r="M600">
        <v>598</v>
      </c>
    </row>
    <row r="601" spans="1:13" hidden="1" x14ac:dyDescent="0.3">
      <c r="A601" s="1">
        <v>44204</v>
      </c>
      <c r="B601" s="2" t="s">
        <v>2</v>
      </c>
      <c r="C601">
        <v>13411</v>
      </c>
      <c r="D601">
        <v>209</v>
      </c>
      <c r="E601">
        <v>1330</v>
      </c>
      <c r="F601">
        <v>11805</v>
      </c>
      <c r="G601">
        <v>41</v>
      </c>
      <c r="H601">
        <v>18</v>
      </c>
      <c r="I601">
        <v>250599</v>
      </c>
      <c r="J601">
        <v>59226</v>
      </c>
      <c r="K601">
        <v>277</v>
      </c>
      <c r="L601">
        <v>600</v>
      </c>
      <c r="M601">
        <v>599</v>
      </c>
    </row>
    <row r="602" spans="1:13" hidden="1" x14ac:dyDescent="0.3">
      <c r="A602" s="1">
        <v>44205</v>
      </c>
      <c r="B602" s="2" t="s">
        <v>2</v>
      </c>
      <c r="C602">
        <v>13547</v>
      </c>
      <c r="D602">
        <v>133</v>
      </c>
      <c r="E602">
        <v>1397</v>
      </c>
      <c r="F602">
        <v>11874</v>
      </c>
      <c r="G602">
        <v>41</v>
      </c>
      <c r="H602">
        <v>16</v>
      </c>
      <c r="I602">
        <v>252346</v>
      </c>
      <c r="J602">
        <v>59305</v>
      </c>
      <c r="K602">
        <v>277</v>
      </c>
      <c r="L602">
        <v>601</v>
      </c>
      <c r="M602">
        <v>600</v>
      </c>
    </row>
    <row r="603" spans="1:13" hidden="1" x14ac:dyDescent="0.3">
      <c r="A603" s="1">
        <v>44206</v>
      </c>
      <c r="B603" s="2" t="s">
        <v>2</v>
      </c>
      <c r="C603">
        <v>13667</v>
      </c>
      <c r="D603">
        <v>111</v>
      </c>
      <c r="E603">
        <v>1484</v>
      </c>
      <c r="F603">
        <v>11906</v>
      </c>
      <c r="G603">
        <v>42</v>
      </c>
      <c r="H603">
        <v>19</v>
      </c>
      <c r="I603">
        <v>254048</v>
      </c>
      <c r="J603">
        <v>59344</v>
      </c>
      <c r="K603">
        <v>277</v>
      </c>
      <c r="L603">
        <v>602</v>
      </c>
      <c r="M603">
        <v>601</v>
      </c>
    </row>
    <row r="604" spans="1:13" hidden="1" x14ac:dyDescent="0.3">
      <c r="A604" s="1">
        <v>44207</v>
      </c>
      <c r="B604" s="2" t="s">
        <v>2</v>
      </c>
      <c r="C604">
        <v>13815</v>
      </c>
      <c r="D604">
        <v>140</v>
      </c>
      <c r="E604">
        <v>1579</v>
      </c>
      <c r="F604">
        <v>11957</v>
      </c>
      <c r="G604">
        <v>45</v>
      </c>
      <c r="H604">
        <v>20</v>
      </c>
      <c r="I604">
        <v>255364</v>
      </c>
      <c r="J604">
        <v>59450</v>
      </c>
      <c r="K604">
        <v>279</v>
      </c>
      <c r="L604">
        <v>603</v>
      </c>
      <c r="M604">
        <v>602</v>
      </c>
    </row>
    <row r="605" spans="1:13" hidden="1" x14ac:dyDescent="0.3">
      <c r="A605" s="1">
        <v>44208</v>
      </c>
      <c r="B605" s="2" t="s">
        <v>2</v>
      </c>
      <c r="C605">
        <v>14036</v>
      </c>
      <c r="D605">
        <v>210</v>
      </c>
      <c r="E605">
        <v>1720</v>
      </c>
      <c r="F605">
        <v>12036</v>
      </c>
      <c r="G605">
        <v>44</v>
      </c>
      <c r="H605">
        <v>22</v>
      </c>
      <c r="I605">
        <v>257339</v>
      </c>
      <c r="J605">
        <v>59668</v>
      </c>
      <c r="K605">
        <v>280</v>
      </c>
      <c r="L605">
        <v>604</v>
      </c>
      <c r="M605">
        <v>603</v>
      </c>
    </row>
    <row r="606" spans="1:13" hidden="1" x14ac:dyDescent="0.3">
      <c r="A606" s="1">
        <v>44209</v>
      </c>
      <c r="B606" s="2" t="s">
        <v>2</v>
      </c>
      <c r="C606">
        <v>14280</v>
      </c>
      <c r="D606">
        <v>214</v>
      </c>
      <c r="E606">
        <v>1893</v>
      </c>
      <c r="F606">
        <v>12106</v>
      </c>
      <c r="G606">
        <v>47</v>
      </c>
      <c r="H606">
        <v>22</v>
      </c>
      <c r="I606">
        <v>259614</v>
      </c>
      <c r="J606">
        <v>59944</v>
      </c>
      <c r="K606">
        <v>281</v>
      </c>
      <c r="L606">
        <v>605</v>
      </c>
      <c r="M606">
        <v>604</v>
      </c>
    </row>
    <row r="607" spans="1:13" hidden="1" x14ac:dyDescent="0.3">
      <c r="A607" s="1">
        <v>44210</v>
      </c>
      <c r="B607" s="2" t="s">
        <v>2</v>
      </c>
      <c r="C607">
        <v>14471</v>
      </c>
      <c r="D607">
        <v>181</v>
      </c>
      <c r="E607">
        <v>1994</v>
      </c>
      <c r="F607">
        <v>12196</v>
      </c>
      <c r="G607">
        <v>56</v>
      </c>
      <c r="H607">
        <v>22</v>
      </c>
      <c r="I607">
        <v>261696</v>
      </c>
      <c r="J607">
        <v>60315</v>
      </c>
      <c r="K607">
        <v>281</v>
      </c>
      <c r="L607">
        <v>606</v>
      </c>
      <c r="M607">
        <v>605</v>
      </c>
    </row>
    <row r="608" spans="1:13" hidden="1" x14ac:dyDescent="0.3">
      <c r="A608" s="1">
        <v>44211</v>
      </c>
      <c r="B608" s="2" t="s">
        <v>2</v>
      </c>
      <c r="C608">
        <v>14749</v>
      </c>
      <c r="D608">
        <v>255</v>
      </c>
      <c r="E608">
        <v>2167</v>
      </c>
      <c r="F608">
        <v>12298</v>
      </c>
      <c r="G608">
        <v>50</v>
      </c>
      <c r="H608">
        <v>19</v>
      </c>
      <c r="I608">
        <v>263939</v>
      </c>
      <c r="J608">
        <v>60626</v>
      </c>
      <c r="K608">
        <v>284</v>
      </c>
      <c r="L608">
        <v>607</v>
      </c>
      <c r="M608">
        <v>606</v>
      </c>
    </row>
    <row r="609" spans="1:13" hidden="1" x14ac:dyDescent="0.3">
      <c r="A609" s="1">
        <v>44212</v>
      </c>
      <c r="B609" s="2" t="s">
        <v>2</v>
      </c>
      <c r="C609">
        <v>15005</v>
      </c>
      <c r="D609">
        <v>252</v>
      </c>
      <c r="E609">
        <v>2333</v>
      </c>
      <c r="F609">
        <v>12388</v>
      </c>
      <c r="G609">
        <v>66</v>
      </c>
      <c r="H609">
        <v>18</v>
      </c>
      <c r="I609">
        <v>266422</v>
      </c>
      <c r="J609">
        <v>60761</v>
      </c>
      <c r="K609">
        <v>284</v>
      </c>
      <c r="L609">
        <v>608</v>
      </c>
      <c r="M609">
        <v>607</v>
      </c>
    </row>
    <row r="610" spans="1:13" hidden="1" x14ac:dyDescent="0.3">
      <c r="A610" s="1">
        <v>44213</v>
      </c>
      <c r="B610" s="2" t="s">
        <v>2</v>
      </c>
      <c r="C610">
        <v>15159</v>
      </c>
      <c r="D610">
        <v>133</v>
      </c>
      <c r="E610">
        <v>2452</v>
      </c>
      <c r="F610">
        <v>12422</v>
      </c>
      <c r="G610">
        <v>85</v>
      </c>
      <c r="H610">
        <v>20</v>
      </c>
      <c r="I610">
        <v>267889</v>
      </c>
      <c r="J610">
        <v>60887</v>
      </c>
      <c r="K610">
        <v>285</v>
      </c>
      <c r="L610">
        <v>609</v>
      </c>
      <c r="M610">
        <v>608</v>
      </c>
    </row>
    <row r="611" spans="1:13" hidden="1" x14ac:dyDescent="0.3">
      <c r="A611" s="1">
        <v>44214</v>
      </c>
      <c r="B611" s="2" t="s">
        <v>2</v>
      </c>
      <c r="C611">
        <v>15346</v>
      </c>
      <c r="D611">
        <v>169</v>
      </c>
      <c r="E611">
        <v>2596</v>
      </c>
      <c r="F611">
        <v>12461</v>
      </c>
      <c r="G611">
        <v>90</v>
      </c>
      <c r="H611">
        <v>21</v>
      </c>
      <c r="I611">
        <v>270462</v>
      </c>
      <c r="J611">
        <v>61179</v>
      </c>
      <c r="K611">
        <v>289</v>
      </c>
      <c r="L611">
        <v>610</v>
      </c>
      <c r="M611">
        <v>609</v>
      </c>
    </row>
    <row r="612" spans="1:13" hidden="1" x14ac:dyDescent="0.3">
      <c r="A612" s="1">
        <v>44215</v>
      </c>
      <c r="B612" s="2" t="s">
        <v>2</v>
      </c>
      <c r="C612">
        <v>15585</v>
      </c>
      <c r="D612">
        <v>203</v>
      </c>
      <c r="E612">
        <v>2776</v>
      </c>
      <c r="F612">
        <v>12518</v>
      </c>
      <c r="G612">
        <v>112</v>
      </c>
      <c r="H612">
        <v>22</v>
      </c>
      <c r="I612">
        <v>273041</v>
      </c>
      <c r="J612">
        <v>61439</v>
      </c>
      <c r="K612">
        <v>291</v>
      </c>
      <c r="L612">
        <v>611</v>
      </c>
      <c r="M612">
        <v>610</v>
      </c>
    </row>
    <row r="613" spans="1:13" hidden="1" x14ac:dyDescent="0.3">
      <c r="A613" s="1">
        <v>44216</v>
      </c>
      <c r="B613" s="2" t="s">
        <v>2</v>
      </c>
      <c r="C613">
        <v>15908</v>
      </c>
      <c r="D613">
        <v>289</v>
      </c>
      <c r="E613">
        <v>2942</v>
      </c>
      <c r="F613">
        <v>12670</v>
      </c>
      <c r="G613">
        <v>117</v>
      </c>
      <c r="H613">
        <v>22</v>
      </c>
      <c r="I613">
        <v>276342</v>
      </c>
      <c r="J613">
        <v>61803</v>
      </c>
      <c r="K613">
        <v>296</v>
      </c>
      <c r="L613">
        <v>612</v>
      </c>
      <c r="M613">
        <v>611</v>
      </c>
    </row>
    <row r="614" spans="1:13" hidden="1" x14ac:dyDescent="0.3">
      <c r="A614" s="1">
        <v>44217</v>
      </c>
      <c r="B614" s="2" t="s">
        <v>2</v>
      </c>
      <c r="C614">
        <v>16262</v>
      </c>
      <c r="D614">
        <v>332</v>
      </c>
      <c r="E614">
        <v>3153</v>
      </c>
      <c r="F614">
        <v>12809</v>
      </c>
      <c r="G614">
        <v>116</v>
      </c>
      <c r="H614">
        <v>21</v>
      </c>
      <c r="I614">
        <v>278956</v>
      </c>
      <c r="J614">
        <v>62382</v>
      </c>
      <c r="K614">
        <v>301</v>
      </c>
      <c r="L614">
        <v>613</v>
      </c>
      <c r="M614">
        <v>612</v>
      </c>
    </row>
    <row r="615" spans="1:13" hidden="1" x14ac:dyDescent="0.3">
      <c r="A615" s="1">
        <v>44218</v>
      </c>
      <c r="B615" s="2" t="s">
        <v>2</v>
      </c>
      <c r="C615">
        <v>16593</v>
      </c>
      <c r="D615">
        <v>299</v>
      </c>
      <c r="E615">
        <v>3349</v>
      </c>
      <c r="F615">
        <v>12941</v>
      </c>
      <c r="G615">
        <v>126</v>
      </c>
      <c r="H615">
        <v>22</v>
      </c>
      <c r="I615">
        <v>280950</v>
      </c>
      <c r="J615">
        <v>62733</v>
      </c>
      <c r="K615">
        <v>304</v>
      </c>
      <c r="L615">
        <v>614</v>
      </c>
      <c r="M615">
        <v>613</v>
      </c>
    </row>
    <row r="616" spans="1:13" hidden="1" x14ac:dyDescent="0.3">
      <c r="A616" s="1">
        <v>44219</v>
      </c>
      <c r="B616" s="2" t="s">
        <v>2</v>
      </c>
      <c r="C616">
        <v>16868</v>
      </c>
      <c r="D616">
        <v>268</v>
      </c>
      <c r="E616">
        <v>3460</v>
      </c>
      <c r="F616">
        <v>13102</v>
      </c>
      <c r="G616">
        <v>139</v>
      </c>
      <c r="H616">
        <v>23</v>
      </c>
      <c r="I616">
        <v>283886</v>
      </c>
      <c r="J616">
        <v>62910</v>
      </c>
      <c r="K616">
        <v>307</v>
      </c>
      <c r="L616">
        <v>615</v>
      </c>
      <c r="M616">
        <v>614</v>
      </c>
    </row>
    <row r="617" spans="1:13" hidden="1" x14ac:dyDescent="0.3">
      <c r="A617" s="1">
        <v>44220</v>
      </c>
      <c r="B617" s="2" t="s">
        <v>2</v>
      </c>
      <c r="C617">
        <v>17098</v>
      </c>
      <c r="D617">
        <v>221</v>
      </c>
      <c r="E617">
        <v>3542</v>
      </c>
      <c r="F617">
        <v>13250</v>
      </c>
      <c r="G617">
        <v>154</v>
      </c>
      <c r="H617">
        <v>21</v>
      </c>
      <c r="I617">
        <v>286677</v>
      </c>
      <c r="J617">
        <v>63044</v>
      </c>
      <c r="K617">
        <v>308</v>
      </c>
      <c r="L617">
        <v>616</v>
      </c>
      <c r="M617">
        <v>615</v>
      </c>
    </row>
    <row r="618" spans="1:13" hidden="1" x14ac:dyDescent="0.3">
      <c r="A618" s="1">
        <v>44221</v>
      </c>
      <c r="B618" s="2" t="s">
        <v>2</v>
      </c>
      <c r="C618">
        <v>17275</v>
      </c>
      <c r="D618">
        <v>151</v>
      </c>
      <c r="E618">
        <v>3630</v>
      </c>
      <c r="F618">
        <v>13336</v>
      </c>
      <c r="G618">
        <v>159</v>
      </c>
      <c r="H618">
        <v>23</v>
      </c>
      <c r="I618">
        <v>288406</v>
      </c>
      <c r="J618">
        <v>63407</v>
      </c>
      <c r="K618">
        <v>311</v>
      </c>
      <c r="L618">
        <v>617</v>
      </c>
      <c r="M618">
        <v>616</v>
      </c>
    </row>
    <row r="619" spans="1:13" hidden="1" x14ac:dyDescent="0.3">
      <c r="A619" s="1">
        <v>44222</v>
      </c>
      <c r="B619" s="2" t="s">
        <v>2</v>
      </c>
      <c r="C619">
        <v>17500</v>
      </c>
      <c r="D619">
        <v>210</v>
      </c>
      <c r="E619">
        <v>3680</v>
      </c>
      <c r="F619">
        <v>13511</v>
      </c>
      <c r="G619">
        <v>178</v>
      </c>
      <c r="H619">
        <v>23</v>
      </c>
      <c r="I619">
        <v>290988</v>
      </c>
      <c r="J619">
        <v>63849</v>
      </c>
      <c r="K619">
        <v>312</v>
      </c>
      <c r="L619">
        <v>618</v>
      </c>
      <c r="M619">
        <v>617</v>
      </c>
    </row>
    <row r="620" spans="1:13" hidden="1" x14ac:dyDescent="0.3">
      <c r="A620" s="1">
        <v>44223</v>
      </c>
      <c r="B620" s="2" t="s">
        <v>2</v>
      </c>
      <c r="C620">
        <v>17755</v>
      </c>
      <c r="D620">
        <v>201</v>
      </c>
      <c r="E620">
        <v>3681</v>
      </c>
      <c r="F620">
        <v>13761</v>
      </c>
      <c r="G620">
        <v>172</v>
      </c>
      <c r="H620">
        <v>23</v>
      </c>
      <c r="I620">
        <v>293411</v>
      </c>
      <c r="J620">
        <v>64129</v>
      </c>
      <c r="K620">
        <v>316</v>
      </c>
      <c r="L620">
        <v>619</v>
      </c>
      <c r="M620">
        <v>618</v>
      </c>
    </row>
    <row r="621" spans="1:13" hidden="1" x14ac:dyDescent="0.3">
      <c r="A621" s="1">
        <v>44224</v>
      </c>
      <c r="B621" s="2" t="s">
        <v>2</v>
      </c>
      <c r="C621">
        <v>18104</v>
      </c>
      <c r="D621">
        <v>333</v>
      </c>
      <c r="E621">
        <v>3799</v>
      </c>
      <c r="F621">
        <v>13990</v>
      </c>
      <c r="G621">
        <v>164</v>
      </c>
      <c r="H621">
        <v>23</v>
      </c>
      <c r="I621">
        <v>296339</v>
      </c>
      <c r="J621">
        <v>64512</v>
      </c>
      <c r="K621">
        <v>318</v>
      </c>
      <c r="L621">
        <v>620</v>
      </c>
      <c r="M621">
        <v>619</v>
      </c>
    </row>
    <row r="622" spans="1:13" hidden="1" x14ac:dyDescent="0.3">
      <c r="A622" s="1">
        <v>44225</v>
      </c>
      <c r="B622" s="2" t="s">
        <v>2</v>
      </c>
      <c r="C622">
        <v>18355</v>
      </c>
      <c r="D622">
        <v>236</v>
      </c>
      <c r="E622">
        <v>3846</v>
      </c>
      <c r="F622">
        <v>14186</v>
      </c>
      <c r="G622">
        <v>153</v>
      </c>
      <c r="H622">
        <v>21</v>
      </c>
      <c r="I622">
        <v>298797</v>
      </c>
      <c r="J622">
        <v>64928</v>
      </c>
      <c r="K622">
        <v>326</v>
      </c>
      <c r="L622">
        <v>621</v>
      </c>
      <c r="M622">
        <v>620</v>
      </c>
    </row>
    <row r="623" spans="1:13" hidden="1" x14ac:dyDescent="0.3">
      <c r="A623" s="1">
        <v>44226</v>
      </c>
      <c r="B623" s="2" t="s">
        <v>2</v>
      </c>
      <c r="C623">
        <v>18632</v>
      </c>
      <c r="D623">
        <v>261</v>
      </c>
      <c r="E623">
        <v>3851</v>
      </c>
      <c r="F623">
        <v>14457</v>
      </c>
      <c r="G623">
        <v>154</v>
      </c>
      <c r="H623">
        <v>21</v>
      </c>
      <c r="I623">
        <v>301350</v>
      </c>
      <c r="J623">
        <v>65642</v>
      </c>
      <c r="K623">
        <v>326</v>
      </c>
      <c r="L623">
        <v>622</v>
      </c>
      <c r="M623">
        <v>621</v>
      </c>
    </row>
    <row r="624" spans="1:13" hidden="1" x14ac:dyDescent="0.3">
      <c r="A624" s="1">
        <v>44227</v>
      </c>
      <c r="B624" s="2" t="s">
        <v>2</v>
      </c>
      <c r="C624">
        <v>18785</v>
      </c>
      <c r="D624">
        <v>151</v>
      </c>
      <c r="E624">
        <v>3798</v>
      </c>
      <c r="F624">
        <v>14662</v>
      </c>
      <c r="G624">
        <v>166</v>
      </c>
      <c r="H624">
        <v>24</v>
      </c>
      <c r="I624">
        <v>303993</v>
      </c>
      <c r="J624">
        <v>69617</v>
      </c>
      <c r="K624">
        <v>327</v>
      </c>
      <c r="L624">
        <v>623</v>
      </c>
      <c r="M624">
        <v>622</v>
      </c>
    </row>
    <row r="625" spans="1:13" hidden="1" x14ac:dyDescent="0.3">
      <c r="A625" s="1">
        <v>44228</v>
      </c>
      <c r="B625" s="2" t="s">
        <v>2</v>
      </c>
      <c r="C625">
        <v>18920</v>
      </c>
      <c r="D625">
        <v>112</v>
      </c>
      <c r="E625">
        <v>3861</v>
      </c>
      <c r="F625">
        <v>14728</v>
      </c>
      <c r="G625">
        <v>172</v>
      </c>
      <c r="H625">
        <v>25</v>
      </c>
      <c r="I625">
        <v>305578</v>
      </c>
      <c r="J625">
        <v>74091</v>
      </c>
      <c r="K625">
        <v>333</v>
      </c>
      <c r="L625">
        <v>624</v>
      </c>
      <c r="M625">
        <v>623</v>
      </c>
    </row>
    <row r="626" spans="1:13" hidden="1" x14ac:dyDescent="0.3">
      <c r="A626" s="1">
        <v>44229</v>
      </c>
      <c r="B626" s="2" t="s">
        <v>2</v>
      </c>
      <c r="C626">
        <v>19159</v>
      </c>
      <c r="D626">
        <v>232</v>
      </c>
      <c r="E626">
        <v>3867</v>
      </c>
      <c r="F626">
        <v>14958</v>
      </c>
      <c r="G626">
        <v>165</v>
      </c>
      <c r="H626">
        <v>24</v>
      </c>
      <c r="I626">
        <v>308102</v>
      </c>
      <c r="J626">
        <v>78664</v>
      </c>
      <c r="K626">
        <v>336</v>
      </c>
      <c r="L626">
        <v>625</v>
      </c>
      <c r="M626">
        <v>624</v>
      </c>
    </row>
    <row r="627" spans="1:13" hidden="1" x14ac:dyDescent="0.3">
      <c r="A627" s="1">
        <v>44230</v>
      </c>
      <c r="B627" s="2" t="s">
        <v>2</v>
      </c>
      <c r="C627">
        <v>19363</v>
      </c>
      <c r="D627">
        <v>208</v>
      </c>
      <c r="E627">
        <v>3830</v>
      </c>
      <c r="F627">
        <v>15195</v>
      </c>
      <c r="G627">
        <v>153</v>
      </c>
      <c r="H627">
        <v>25</v>
      </c>
      <c r="I627">
        <v>310923</v>
      </c>
      <c r="J627">
        <v>82973</v>
      </c>
      <c r="K627">
        <v>340</v>
      </c>
      <c r="L627">
        <v>626</v>
      </c>
      <c r="M627">
        <v>625</v>
      </c>
    </row>
    <row r="628" spans="1:13" hidden="1" x14ac:dyDescent="0.3">
      <c r="A628" s="1">
        <v>44231</v>
      </c>
      <c r="B628" s="2" t="s">
        <v>2</v>
      </c>
      <c r="C628">
        <v>19498</v>
      </c>
      <c r="D628">
        <v>127</v>
      </c>
      <c r="E628">
        <v>3647</v>
      </c>
      <c r="F628">
        <v>15506</v>
      </c>
      <c r="G628">
        <v>136</v>
      </c>
      <c r="H628">
        <v>26</v>
      </c>
      <c r="I628">
        <v>312694</v>
      </c>
      <c r="J628">
        <v>87659</v>
      </c>
      <c r="K628">
        <v>347</v>
      </c>
      <c r="L628">
        <v>627</v>
      </c>
      <c r="M628">
        <v>626</v>
      </c>
    </row>
    <row r="629" spans="1:13" hidden="1" x14ac:dyDescent="0.3">
      <c r="A629" s="1">
        <v>44232</v>
      </c>
      <c r="B629" s="2" t="s">
        <v>2</v>
      </c>
      <c r="C629">
        <v>19654</v>
      </c>
      <c r="D629">
        <v>141</v>
      </c>
      <c r="E629">
        <v>3469</v>
      </c>
      <c r="F629">
        <v>15839</v>
      </c>
      <c r="G629">
        <v>135</v>
      </c>
      <c r="H629">
        <v>26</v>
      </c>
      <c r="I629">
        <v>315026</v>
      </c>
      <c r="J629">
        <v>88055</v>
      </c>
      <c r="K629">
        <v>348</v>
      </c>
      <c r="L629">
        <v>628</v>
      </c>
      <c r="M629">
        <v>627</v>
      </c>
    </row>
    <row r="630" spans="1:13" hidden="1" x14ac:dyDescent="0.3">
      <c r="A630" s="1">
        <v>44233</v>
      </c>
      <c r="B630" s="2" t="s">
        <v>2</v>
      </c>
      <c r="C630">
        <v>19757</v>
      </c>
      <c r="D630">
        <v>94</v>
      </c>
      <c r="E630">
        <v>3301</v>
      </c>
      <c r="F630">
        <v>16110</v>
      </c>
      <c r="G630">
        <v>136</v>
      </c>
      <c r="H630">
        <v>30</v>
      </c>
      <c r="I630">
        <v>318296</v>
      </c>
      <c r="J630">
        <v>88387</v>
      </c>
      <c r="K630">
        <v>348</v>
      </c>
      <c r="L630">
        <v>629</v>
      </c>
      <c r="M630">
        <v>628</v>
      </c>
    </row>
    <row r="631" spans="1:13" hidden="1" x14ac:dyDescent="0.3">
      <c r="A631" s="1">
        <v>44234</v>
      </c>
      <c r="B631" s="2" t="s">
        <v>2</v>
      </c>
      <c r="C631">
        <v>19828</v>
      </c>
      <c r="D631">
        <v>74</v>
      </c>
      <c r="E631">
        <v>3146</v>
      </c>
      <c r="F631">
        <v>16333</v>
      </c>
      <c r="G631">
        <v>145</v>
      </c>
      <c r="H631">
        <v>29</v>
      </c>
      <c r="I631">
        <v>320330</v>
      </c>
      <c r="J631">
        <v>88547</v>
      </c>
      <c r="K631">
        <v>351</v>
      </c>
      <c r="L631">
        <v>630</v>
      </c>
      <c r="M631">
        <v>629</v>
      </c>
    </row>
    <row r="632" spans="1:13" x14ac:dyDescent="0.3">
      <c r="A632" s="1">
        <v>44145</v>
      </c>
      <c r="B632" s="2" t="s">
        <v>3</v>
      </c>
      <c r="C632">
        <v>43053</v>
      </c>
      <c r="D632">
        <v>515</v>
      </c>
      <c r="E632">
        <v>9869</v>
      </c>
      <c r="F632">
        <v>32161</v>
      </c>
      <c r="G632">
        <v>516</v>
      </c>
      <c r="H632">
        <v>95</v>
      </c>
      <c r="I632">
        <v>764216</v>
      </c>
      <c r="J632">
        <v>407555</v>
      </c>
      <c r="K632">
        <v>1024</v>
      </c>
      <c r="L632">
        <v>631</v>
      </c>
      <c r="M632">
        <v>630</v>
      </c>
    </row>
    <row r="633" spans="1:13" x14ac:dyDescent="0.3">
      <c r="A633" s="1">
        <v>44146</v>
      </c>
      <c r="B633" s="2" t="s">
        <v>3</v>
      </c>
      <c r="C633">
        <v>43575</v>
      </c>
      <c r="D633">
        <v>523</v>
      </c>
      <c r="E633">
        <v>9554</v>
      </c>
      <c r="F633">
        <v>32984</v>
      </c>
      <c r="G633">
        <v>514</v>
      </c>
      <c r="H633">
        <v>90</v>
      </c>
      <c r="I633">
        <v>772344</v>
      </c>
      <c r="J633">
        <v>408165</v>
      </c>
      <c r="K633">
        <v>1039</v>
      </c>
      <c r="L633">
        <v>632</v>
      </c>
      <c r="M633">
        <v>631</v>
      </c>
    </row>
    <row r="634" spans="1:13" x14ac:dyDescent="0.3">
      <c r="A634" s="1">
        <v>44147</v>
      </c>
      <c r="B634" s="2" t="s">
        <v>3</v>
      </c>
      <c r="C634">
        <v>44201</v>
      </c>
      <c r="D634">
        <v>611</v>
      </c>
      <c r="E634">
        <v>9532</v>
      </c>
      <c r="F634">
        <v>33624</v>
      </c>
      <c r="G634">
        <v>494</v>
      </c>
      <c r="H634">
        <v>96</v>
      </c>
      <c r="I634">
        <v>780668</v>
      </c>
      <c r="J634">
        <v>409211</v>
      </c>
      <c r="K634">
        <v>1046</v>
      </c>
      <c r="L634">
        <v>633</v>
      </c>
      <c r="M634">
        <v>632</v>
      </c>
    </row>
    <row r="635" spans="1:13" x14ac:dyDescent="0.3">
      <c r="A635" s="1">
        <v>44148</v>
      </c>
      <c r="B635" s="2" t="s">
        <v>3</v>
      </c>
      <c r="C635">
        <v>44863</v>
      </c>
      <c r="D635">
        <v>640</v>
      </c>
      <c r="E635">
        <v>9554</v>
      </c>
      <c r="F635">
        <v>34254</v>
      </c>
      <c r="G635">
        <v>468</v>
      </c>
      <c r="H635">
        <v>100</v>
      </c>
      <c r="I635">
        <v>789671</v>
      </c>
      <c r="J635">
        <v>410307</v>
      </c>
      <c r="K635">
        <v>1056</v>
      </c>
      <c r="L635">
        <v>634</v>
      </c>
      <c r="M635">
        <v>633</v>
      </c>
    </row>
    <row r="636" spans="1:13" x14ac:dyDescent="0.3">
      <c r="A636" s="1">
        <v>44149</v>
      </c>
      <c r="B636" s="2" t="s">
        <v>3</v>
      </c>
      <c r="C636">
        <v>45362</v>
      </c>
      <c r="D636">
        <v>489</v>
      </c>
      <c r="E636">
        <v>9298</v>
      </c>
      <c r="F636">
        <v>35003</v>
      </c>
      <c r="G636">
        <v>473</v>
      </c>
      <c r="H636">
        <v>105</v>
      </c>
      <c r="I636">
        <v>797998</v>
      </c>
      <c r="J636">
        <v>410767</v>
      </c>
      <c r="K636">
        <v>1062</v>
      </c>
      <c r="L636">
        <v>635</v>
      </c>
      <c r="M636">
        <v>634</v>
      </c>
    </row>
    <row r="637" spans="1:13" x14ac:dyDescent="0.3">
      <c r="A637" s="1">
        <v>44150</v>
      </c>
      <c r="B637" s="2" t="s">
        <v>3</v>
      </c>
      <c r="C637">
        <v>45806</v>
      </c>
      <c r="D637">
        <v>442</v>
      </c>
      <c r="E637">
        <v>9110</v>
      </c>
      <c r="F637">
        <v>35628</v>
      </c>
      <c r="G637">
        <v>500</v>
      </c>
      <c r="H637">
        <v>110</v>
      </c>
      <c r="I637">
        <v>805044</v>
      </c>
      <c r="J637">
        <v>411071</v>
      </c>
      <c r="K637">
        <v>1069</v>
      </c>
      <c r="L637">
        <v>636</v>
      </c>
      <c r="M637">
        <v>635</v>
      </c>
    </row>
    <row r="638" spans="1:13" x14ac:dyDescent="0.3">
      <c r="A638" s="1">
        <v>44151</v>
      </c>
      <c r="B638" s="2" t="s">
        <v>3</v>
      </c>
      <c r="C638">
        <v>46215</v>
      </c>
      <c r="D638">
        <v>388</v>
      </c>
      <c r="E638">
        <v>9060</v>
      </c>
      <c r="F638">
        <v>36070</v>
      </c>
      <c r="G638">
        <v>503</v>
      </c>
      <c r="H638">
        <v>106</v>
      </c>
      <c r="I638">
        <v>811941</v>
      </c>
      <c r="J638">
        <v>411829</v>
      </c>
      <c r="K638">
        <v>1086</v>
      </c>
      <c r="L638">
        <v>637</v>
      </c>
      <c r="M638">
        <v>636</v>
      </c>
    </row>
    <row r="639" spans="1:13" x14ac:dyDescent="0.3">
      <c r="A639" s="1">
        <v>44152</v>
      </c>
      <c r="B639" s="2" t="s">
        <v>3</v>
      </c>
      <c r="C639">
        <v>46728</v>
      </c>
      <c r="D639">
        <v>501</v>
      </c>
      <c r="E639">
        <v>9051</v>
      </c>
      <c r="F639">
        <v>36586</v>
      </c>
      <c r="G639">
        <v>476</v>
      </c>
      <c r="H639">
        <v>102</v>
      </c>
      <c r="I639">
        <v>819277</v>
      </c>
      <c r="J639">
        <v>413236</v>
      </c>
      <c r="K639">
        <v>1092</v>
      </c>
      <c r="L639">
        <v>638</v>
      </c>
      <c r="M639">
        <v>637</v>
      </c>
    </row>
    <row r="640" spans="1:13" x14ac:dyDescent="0.3">
      <c r="A640" s="1">
        <v>44153</v>
      </c>
      <c r="B640" s="2" t="s">
        <v>3</v>
      </c>
      <c r="C640">
        <v>47413</v>
      </c>
      <c r="D640">
        <v>667</v>
      </c>
      <c r="E640">
        <v>9098</v>
      </c>
      <c r="F640">
        <v>37210</v>
      </c>
      <c r="G640">
        <v>472</v>
      </c>
      <c r="H640">
        <v>101</v>
      </c>
      <c r="I640">
        <v>826926</v>
      </c>
      <c r="J640">
        <v>414234</v>
      </c>
      <c r="K640">
        <v>1107</v>
      </c>
      <c r="L640">
        <v>639</v>
      </c>
      <c r="M640">
        <v>638</v>
      </c>
    </row>
    <row r="641" spans="1:13" x14ac:dyDescent="0.3">
      <c r="A641" s="1">
        <v>44154</v>
      </c>
      <c r="B641" s="2" t="s">
        <v>3</v>
      </c>
      <c r="C641">
        <v>48113</v>
      </c>
      <c r="D641">
        <v>685</v>
      </c>
      <c r="E641">
        <v>9086</v>
      </c>
      <c r="F641">
        <v>37910</v>
      </c>
      <c r="G641">
        <v>472</v>
      </c>
      <c r="H641">
        <v>97</v>
      </c>
      <c r="I641">
        <v>833778</v>
      </c>
      <c r="J641">
        <v>415213</v>
      </c>
      <c r="K641">
        <v>1119</v>
      </c>
      <c r="L641">
        <v>640</v>
      </c>
      <c r="M641">
        <v>639</v>
      </c>
    </row>
    <row r="642" spans="1:13" x14ac:dyDescent="0.3">
      <c r="A642" s="1">
        <v>44155</v>
      </c>
      <c r="B642" s="2" t="s">
        <v>3</v>
      </c>
      <c r="C642">
        <v>48695</v>
      </c>
      <c r="D642">
        <v>561</v>
      </c>
      <c r="E642">
        <v>8978</v>
      </c>
      <c r="F642">
        <v>38587</v>
      </c>
      <c r="G642">
        <v>438</v>
      </c>
      <c r="H642">
        <v>96</v>
      </c>
      <c r="I642">
        <v>840867</v>
      </c>
      <c r="J642">
        <v>415999</v>
      </c>
      <c r="K642">
        <v>1132</v>
      </c>
      <c r="L642">
        <v>641</v>
      </c>
      <c r="M642">
        <v>640</v>
      </c>
    </row>
    <row r="643" spans="1:13" x14ac:dyDescent="0.3">
      <c r="A643" s="1">
        <v>44156</v>
      </c>
      <c r="B643" s="2" t="s">
        <v>3</v>
      </c>
      <c r="C643">
        <v>49159</v>
      </c>
      <c r="D643">
        <v>457</v>
      </c>
      <c r="E643">
        <v>8828</v>
      </c>
      <c r="F643">
        <v>39196</v>
      </c>
      <c r="G643">
        <v>439</v>
      </c>
      <c r="H643">
        <v>100</v>
      </c>
      <c r="I643">
        <v>847998</v>
      </c>
      <c r="J643">
        <v>416402</v>
      </c>
      <c r="K643">
        <v>1137</v>
      </c>
      <c r="L643">
        <v>642</v>
      </c>
      <c r="M643">
        <v>641</v>
      </c>
    </row>
    <row r="644" spans="1:13" x14ac:dyDescent="0.3">
      <c r="A644" s="1">
        <v>44157</v>
      </c>
      <c r="B644" s="2" t="s">
        <v>3</v>
      </c>
      <c r="C644">
        <v>49487</v>
      </c>
      <c r="D644">
        <v>323</v>
      </c>
      <c r="E644">
        <v>8669</v>
      </c>
      <c r="F644">
        <v>39674</v>
      </c>
      <c r="G644">
        <v>459</v>
      </c>
      <c r="H644">
        <v>100</v>
      </c>
      <c r="I644">
        <v>854141</v>
      </c>
      <c r="J644">
        <v>416662</v>
      </c>
      <c r="K644">
        <v>1146</v>
      </c>
      <c r="L644">
        <v>643</v>
      </c>
      <c r="M644">
        <v>642</v>
      </c>
    </row>
    <row r="645" spans="1:13" x14ac:dyDescent="0.3">
      <c r="A645" s="1">
        <v>44158</v>
      </c>
      <c r="B645" s="2" t="s">
        <v>3</v>
      </c>
      <c r="C645">
        <v>49832</v>
      </c>
      <c r="D645">
        <v>327</v>
      </c>
      <c r="E645">
        <v>8617</v>
      </c>
      <c r="F645">
        <v>40056</v>
      </c>
      <c r="G645">
        <v>456</v>
      </c>
      <c r="H645">
        <v>96</v>
      </c>
      <c r="I645">
        <v>858609</v>
      </c>
      <c r="J645">
        <v>417644</v>
      </c>
      <c r="K645">
        <v>1161</v>
      </c>
      <c r="L645">
        <v>644</v>
      </c>
      <c r="M645">
        <v>643</v>
      </c>
    </row>
    <row r="646" spans="1:13" x14ac:dyDescent="0.3">
      <c r="A646" s="1">
        <v>44159</v>
      </c>
      <c r="B646" s="2" t="s">
        <v>3</v>
      </c>
      <c r="C646">
        <v>50363</v>
      </c>
      <c r="D646">
        <v>521</v>
      </c>
      <c r="E646">
        <v>8638</v>
      </c>
      <c r="F646">
        <v>40557</v>
      </c>
      <c r="G646">
        <v>434</v>
      </c>
      <c r="H646">
        <v>97</v>
      </c>
      <c r="I646">
        <v>865340</v>
      </c>
      <c r="J646">
        <v>418817</v>
      </c>
      <c r="K646">
        <v>1170</v>
      </c>
      <c r="L646">
        <v>645</v>
      </c>
      <c r="M646">
        <v>644</v>
      </c>
    </row>
    <row r="647" spans="1:13" x14ac:dyDescent="0.3">
      <c r="A647" s="1">
        <v>44160</v>
      </c>
      <c r="B647" s="2" t="s">
        <v>3</v>
      </c>
      <c r="C647">
        <v>50804</v>
      </c>
      <c r="D647">
        <v>415</v>
      </c>
      <c r="E647">
        <v>8579</v>
      </c>
      <c r="F647">
        <v>41054</v>
      </c>
      <c r="G647">
        <v>421</v>
      </c>
      <c r="H647">
        <v>92</v>
      </c>
      <c r="I647">
        <v>873252</v>
      </c>
      <c r="J647">
        <v>419918</v>
      </c>
      <c r="K647">
        <v>1173</v>
      </c>
      <c r="L647">
        <v>646</v>
      </c>
      <c r="M647">
        <v>645</v>
      </c>
    </row>
    <row r="648" spans="1:13" x14ac:dyDescent="0.3">
      <c r="A648" s="1">
        <v>44161</v>
      </c>
      <c r="B648" s="2" t="s">
        <v>3</v>
      </c>
      <c r="C648">
        <v>51245</v>
      </c>
      <c r="D648">
        <v>426</v>
      </c>
      <c r="E648">
        <v>8452</v>
      </c>
      <c r="F648">
        <v>41616</v>
      </c>
      <c r="G648">
        <v>404</v>
      </c>
      <c r="H648">
        <v>93</v>
      </c>
      <c r="I648">
        <v>880674</v>
      </c>
      <c r="J648">
        <v>420780</v>
      </c>
      <c r="K648">
        <v>1179</v>
      </c>
      <c r="L648">
        <v>647</v>
      </c>
      <c r="M648">
        <v>646</v>
      </c>
    </row>
    <row r="649" spans="1:13" x14ac:dyDescent="0.3">
      <c r="A649" s="1">
        <v>44162</v>
      </c>
      <c r="B649" s="2" t="s">
        <v>3</v>
      </c>
      <c r="C649">
        <v>51608</v>
      </c>
      <c r="D649">
        <v>355</v>
      </c>
      <c r="E649">
        <v>8211</v>
      </c>
      <c r="F649">
        <v>42208</v>
      </c>
      <c r="G649">
        <v>384</v>
      </c>
      <c r="H649">
        <v>85</v>
      </c>
      <c r="I649">
        <v>887679</v>
      </c>
      <c r="J649">
        <v>421852</v>
      </c>
      <c r="K649">
        <v>1191</v>
      </c>
      <c r="L649">
        <v>648</v>
      </c>
      <c r="M649">
        <v>647</v>
      </c>
    </row>
    <row r="650" spans="1:13" x14ac:dyDescent="0.3">
      <c r="A650" s="1">
        <v>44163</v>
      </c>
      <c r="B650" s="2" t="s">
        <v>3</v>
      </c>
      <c r="C650">
        <v>51951</v>
      </c>
      <c r="D650">
        <v>329</v>
      </c>
      <c r="E650">
        <v>7904</v>
      </c>
      <c r="F650">
        <v>42856</v>
      </c>
      <c r="G650">
        <v>388</v>
      </c>
      <c r="H650">
        <v>81</v>
      </c>
      <c r="I650">
        <v>894592</v>
      </c>
      <c r="J650">
        <v>422217</v>
      </c>
      <c r="K650">
        <v>1193</v>
      </c>
      <c r="L650">
        <v>649</v>
      </c>
      <c r="M650">
        <v>648</v>
      </c>
    </row>
    <row r="651" spans="1:13" x14ac:dyDescent="0.3">
      <c r="A651" s="1">
        <v>44164</v>
      </c>
      <c r="B651" s="2" t="s">
        <v>3</v>
      </c>
      <c r="C651">
        <v>52202</v>
      </c>
      <c r="D651">
        <v>238</v>
      </c>
      <c r="E651">
        <v>7806</v>
      </c>
      <c r="F651">
        <v>43193</v>
      </c>
      <c r="G651">
        <v>406</v>
      </c>
      <c r="H651">
        <v>78</v>
      </c>
      <c r="I651">
        <v>900062</v>
      </c>
      <c r="J651">
        <v>422623</v>
      </c>
      <c r="K651">
        <v>1205</v>
      </c>
      <c r="L651">
        <v>650</v>
      </c>
      <c r="M651">
        <v>649</v>
      </c>
    </row>
    <row r="652" spans="1:13" x14ac:dyDescent="0.3">
      <c r="A652" s="1">
        <v>44165</v>
      </c>
      <c r="B652" s="2" t="s">
        <v>3</v>
      </c>
      <c r="C652">
        <v>52472</v>
      </c>
      <c r="D652">
        <v>239</v>
      </c>
      <c r="E652">
        <v>7646</v>
      </c>
      <c r="F652">
        <v>43618</v>
      </c>
      <c r="G652">
        <v>392</v>
      </c>
      <c r="H652">
        <v>69</v>
      </c>
      <c r="I652">
        <v>904528</v>
      </c>
      <c r="J652">
        <v>423521</v>
      </c>
      <c r="K652">
        <v>1211</v>
      </c>
      <c r="L652">
        <v>651</v>
      </c>
      <c r="M652">
        <v>650</v>
      </c>
    </row>
    <row r="653" spans="1:13" x14ac:dyDescent="0.3">
      <c r="A653" s="1">
        <v>44166</v>
      </c>
      <c r="B653" s="2" t="s">
        <v>3</v>
      </c>
      <c r="C653">
        <v>52841</v>
      </c>
      <c r="D653">
        <v>328</v>
      </c>
      <c r="E653">
        <v>7537</v>
      </c>
      <c r="F653">
        <v>44086</v>
      </c>
      <c r="G653">
        <v>364</v>
      </c>
      <c r="H653">
        <v>67</v>
      </c>
      <c r="I653">
        <v>911063</v>
      </c>
      <c r="J653">
        <v>424640</v>
      </c>
      <c r="K653">
        <v>1221</v>
      </c>
      <c r="L653">
        <v>652</v>
      </c>
      <c r="M653">
        <v>651</v>
      </c>
    </row>
    <row r="654" spans="1:13" x14ac:dyDescent="0.3">
      <c r="A654" s="1">
        <v>44167</v>
      </c>
      <c r="B654" s="2" t="s">
        <v>3</v>
      </c>
      <c r="C654">
        <v>53207</v>
      </c>
      <c r="D654">
        <v>350</v>
      </c>
      <c r="E654">
        <v>7419</v>
      </c>
      <c r="F654">
        <v>44563</v>
      </c>
      <c r="G654">
        <v>349</v>
      </c>
      <c r="H654">
        <v>65</v>
      </c>
      <c r="I654">
        <v>917308</v>
      </c>
      <c r="J654">
        <v>425594</v>
      </c>
      <c r="K654">
        <v>1228</v>
      </c>
      <c r="L654">
        <v>653</v>
      </c>
      <c r="M654">
        <v>652</v>
      </c>
    </row>
    <row r="655" spans="1:13" x14ac:dyDescent="0.3">
      <c r="A655" s="1">
        <v>44168</v>
      </c>
      <c r="B655" s="2" t="s">
        <v>3</v>
      </c>
      <c r="C655">
        <v>53533</v>
      </c>
      <c r="D655">
        <v>290</v>
      </c>
      <c r="E655">
        <v>7136</v>
      </c>
      <c r="F655">
        <v>45164</v>
      </c>
      <c r="G655">
        <v>347</v>
      </c>
      <c r="H655">
        <v>62</v>
      </c>
      <c r="I655">
        <v>922426</v>
      </c>
      <c r="J655">
        <v>426606</v>
      </c>
      <c r="K655">
        <v>1236</v>
      </c>
      <c r="L655">
        <v>654</v>
      </c>
      <c r="M655">
        <v>653</v>
      </c>
    </row>
    <row r="656" spans="1:13" x14ac:dyDescent="0.3">
      <c r="A656" s="1">
        <v>44169</v>
      </c>
      <c r="B656" s="2" t="s">
        <v>3</v>
      </c>
      <c r="C656">
        <v>53903</v>
      </c>
      <c r="D656">
        <v>337</v>
      </c>
      <c r="E656">
        <v>6948</v>
      </c>
      <c r="F656">
        <v>45712</v>
      </c>
      <c r="G656">
        <v>337</v>
      </c>
      <c r="H656">
        <v>61</v>
      </c>
      <c r="I656">
        <v>927833</v>
      </c>
      <c r="J656">
        <v>427796</v>
      </c>
      <c r="K656">
        <v>1246</v>
      </c>
      <c r="L656">
        <v>655</v>
      </c>
      <c r="M656">
        <v>654</v>
      </c>
    </row>
    <row r="657" spans="1:13" x14ac:dyDescent="0.3">
      <c r="A657" s="1">
        <v>44170</v>
      </c>
      <c r="B657" s="2" t="s">
        <v>3</v>
      </c>
      <c r="C657">
        <v>54199</v>
      </c>
      <c r="D657">
        <v>277</v>
      </c>
      <c r="E657">
        <v>6726</v>
      </c>
      <c r="F657">
        <v>46226</v>
      </c>
      <c r="G657">
        <v>342</v>
      </c>
      <c r="H657">
        <v>64</v>
      </c>
      <c r="I657">
        <v>934532</v>
      </c>
      <c r="J657">
        <v>428183</v>
      </c>
      <c r="K657">
        <v>1250</v>
      </c>
      <c r="L657">
        <v>656</v>
      </c>
      <c r="M657">
        <v>655</v>
      </c>
    </row>
    <row r="658" spans="1:13" x14ac:dyDescent="0.3">
      <c r="A658" s="1">
        <v>44171</v>
      </c>
      <c r="B658" s="2" t="s">
        <v>3</v>
      </c>
      <c r="C658">
        <v>54473</v>
      </c>
      <c r="D658">
        <v>260</v>
      </c>
      <c r="E658">
        <v>6644</v>
      </c>
      <c r="F658">
        <v>46575</v>
      </c>
      <c r="G658">
        <v>352</v>
      </c>
      <c r="H658">
        <v>60</v>
      </c>
      <c r="I658">
        <v>939896</v>
      </c>
      <c r="J658">
        <v>428524</v>
      </c>
      <c r="K658">
        <v>1257</v>
      </c>
      <c r="L658">
        <v>657</v>
      </c>
      <c r="M658">
        <v>656</v>
      </c>
    </row>
    <row r="659" spans="1:13" x14ac:dyDescent="0.3">
      <c r="A659" s="1">
        <v>44172</v>
      </c>
      <c r="B659" s="2" t="s">
        <v>3</v>
      </c>
      <c r="C659">
        <v>54735</v>
      </c>
      <c r="D659">
        <v>232</v>
      </c>
      <c r="E659">
        <v>5996</v>
      </c>
      <c r="F659">
        <v>47469</v>
      </c>
      <c r="G659">
        <v>322</v>
      </c>
      <c r="H659">
        <v>50</v>
      </c>
      <c r="I659">
        <v>945514</v>
      </c>
      <c r="J659">
        <v>429260</v>
      </c>
      <c r="K659">
        <v>1273</v>
      </c>
      <c r="L659">
        <v>658</v>
      </c>
      <c r="M659">
        <v>657</v>
      </c>
    </row>
    <row r="660" spans="1:13" x14ac:dyDescent="0.3">
      <c r="A660" s="1">
        <v>44173</v>
      </c>
      <c r="B660" s="2" t="s">
        <v>3</v>
      </c>
      <c r="C660">
        <v>55077</v>
      </c>
      <c r="D660">
        <v>329</v>
      </c>
      <c r="E660">
        <v>5927</v>
      </c>
      <c r="F660">
        <v>47872</v>
      </c>
      <c r="G660">
        <v>324</v>
      </c>
      <c r="H660">
        <v>51</v>
      </c>
      <c r="I660">
        <v>952173</v>
      </c>
      <c r="J660">
        <v>429663</v>
      </c>
      <c r="K660">
        <v>1281</v>
      </c>
      <c r="L660">
        <v>659</v>
      </c>
      <c r="M660">
        <v>658</v>
      </c>
    </row>
    <row r="661" spans="1:13" x14ac:dyDescent="0.3">
      <c r="A661" s="1">
        <v>44174</v>
      </c>
      <c r="B661" s="2" t="s">
        <v>3</v>
      </c>
      <c r="C661">
        <v>55363</v>
      </c>
      <c r="D661">
        <v>255</v>
      </c>
      <c r="E661">
        <v>5795</v>
      </c>
      <c r="F661">
        <v>48285</v>
      </c>
      <c r="G661">
        <v>321</v>
      </c>
      <c r="H661">
        <v>50</v>
      </c>
      <c r="I661">
        <v>960143</v>
      </c>
      <c r="J661">
        <v>430427</v>
      </c>
      <c r="K661">
        <v>1287</v>
      </c>
      <c r="L661">
        <v>660</v>
      </c>
      <c r="M661">
        <v>659</v>
      </c>
    </row>
    <row r="662" spans="1:13" x14ac:dyDescent="0.3">
      <c r="A662" s="1">
        <v>44175</v>
      </c>
      <c r="B662" s="2" t="s">
        <v>3</v>
      </c>
      <c r="C662">
        <v>55721</v>
      </c>
      <c r="D662">
        <v>324</v>
      </c>
      <c r="E662">
        <v>5684</v>
      </c>
      <c r="F662">
        <v>48748</v>
      </c>
      <c r="G662">
        <v>309</v>
      </c>
      <c r="H662">
        <v>51</v>
      </c>
      <c r="I662">
        <v>967614</v>
      </c>
      <c r="J662">
        <v>431283</v>
      </c>
      <c r="K662">
        <v>1293</v>
      </c>
      <c r="L662">
        <v>661</v>
      </c>
      <c r="M662">
        <v>660</v>
      </c>
    </row>
    <row r="663" spans="1:13" x14ac:dyDescent="0.3">
      <c r="A663" s="1">
        <v>44176</v>
      </c>
      <c r="B663" s="2" t="s">
        <v>3</v>
      </c>
      <c r="C663">
        <v>56061</v>
      </c>
      <c r="D663">
        <v>301</v>
      </c>
      <c r="E663">
        <v>5530</v>
      </c>
      <c r="F663">
        <v>49232</v>
      </c>
      <c r="G663">
        <v>298</v>
      </c>
      <c r="H663">
        <v>54</v>
      </c>
      <c r="I663">
        <v>975267</v>
      </c>
      <c r="J663">
        <v>432247</v>
      </c>
      <c r="K663">
        <v>1303</v>
      </c>
      <c r="L663">
        <v>662</v>
      </c>
      <c r="M663">
        <v>661</v>
      </c>
    </row>
    <row r="664" spans="1:13" x14ac:dyDescent="0.3">
      <c r="A664" s="1">
        <v>44177</v>
      </c>
      <c r="B664" s="2" t="s">
        <v>3</v>
      </c>
      <c r="C664">
        <v>56457</v>
      </c>
      <c r="D664">
        <v>373</v>
      </c>
      <c r="E664">
        <v>5521</v>
      </c>
      <c r="F664">
        <v>49634</v>
      </c>
      <c r="G664">
        <v>297</v>
      </c>
      <c r="H664">
        <v>52</v>
      </c>
      <c r="I664">
        <v>983162</v>
      </c>
      <c r="J664">
        <v>432699</v>
      </c>
      <c r="K664">
        <v>1306</v>
      </c>
      <c r="L664">
        <v>663</v>
      </c>
      <c r="M664">
        <v>662</v>
      </c>
    </row>
    <row r="665" spans="1:13" x14ac:dyDescent="0.3">
      <c r="A665" s="1">
        <v>44178</v>
      </c>
      <c r="B665" s="2" t="s">
        <v>3</v>
      </c>
      <c r="C665">
        <v>56828</v>
      </c>
      <c r="D665">
        <v>323</v>
      </c>
      <c r="E665">
        <v>5560</v>
      </c>
      <c r="F665">
        <v>49960</v>
      </c>
      <c r="G665">
        <v>310</v>
      </c>
      <c r="H665">
        <v>55</v>
      </c>
      <c r="I665">
        <v>991202</v>
      </c>
      <c r="J665">
        <v>433155</v>
      </c>
      <c r="K665">
        <v>1312</v>
      </c>
      <c r="L665">
        <v>664</v>
      </c>
      <c r="M665">
        <v>663</v>
      </c>
    </row>
    <row r="666" spans="1:13" x14ac:dyDescent="0.3">
      <c r="A666" s="1">
        <v>44179</v>
      </c>
      <c r="B666" s="2" t="s">
        <v>3</v>
      </c>
      <c r="C666">
        <v>57102</v>
      </c>
      <c r="D666">
        <v>227</v>
      </c>
      <c r="E666">
        <v>5598</v>
      </c>
      <c r="F666">
        <v>50190</v>
      </c>
      <c r="G666">
        <v>319</v>
      </c>
      <c r="H666">
        <v>56</v>
      </c>
      <c r="I666">
        <v>999234</v>
      </c>
      <c r="J666">
        <v>434028</v>
      </c>
      <c r="K666">
        <v>1319</v>
      </c>
      <c r="L666">
        <v>665</v>
      </c>
      <c r="M666">
        <v>664</v>
      </c>
    </row>
    <row r="667" spans="1:13" x14ac:dyDescent="0.3">
      <c r="A667" s="1">
        <v>44180</v>
      </c>
      <c r="B667" s="2" t="s">
        <v>3</v>
      </c>
      <c r="C667">
        <v>57526</v>
      </c>
      <c r="D667">
        <v>380</v>
      </c>
      <c r="E667">
        <v>5653</v>
      </c>
      <c r="F667">
        <v>50555</v>
      </c>
      <c r="G667">
        <v>301</v>
      </c>
      <c r="H667">
        <v>53</v>
      </c>
      <c r="I667">
        <v>1008260</v>
      </c>
      <c r="J667">
        <v>435014</v>
      </c>
      <c r="K667">
        <v>1323</v>
      </c>
      <c r="L667">
        <v>666</v>
      </c>
      <c r="M667">
        <v>665</v>
      </c>
    </row>
    <row r="668" spans="1:13" x14ac:dyDescent="0.3">
      <c r="A668" s="1">
        <v>44181</v>
      </c>
      <c r="B668" s="2" t="s">
        <v>3</v>
      </c>
      <c r="C668">
        <v>57933</v>
      </c>
      <c r="D668">
        <v>357</v>
      </c>
      <c r="E668">
        <v>5618</v>
      </c>
      <c r="F668">
        <v>50993</v>
      </c>
      <c r="G668">
        <v>302</v>
      </c>
      <c r="H668">
        <v>50</v>
      </c>
      <c r="I668">
        <v>1016839</v>
      </c>
      <c r="J668">
        <v>435924</v>
      </c>
      <c r="K668">
        <v>1327</v>
      </c>
      <c r="L668">
        <v>667</v>
      </c>
      <c r="M668">
        <v>666</v>
      </c>
    </row>
    <row r="669" spans="1:13" x14ac:dyDescent="0.3">
      <c r="A669" s="1">
        <v>44182</v>
      </c>
      <c r="B669" s="2" t="s">
        <v>3</v>
      </c>
      <c r="C669">
        <v>58341</v>
      </c>
      <c r="D669">
        <v>367</v>
      </c>
      <c r="E669">
        <v>5641</v>
      </c>
      <c r="F669">
        <v>51373</v>
      </c>
      <c r="G669">
        <v>309</v>
      </c>
      <c r="H669">
        <v>55</v>
      </c>
      <c r="I669">
        <v>1023225</v>
      </c>
      <c r="J669">
        <v>436919</v>
      </c>
      <c r="K669">
        <v>1332</v>
      </c>
      <c r="L669">
        <v>668</v>
      </c>
      <c r="M669">
        <v>667</v>
      </c>
    </row>
    <row r="670" spans="1:13" x14ac:dyDescent="0.3">
      <c r="A670" s="1">
        <v>44183</v>
      </c>
      <c r="B670" s="2" t="s">
        <v>3</v>
      </c>
      <c r="C670">
        <v>58730</v>
      </c>
      <c r="D670">
        <v>339</v>
      </c>
      <c r="E670">
        <v>5653</v>
      </c>
      <c r="F670">
        <v>51746</v>
      </c>
      <c r="G670">
        <v>281</v>
      </c>
      <c r="H670">
        <v>56</v>
      </c>
      <c r="I670">
        <v>1030997</v>
      </c>
      <c r="J670">
        <v>437933</v>
      </c>
      <c r="K670">
        <v>1336</v>
      </c>
      <c r="L670">
        <v>669</v>
      </c>
      <c r="M670">
        <v>668</v>
      </c>
    </row>
    <row r="671" spans="1:13" x14ac:dyDescent="0.3">
      <c r="A671" s="1">
        <v>44184</v>
      </c>
      <c r="B671" s="2" t="s">
        <v>3</v>
      </c>
      <c r="C671">
        <v>59067</v>
      </c>
      <c r="D671">
        <v>328</v>
      </c>
      <c r="E671">
        <v>5609</v>
      </c>
      <c r="F671">
        <v>52125</v>
      </c>
      <c r="G671">
        <v>293</v>
      </c>
      <c r="H671">
        <v>53</v>
      </c>
      <c r="I671">
        <v>1038999</v>
      </c>
      <c r="J671">
        <v>438417</v>
      </c>
      <c r="K671">
        <v>1338</v>
      </c>
      <c r="L671">
        <v>670</v>
      </c>
      <c r="M671">
        <v>669</v>
      </c>
    </row>
    <row r="672" spans="1:13" x14ac:dyDescent="0.3">
      <c r="A672" s="1">
        <v>44185</v>
      </c>
      <c r="B672" s="2" t="s">
        <v>3</v>
      </c>
      <c r="C672">
        <v>59353</v>
      </c>
      <c r="D672">
        <v>268</v>
      </c>
      <c r="E672">
        <v>5596</v>
      </c>
      <c r="F672">
        <v>52421</v>
      </c>
      <c r="G672">
        <v>301</v>
      </c>
      <c r="H672">
        <v>53</v>
      </c>
      <c r="I672">
        <v>1045856</v>
      </c>
      <c r="J672">
        <v>438857</v>
      </c>
      <c r="K672">
        <v>1341</v>
      </c>
      <c r="L672">
        <v>671</v>
      </c>
      <c r="M672">
        <v>670</v>
      </c>
    </row>
    <row r="673" spans="1:13" x14ac:dyDescent="0.3">
      <c r="A673" s="1">
        <v>44186</v>
      </c>
      <c r="B673" s="2" t="s">
        <v>3</v>
      </c>
      <c r="C673">
        <v>59602</v>
      </c>
      <c r="D673">
        <v>202</v>
      </c>
      <c r="E673">
        <v>5603</v>
      </c>
      <c r="F673">
        <v>52658</v>
      </c>
      <c r="G673">
        <v>306</v>
      </c>
      <c r="H673">
        <v>51</v>
      </c>
      <c r="I673">
        <v>1052713</v>
      </c>
      <c r="J673">
        <v>439883</v>
      </c>
      <c r="K673">
        <v>1346</v>
      </c>
      <c r="L673">
        <v>672</v>
      </c>
      <c r="M673">
        <v>671</v>
      </c>
    </row>
    <row r="674" spans="1:13" x14ac:dyDescent="0.3">
      <c r="A674" s="1">
        <v>44187</v>
      </c>
      <c r="B674" s="2" t="s">
        <v>3</v>
      </c>
      <c r="C674">
        <v>59944</v>
      </c>
      <c r="D674">
        <v>299</v>
      </c>
      <c r="E674">
        <v>5565</v>
      </c>
      <c r="F674">
        <v>53034</v>
      </c>
      <c r="G674">
        <v>293</v>
      </c>
      <c r="H674">
        <v>48</v>
      </c>
      <c r="I674">
        <v>1062089</v>
      </c>
      <c r="J674">
        <v>440835</v>
      </c>
      <c r="K674">
        <v>1350</v>
      </c>
      <c r="L674">
        <v>673</v>
      </c>
      <c r="M674">
        <v>672</v>
      </c>
    </row>
    <row r="675" spans="1:13" x14ac:dyDescent="0.3">
      <c r="A675" s="1">
        <v>44188</v>
      </c>
      <c r="B675" s="2" t="s">
        <v>3</v>
      </c>
      <c r="C675">
        <v>60395</v>
      </c>
      <c r="D675">
        <v>394</v>
      </c>
      <c r="E675">
        <v>5655</v>
      </c>
      <c r="F675">
        <v>53391</v>
      </c>
      <c r="G675">
        <v>286</v>
      </c>
      <c r="H675">
        <v>51</v>
      </c>
      <c r="I675">
        <v>1072702</v>
      </c>
      <c r="J675">
        <v>441797</v>
      </c>
      <c r="K675">
        <v>1354</v>
      </c>
      <c r="L675">
        <v>674</v>
      </c>
      <c r="M675">
        <v>673</v>
      </c>
    </row>
    <row r="676" spans="1:13" x14ac:dyDescent="0.3">
      <c r="A676" s="1">
        <v>44189</v>
      </c>
      <c r="B676" s="2" t="s">
        <v>3</v>
      </c>
      <c r="C676">
        <v>60765</v>
      </c>
      <c r="D676">
        <v>309</v>
      </c>
      <c r="E676">
        <v>5754</v>
      </c>
      <c r="F676">
        <v>53662</v>
      </c>
      <c r="G676">
        <v>265</v>
      </c>
      <c r="H676">
        <v>54</v>
      </c>
      <c r="I676">
        <v>1082674</v>
      </c>
      <c r="J676">
        <v>442796</v>
      </c>
      <c r="K676">
        <v>1354</v>
      </c>
      <c r="L676">
        <v>675</v>
      </c>
      <c r="M676">
        <v>674</v>
      </c>
    </row>
    <row r="677" spans="1:13" x14ac:dyDescent="0.3">
      <c r="A677" s="1">
        <v>44190</v>
      </c>
      <c r="B677" s="2" t="s">
        <v>3</v>
      </c>
      <c r="C677">
        <v>61139</v>
      </c>
      <c r="D677">
        <v>373</v>
      </c>
      <c r="E677">
        <v>5716</v>
      </c>
      <c r="F677">
        <v>54065</v>
      </c>
      <c r="G677">
        <v>273</v>
      </c>
      <c r="H677">
        <v>55</v>
      </c>
      <c r="I677">
        <v>1088871</v>
      </c>
      <c r="J677">
        <v>443170</v>
      </c>
      <c r="K677">
        <v>1363</v>
      </c>
      <c r="L677">
        <v>676</v>
      </c>
      <c r="M677">
        <v>675</v>
      </c>
    </row>
    <row r="678" spans="1:13" x14ac:dyDescent="0.3">
      <c r="A678" s="1">
        <v>44191</v>
      </c>
      <c r="B678" s="2" t="s">
        <v>3</v>
      </c>
      <c r="C678">
        <v>61375</v>
      </c>
      <c r="D678">
        <v>213</v>
      </c>
      <c r="E678">
        <v>5609</v>
      </c>
      <c r="F678">
        <v>54402</v>
      </c>
      <c r="G678">
        <v>278</v>
      </c>
      <c r="H678">
        <v>58</v>
      </c>
      <c r="I678">
        <v>1091724</v>
      </c>
      <c r="J678">
        <v>443588</v>
      </c>
      <c r="K678">
        <v>1369</v>
      </c>
      <c r="L678">
        <v>677</v>
      </c>
      <c r="M678">
        <v>676</v>
      </c>
    </row>
    <row r="679" spans="1:13" x14ac:dyDescent="0.3">
      <c r="A679" s="1">
        <v>44192</v>
      </c>
      <c r="B679" s="2" t="s">
        <v>3</v>
      </c>
      <c r="C679">
        <v>61668</v>
      </c>
      <c r="D679">
        <v>277</v>
      </c>
      <c r="E679">
        <v>5508</v>
      </c>
      <c r="F679">
        <v>54795</v>
      </c>
      <c r="G679">
        <v>295</v>
      </c>
      <c r="H679">
        <v>58</v>
      </c>
      <c r="I679">
        <v>1096748</v>
      </c>
      <c r="J679">
        <v>444058</v>
      </c>
      <c r="K679">
        <v>1370</v>
      </c>
      <c r="L679">
        <v>678</v>
      </c>
      <c r="M679">
        <v>677</v>
      </c>
    </row>
    <row r="680" spans="1:13" x14ac:dyDescent="0.3">
      <c r="A680" s="1">
        <v>44193</v>
      </c>
      <c r="B680" s="2" t="s">
        <v>3</v>
      </c>
      <c r="C680">
        <v>61982</v>
      </c>
      <c r="D680">
        <v>261</v>
      </c>
      <c r="E680">
        <v>5523</v>
      </c>
      <c r="F680">
        <v>55084</v>
      </c>
      <c r="G680">
        <v>291</v>
      </c>
      <c r="H680">
        <v>56</v>
      </c>
      <c r="I680">
        <v>1100629</v>
      </c>
      <c r="J680">
        <v>444896</v>
      </c>
      <c r="K680">
        <v>1380</v>
      </c>
      <c r="L680">
        <v>679</v>
      </c>
      <c r="M680">
        <v>678</v>
      </c>
    </row>
    <row r="681" spans="1:13" x14ac:dyDescent="0.3">
      <c r="A681" s="1">
        <v>44194</v>
      </c>
      <c r="B681" s="2" t="s">
        <v>3</v>
      </c>
      <c r="C681">
        <v>62466</v>
      </c>
      <c r="D681">
        <v>441</v>
      </c>
      <c r="E681">
        <v>5625</v>
      </c>
      <c r="F681">
        <v>55460</v>
      </c>
      <c r="G681">
        <v>282</v>
      </c>
      <c r="H681">
        <v>55</v>
      </c>
      <c r="I681">
        <v>1107077</v>
      </c>
      <c r="J681">
        <v>445880</v>
      </c>
      <c r="K681">
        <v>1386</v>
      </c>
      <c r="L681">
        <v>680</v>
      </c>
      <c r="M681">
        <v>679</v>
      </c>
    </row>
    <row r="682" spans="1:13" x14ac:dyDescent="0.3">
      <c r="A682" s="1">
        <v>44195</v>
      </c>
      <c r="B682" s="2" t="s">
        <v>3</v>
      </c>
      <c r="C682">
        <v>62978</v>
      </c>
      <c r="D682">
        <v>438</v>
      </c>
      <c r="E682">
        <v>5680</v>
      </c>
      <c r="F682">
        <v>55910</v>
      </c>
      <c r="G682">
        <v>296</v>
      </c>
      <c r="H682">
        <v>55</v>
      </c>
      <c r="I682">
        <v>1113655</v>
      </c>
      <c r="J682">
        <v>446891</v>
      </c>
      <c r="K682">
        <v>1393</v>
      </c>
      <c r="L682">
        <v>681</v>
      </c>
      <c r="M682">
        <v>680</v>
      </c>
    </row>
    <row r="683" spans="1:13" x14ac:dyDescent="0.3">
      <c r="A683" s="1">
        <v>44196</v>
      </c>
      <c r="B683" s="2" t="s">
        <v>3</v>
      </c>
      <c r="C683">
        <v>63510</v>
      </c>
      <c r="D683">
        <v>441</v>
      </c>
      <c r="E683">
        <v>5777</v>
      </c>
      <c r="F683">
        <v>56338</v>
      </c>
      <c r="G683">
        <v>290</v>
      </c>
      <c r="H683">
        <v>55</v>
      </c>
      <c r="I683">
        <v>1120590</v>
      </c>
      <c r="J683">
        <v>447909</v>
      </c>
      <c r="K683">
        <v>1400</v>
      </c>
      <c r="L683">
        <v>682</v>
      </c>
      <c r="M683">
        <v>681</v>
      </c>
    </row>
    <row r="684" spans="1:13" x14ac:dyDescent="0.3">
      <c r="A684" s="1">
        <v>44197</v>
      </c>
      <c r="B684" s="2" t="s">
        <v>3</v>
      </c>
      <c r="C684">
        <v>63954</v>
      </c>
      <c r="D684">
        <v>412</v>
      </c>
      <c r="E684">
        <v>5833</v>
      </c>
      <c r="F684">
        <v>56724</v>
      </c>
      <c r="G684">
        <v>297</v>
      </c>
      <c r="H684">
        <v>57</v>
      </c>
      <c r="I684">
        <v>1125019</v>
      </c>
      <c r="J684">
        <v>448361</v>
      </c>
      <c r="K684">
        <v>1403</v>
      </c>
      <c r="L684">
        <v>683</v>
      </c>
      <c r="M684">
        <v>682</v>
      </c>
    </row>
    <row r="685" spans="1:13" x14ac:dyDescent="0.3">
      <c r="A685" s="1">
        <v>44198</v>
      </c>
      <c r="B685" s="2" t="s">
        <v>3</v>
      </c>
      <c r="C685">
        <v>64251</v>
      </c>
      <c r="D685">
        <v>269</v>
      </c>
      <c r="E685">
        <v>5732</v>
      </c>
      <c r="F685">
        <v>57115</v>
      </c>
      <c r="G685">
        <v>311</v>
      </c>
      <c r="H685">
        <v>57</v>
      </c>
      <c r="I685">
        <v>1128337</v>
      </c>
      <c r="J685">
        <v>448949</v>
      </c>
      <c r="K685">
        <v>1409</v>
      </c>
      <c r="L685">
        <v>684</v>
      </c>
      <c r="M685">
        <v>683</v>
      </c>
    </row>
    <row r="686" spans="1:13" x14ac:dyDescent="0.3">
      <c r="A686" s="1">
        <v>44199</v>
      </c>
      <c r="B686" s="2" t="s">
        <v>3</v>
      </c>
      <c r="C686">
        <v>64715</v>
      </c>
      <c r="D686">
        <v>422</v>
      </c>
      <c r="E686">
        <v>5905</v>
      </c>
      <c r="F686">
        <v>57401</v>
      </c>
      <c r="G686">
        <v>334</v>
      </c>
      <c r="H686">
        <v>54</v>
      </c>
      <c r="I686">
        <v>1133442</v>
      </c>
      <c r="J686">
        <v>449529</v>
      </c>
      <c r="K686">
        <v>1414</v>
      </c>
      <c r="L686">
        <v>685</v>
      </c>
      <c r="M686">
        <v>684</v>
      </c>
    </row>
    <row r="687" spans="1:13" x14ac:dyDescent="0.3">
      <c r="A687" s="1">
        <v>44200</v>
      </c>
      <c r="B687" s="2" t="s">
        <v>3</v>
      </c>
      <c r="C687">
        <v>65066</v>
      </c>
      <c r="D687">
        <v>298</v>
      </c>
      <c r="E687">
        <v>5991</v>
      </c>
      <c r="F687">
        <v>57660</v>
      </c>
      <c r="G687">
        <v>342</v>
      </c>
      <c r="H687">
        <v>56</v>
      </c>
      <c r="I687">
        <v>1137651</v>
      </c>
      <c r="J687">
        <v>450470</v>
      </c>
      <c r="K687">
        <v>1421</v>
      </c>
      <c r="L687">
        <v>686</v>
      </c>
      <c r="M687">
        <v>685</v>
      </c>
    </row>
    <row r="688" spans="1:13" x14ac:dyDescent="0.3">
      <c r="A688" s="1">
        <v>44201</v>
      </c>
      <c r="B688" s="2" t="s">
        <v>3</v>
      </c>
      <c r="C688">
        <v>65750</v>
      </c>
      <c r="D688">
        <v>590</v>
      </c>
      <c r="E688">
        <v>6404</v>
      </c>
      <c r="F688">
        <v>57925</v>
      </c>
      <c r="G688">
        <v>342</v>
      </c>
      <c r="H688">
        <v>57</v>
      </c>
      <c r="I688">
        <v>1145403</v>
      </c>
      <c r="J688">
        <v>451733</v>
      </c>
      <c r="K688">
        <v>1427</v>
      </c>
      <c r="L688">
        <v>687</v>
      </c>
      <c r="M688">
        <v>686</v>
      </c>
    </row>
    <row r="689" spans="1:13" x14ac:dyDescent="0.3">
      <c r="A689" s="1">
        <v>44202</v>
      </c>
      <c r="B689" s="2" t="s">
        <v>3</v>
      </c>
      <c r="C689">
        <v>66428</v>
      </c>
      <c r="D689">
        <v>639</v>
      </c>
      <c r="E689">
        <v>6700</v>
      </c>
      <c r="F689">
        <v>58303</v>
      </c>
      <c r="G689">
        <v>362</v>
      </c>
      <c r="H689">
        <v>57</v>
      </c>
      <c r="I689">
        <v>1153347</v>
      </c>
      <c r="J689">
        <v>452279</v>
      </c>
      <c r="K689">
        <v>1431</v>
      </c>
      <c r="L689">
        <v>688</v>
      </c>
      <c r="M689">
        <v>687</v>
      </c>
    </row>
    <row r="690" spans="1:13" x14ac:dyDescent="0.3">
      <c r="A690" s="1">
        <v>44203</v>
      </c>
      <c r="B690" s="2" t="s">
        <v>3</v>
      </c>
      <c r="C690">
        <v>67085</v>
      </c>
      <c r="D690">
        <v>535</v>
      </c>
      <c r="E690">
        <v>6889</v>
      </c>
      <c r="F690">
        <v>58766</v>
      </c>
      <c r="G690">
        <v>350</v>
      </c>
      <c r="H690">
        <v>63</v>
      </c>
      <c r="I690">
        <v>1159616</v>
      </c>
      <c r="J690">
        <v>453356</v>
      </c>
      <c r="K690">
        <v>1436</v>
      </c>
      <c r="L690">
        <v>689</v>
      </c>
      <c r="M690">
        <v>688</v>
      </c>
    </row>
    <row r="691" spans="1:13" x14ac:dyDescent="0.3">
      <c r="A691" s="1">
        <v>44204</v>
      </c>
      <c r="B691" s="2" t="s">
        <v>3</v>
      </c>
      <c r="C691">
        <v>67999</v>
      </c>
      <c r="D691">
        <v>798</v>
      </c>
      <c r="E691">
        <v>7392</v>
      </c>
      <c r="F691">
        <v>59172</v>
      </c>
      <c r="G691">
        <v>342</v>
      </c>
      <c r="H691">
        <v>63</v>
      </c>
      <c r="I691">
        <v>1168006</v>
      </c>
      <c r="J691">
        <v>455043</v>
      </c>
      <c r="K691">
        <v>1441</v>
      </c>
      <c r="L691">
        <v>690</v>
      </c>
      <c r="M691">
        <v>689</v>
      </c>
    </row>
    <row r="692" spans="1:13" x14ac:dyDescent="0.3">
      <c r="A692" s="1">
        <v>44205</v>
      </c>
      <c r="B692" s="2" t="s">
        <v>3</v>
      </c>
      <c r="C692">
        <v>68716</v>
      </c>
      <c r="D692">
        <v>661</v>
      </c>
      <c r="E692">
        <v>7795</v>
      </c>
      <c r="F692">
        <v>59483</v>
      </c>
      <c r="G692">
        <v>360</v>
      </c>
      <c r="H692">
        <v>61</v>
      </c>
      <c r="I692">
        <v>1176872</v>
      </c>
      <c r="J692">
        <v>455874</v>
      </c>
      <c r="K692">
        <v>1445</v>
      </c>
      <c r="L692">
        <v>691</v>
      </c>
      <c r="M692">
        <v>690</v>
      </c>
    </row>
    <row r="693" spans="1:13" x14ac:dyDescent="0.3">
      <c r="A693" s="1">
        <v>44206</v>
      </c>
      <c r="B693" s="2" t="s">
        <v>3</v>
      </c>
      <c r="C693">
        <v>69418</v>
      </c>
      <c r="D693">
        <v>627</v>
      </c>
      <c r="E693">
        <v>8250</v>
      </c>
      <c r="F693">
        <v>59725</v>
      </c>
      <c r="G693">
        <v>397</v>
      </c>
      <c r="H693">
        <v>71</v>
      </c>
      <c r="I693">
        <v>1184921</v>
      </c>
      <c r="J693">
        <v>456442</v>
      </c>
      <c r="K693">
        <v>1450</v>
      </c>
      <c r="L693">
        <v>692</v>
      </c>
      <c r="M693">
        <v>691</v>
      </c>
    </row>
    <row r="694" spans="1:13" x14ac:dyDescent="0.3">
      <c r="A694" s="1">
        <v>44207</v>
      </c>
      <c r="B694" s="2" t="s">
        <v>3</v>
      </c>
      <c r="C694">
        <v>70262</v>
      </c>
      <c r="D694">
        <v>719</v>
      </c>
      <c r="E694">
        <v>8810</v>
      </c>
      <c r="F694">
        <v>59997</v>
      </c>
      <c r="G694">
        <v>421</v>
      </c>
      <c r="H694">
        <v>70</v>
      </c>
      <c r="I694">
        <v>1191153</v>
      </c>
      <c r="J694">
        <v>457971</v>
      </c>
      <c r="K694">
        <v>1462</v>
      </c>
      <c r="L694">
        <v>693</v>
      </c>
      <c r="M694">
        <v>692</v>
      </c>
    </row>
    <row r="695" spans="1:13" x14ac:dyDescent="0.3">
      <c r="A695" s="1">
        <v>44208</v>
      </c>
      <c r="B695" s="2" t="s">
        <v>3</v>
      </c>
      <c r="C695">
        <v>71309</v>
      </c>
      <c r="D695">
        <v>928</v>
      </c>
      <c r="E695">
        <v>9479</v>
      </c>
      <c r="F695">
        <v>60363</v>
      </c>
      <c r="G695">
        <v>438</v>
      </c>
      <c r="H695">
        <v>73</v>
      </c>
      <c r="I695">
        <v>1201074</v>
      </c>
      <c r="J695">
        <v>459760</v>
      </c>
      <c r="K695">
        <v>1474</v>
      </c>
      <c r="L695">
        <v>694</v>
      </c>
      <c r="M695">
        <v>693</v>
      </c>
    </row>
    <row r="696" spans="1:13" x14ac:dyDescent="0.3">
      <c r="A696" s="1">
        <v>44209</v>
      </c>
      <c r="B696" s="2" t="s">
        <v>3</v>
      </c>
      <c r="C696">
        <v>72498</v>
      </c>
      <c r="D696">
        <v>1025</v>
      </c>
      <c r="E696">
        <v>10215</v>
      </c>
      <c r="F696">
        <v>60811</v>
      </c>
      <c r="G696">
        <v>463</v>
      </c>
      <c r="H696">
        <v>82</v>
      </c>
      <c r="I696">
        <v>1211826</v>
      </c>
      <c r="J696">
        <v>461447</v>
      </c>
      <c r="K696">
        <v>1480</v>
      </c>
      <c r="L696">
        <v>695</v>
      </c>
      <c r="M696">
        <v>694</v>
      </c>
    </row>
    <row r="697" spans="1:13" x14ac:dyDescent="0.3">
      <c r="A697" s="1">
        <v>44210</v>
      </c>
      <c r="B697" s="2" t="s">
        <v>3</v>
      </c>
      <c r="C697">
        <v>73667</v>
      </c>
      <c r="D697">
        <v>1013</v>
      </c>
      <c r="E697">
        <v>10864</v>
      </c>
      <c r="F697">
        <v>61326</v>
      </c>
      <c r="G697">
        <v>505</v>
      </c>
      <c r="H697">
        <v>90</v>
      </c>
      <c r="I697">
        <v>1222020</v>
      </c>
      <c r="J697">
        <v>463447</v>
      </c>
      <c r="K697">
        <v>1485</v>
      </c>
      <c r="L697">
        <v>696</v>
      </c>
      <c r="M697">
        <v>695</v>
      </c>
    </row>
    <row r="698" spans="1:13" x14ac:dyDescent="0.3">
      <c r="A698" s="1">
        <v>44211</v>
      </c>
      <c r="B698" s="2" t="s">
        <v>3</v>
      </c>
      <c r="C698">
        <v>75010</v>
      </c>
      <c r="D698">
        <v>1135</v>
      </c>
      <c r="E698">
        <v>11666</v>
      </c>
      <c r="F698">
        <v>61853</v>
      </c>
      <c r="G698">
        <v>506</v>
      </c>
      <c r="H698">
        <v>91</v>
      </c>
      <c r="I698">
        <v>1232152</v>
      </c>
      <c r="J698">
        <v>465828</v>
      </c>
      <c r="K698">
        <v>1499</v>
      </c>
      <c r="L698">
        <v>697</v>
      </c>
      <c r="M698">
        <v>696</v>
      </c>
    </row>
    <row r="699" spans="1:13" x14ac:dyDescent="0.3">
      <c r="A699" s="1">
        <v>44212</v>
      </c>
      <c r="B699" s="2" t="s">
        <v>3</v>
      </c>
      <c r="C699">
        <v>76254</v>
      </c>
      <c r="D699">
        <v>1124</v>
      </c>
      <c r="E699">
        <v>12508</v>
      </c>
      <c r="F699">
        <v>62251</v>
      </c>
      <c r="G699">
        <v>557</v>
      </c>
      <c r="H699">
        <v>98</v>
      </c>
      <c r="I699">
        <v>1241661</v>
      </c>
      <c r="J699">
        <v>467044</v>
      </c>
      <c r="K699">
        <v>1503</v>
      </c>
      <c r="L699">
        <v>698</v>
      </c>
      <c r="M699">
        <v>697</v>
      </c>
    </row>
    <row r="700" spans="1:13" x14ac:dyDescent="0.3">
      <c r="A700" s="1">
        <v>44213</v>
      </c>
      <c r="B700" s="2" t="s">
        <v>3</v>
      </c>
      <c r="C700">
        <v>77279</v>
      </c>
      <c r="D700">
        <v>890</v>
      </c>
      <c r="E700">
        <v>13252</v>
      </c>
      <c r="F700">
        <v>62523</v>
      </c>
      <c r="G700">
        <v>635</v>
      </c>
      <c r="H700">
        <v>104</v>
      </c>
      <c r="I700">
        <v>1250540</v>
      </c>
      <c r="J700">
        <v>468391</v>
      </c>
      <c r="K700">
        <v>1512</v>
      </c>
      <c r="L700">
        <v>699</v>
      </c>
      <c r="M700">
        <v>698</v>
      </c>
    </row>
    <row r="701" spans="1:13" x14ac:dyDescent="0.3">
      <c r="A701" s="1">
        <v>44214</v>
      </c>
      <c r="B701" s="2" t="s">
        <v>3</v>
      </c>
      <c r="C701">
        <v>78462</v>
      </c>
      <c r="D701">
        <v>970</v>
      </c>
      <c r="E701">
        <v>14075</v>
      </c>
      <c r="F701">
        <v>62859</v>
      </c>
      <c r="G701">
        <v>664</v>
      </c>
      <c r="H701">
        <v>114</v>
      </c>
      <c r="I701">
        <v>1260359</v>
      </c>
      <c r="J701">
        <v>470688</v>
      </c>
      <c r="K701">
        <v>1536</v>
      </c>
      <c r="L701">
        <v>700</v>
      </c>
      <c r="M701">
        <v>699</v>
      </c>
    </row>
    <row r="702" spans="1:13" x14ac:dyDescent="0.3">
      <c r="A702" s="1">
        <v>44215</v>
      </c>
      <c r="B702" s="2" t="s">
        <v>3</v>
      </c>
      <c r="C702">
        <v>79834</v>
      </c>
      <c r="D702">
        <v>1104</v>
      </c>
      <c r="E702">
        <v>14975</v>
      </c>
      <c r="F702">
        <v>63317</v>
      </c>
      <c r="G702">
        <v>696</v>
      </c>
      <c r="H702">
        <v>132</v>
      </c>
      <c r="I702">
        <v>1272189</v>
      </c>
      <c r="J702">
        <v>473576</v>
      </c>
      <c r="K702">
        <v>1550</v>
      </c>
      <c r="L702">
        <v>701</v>
      </c>
      <c r="M702">
        <v>700</v>
      </c>
    </row>
    <row r="703" spans="1:13" x14ac:dyDescent="0.3">
      <c r="A703" s="1">
        <v>44216</v>
      </c>
      <c r="B703" s="2" t="s">
        <v>3</v>
      </c>
      <c r="C703">
        <v>81561</v>
      </c>
      <c r="D703">
        <v>1354</v>
      </c>
      <c r="E703">
        <v>16030</v>
      </c>
      <c r="F703">
        <v>63973</v>
      </c>
      <c r="G703">
        <v>744</v>
      </c>
      <c r="H703">
        <v>135</v>
      </c>
      <c r="I703">
        <v>1284868</v>
      </c>
      <c r="J703">
        <v>477094</v>
      </c>
      <c r="K703">
        <v>1566</v>
      </c>
      <c r="L703">
        <v>702</v>
      </c>
      <c r="M703">
        <v>701</v>
      </c>
    </row>
    <row r="704" spans="1:13" x14ac:dyDescent="0.3">
      <c r="A704" s="1">
        <v>44217</v>
      </c>
      <c r="B704" s="2" t="s">
        <v>3</v>
      </c>
      <c r="C704">
        <v>83363</v>
      </c>
      <c r="D704">
        <v>1505</v>
      </c>
      <c r="E704">
        <v>17125</v>
      </c>
      <c r="F704">
        <v>64662</v>
      </c>
      <c r="G704">
        <v>795</v>
      </c>
      <c r="H704">
        <v>137</v>
      </c>
      <c r="I704">
        <v>1297047</v>
      </c>
      <c r="J704">
        <v>480258</v>
      </c>
      <c r="K704">
        <v>1584</v>
      </c>
      <c r="L704">
        <v>703</v>
      </c>
      <c r="M704">
        <v>702</v>
      </c>
    </row>
    <row r="705" spans="1:13" x14ac:dyDescent="0.3">
      <c r="A705" s="1">
        <v>44218</v>
      </c>
      <c r="B705" s="2" t="s">
        <v>3</v>
      </c>
      <c r="C705">
        <v>85251</v>
      </c>
      <c r="D705">
        <v>1515</v>
      </c>
      <c r="E705">
        <v>18286</v>
      </c>
      <c r="F705">
        <v>65375</v>
      </c>
      <c r="G705">
        <v>825</v>
      </c>
      <c r="H705">
        <v>142</v>
      </c>
      <c r="I705">
        <v>1309379</v>
      </c>
      <c r="J705">
        <v>483914</v>
      </c>
      <c r="K705">
        <v>1599</v>
      </c>
      <c r="L705">
        <v>704</v>
      </c>
      <c r="M705">
        <v>703</v>
      </c>
    </row>
    <row r="706" spans="1:13" x14ac:dyDescent="0.3">
      <c r="A706" s="1">
        <v>44219</v>
      </c>
      <c r="B706" s="2" t="s">
        <v>3</v>
      </c>
      <c r="C706">
        <v>86779</v>
      </c>
      <c r="D706">
        <v>1325</v>
      </c>
      <c r="E706">
        <v>18992</v>
      </c>
      <c r="F706">
        <v>66188</v>
      </c>
      <c r="G706">
        <v>916</v>
      </c>
      <c r="H706">
        <v>150</v>
      </c>
      <c r="I706">
        <v>1321879</v>
      </c>
      <c r="J706">
        <v>486458</v>
      </c>
      <c r="K706">
        <v>1608</v>
      </c>
      <c r="L706">
        <v>705</v>
      </c>
      <c r="M706">
        <v>704</v>
      </c>
    </row>
    <row r="707" spans="1:13" x14ac:dyDescent="0.3">
      <c r="A707" s="1">
        <v>44220</v>
      </c>
      <c r="B707" s="2" t="s">
        <v>3</v>
      </c>
      <c r="C707">
        <v>88181</v>
      </c>
      <c r="D707">
        <v>1234</v>
      </c>
      <c r="E707">
        <v>19768</v>
      </c>
      <c r="F707">
        <v>66800</v>
      </c>
      <c r="G707">
        <v>993</v>
      </c>
      <c r="H707">
        <v>161</v>
      </c>
      <c r="I707">
        <v>1334415</v>
      </c>
      <c r="J707">
        <v>488185</v>
      </c>
      <c r="K707">
        <v>1622</v>
      </c>
      <c r="L707">
        <v>706</v>
      </c>
      <c r="M707">
        <v>705</v>
      </c>
    </row>
    <row r="708" spans="1:13" x14ac:dyDescent="0.3">
      <c r="A708" s="1">
        <v>44221</v>
      </c>
      <c r="B708" s="2" t="s">
        <v>3</v>
      </c>
      <c r="C708">
        <v>89592</v>
      </c>
      <c r="D708">
        <v>1068</v>
      </c>
      <c r="E708">
        <v>20481</v>
      </c>
      <c r="F708">
        <v>67473</v>
      </c>
      <c r="G708">
        <v>1031</v>
      </c>
      <c r="H708">
        <v>170</v>
      </c>
      <c r="I708">
        <v>1345340</v>
      </c>
      <c r="J708">
        <v>492390</v>
      </c>
      <c r="K708">
        <v>1649</v>
      </c>
      <c r="L708">
        <v>707</v>
      </c>
      <c r="M708">
        <v>706</v>
      </c>
    </row>
    <row r="709" spans="1:13" x14ac:dyDescent="0.3">
      <c r="A709" s="1">
        <v>44222</v>
      </c>
      <c r="B709" s="2" t="s">
        <v>3</v>
      </c>
      <c r="C709">
        <v>91178</v>
      </c>
      <c r="D709">
        <v>1297</v>
      </c>
      <c r="E709">
        <v>21293</v>
      </c>
      <c r="F709">
        <v>68237</v>
      </c>
      <c r="G709">
        <v>1093</v>
      </c>
      <c r="H709">
        <v>178</v>
      </c>
      <c r="I709">
        <v>1357642</v>
      </c>
      <c r="J709">
        <v>498391</v>
      </c>
      <c r="K709">
        <v>1659</v>
      </c>
      <c r="L709">
        <v>708</v>
      </c>
      <c r="M709">
        <v>707</v>
      </c>
    </row>
    <row r="710" spans="1:13" x14ac:dyDescent="0.3">
      <c r="A710" s="1">
        <v>44223</v>
      </c>
      <c r="B710" s="2" t="s">
        <v>3</v>
      </c>
      <c r="C710">
        <v>92646</v>
      </c>
      <c r="D710">
        <v>1121</v>
      </c>
      <c r="E710">
        <v>21613</v>
      </c>
      <c r="F710">
        <v>69356</v>
      </c>
      <c r="G710">
        <v>1086</v>
      </c>
      <c r="H710">
        <v>193</v>
      </c>
      <c r="I710">
        <v>1370436</v>
      </c>
      <c r="J710">
        <v>502463</v>
      </c>
      <c r="K710">
        <v>1688</v>
      </c>
      <c r="L710">
        <v>709</v>
      </c>
      <c r="M710">
        <v>708</v>
      </c>
    </row>
    <row r="711" spans="1:13" x14ac:dyDescent="0.3">
      <c r="A711" s="1">
        <v>44224</v>
      </c>
      <c r="B711" s="2" t="s">
        <v>3</v>
      </c>
      <c r="C711">
        <v>94289</v>
      </c>
      <c r="D711">
        <v>1390</v>
      </c>
      <c r="E711">
        <v>22124</v>
      </c>
      <c r="F711">
        <v>70459</v>
      </c>
      <c r="G711">
        <v>1121</v>
      </c>
      <c r="H711">
        <v>210</v>
      </c>
      <c r="I711">
        <v>1384089</v>
      </c>
      <c r="J711">
        <v>508169</v>
      </c>
      <c r="K711">
        <v>1718</v>
      </c>
      <c r="L711">
        <v>710</v>
      </c>
      <c r="M711">
        <v>709</v>
      </c>
    </row>
    <row r="712" spans="1:13" x14ac:dyDescent="0.3">
      <c r="A712" s="1">
        <v>44225</v>
      </c>
      <c r="B712" s="2" t="s">
        <v>3</v>
      </c>
      <c r="C712">
        <v>95781</v>
      </c>
      <c r="D712">
        <v>1259</v>
      </c>
      <c r="E712">
        <v>22511</v>
      </c>
      <c r="F712">
        <v>71531</v>
      </c>
      <c r="G712">
        <v>1084</v>
      </c>
      <c r="H712">
        <v>228</v>
      </c>
      <c r="I712">
        <v>1397979</v>
      </c>
      <c r="J712">
        <v>514562</v>
      </c>
      <c r="K712">
        <v>1752</v>
      </c>
      <c r="L712">
        <v>711</v>
      </c>
      <c r="M712">
        <v>710</v>
      </c>
    </row>
    <row r="713" spans="1:13" x14ac:dyDescent="0.3">
      <c r="A713" s="1">
        <v>44226</v>
      </c>
      <c r="B713" s="2" t="s">
        <v>3</v>
      </c>
      <c r="C713">
        <v>97112</v>
      </c>
      <c r="D713">
        <v>1185</v>
      </c>
      <c r="E713">
        <v>22608</v>
      </c>
      <c r="F713">
        <v>72756</v>
      </c>
      <c r="G713">
        <v>1130</v>
      </c>
      <c r="H713">
        <v>232</v>
      </c>
      <c r="I713">
        <v>1410559</v>
      </c>
      <c r="J713">
        <v>522429</v>
      </c>
      <c r="K713">
        <v>1761</v>
      </c>
      <c r="L713">
        <v>712</v>
      </c>
      <c r="M713">
        <v>711</v>
      </c>
    </row>
    <row r="714" spans="1:13" x14ac:dyDescent="0.3">
      <c r="A714" s="1">
        <v>44227</v>
      </c>
      <c r="B714" s="2" t="s">
        <v>3</v>
      </c>
      <c r="C714">
        <v>98075</v>
      </c>
      <c r="D714">
        <v>880</v>
      </c>
      <c r="E714">
        <v>22420</v>
      </c>
      <c r="F714">
        <v>73893</v>
      </c>
      <c r="G714">
        <v>1210</v>
      </c>
      <c r="H714">
        <v>242</v>
      </c>
      <c r="I714">
        <v>1423407</v>
      </c>
      <c r="J714">
        <v>531036</v>
      </c>
      <c r="K714">
        <v>1775</v>
      </c>
      <c r="L714">
        <v>713</v>
      </c>
      <c r="M714">
        <v>712</v>
      </c>
    </row>
    <row r="715" spans="1:13" x14ac:dyDescent="0.3">
      <c r="A715" s="1">
        <v>44228</v>
      </c>
      <c r="B715" s="2" t="s">
        <v>3</v>
      </c>
      <c r="C715">
        <v>99076</v>
      </c>
      <c r="D715">
        <v>791</v>
      </c>
      <c r="E715">
        <v>22522</v>
      </c>
      <c r="F715">
        <v>74752</v>
      </c>
      <c r="G715">
        <v>1186</v>
      </c>
      <c r="H715">
        <v>253</v>
      </c>
      <c r="I715">
        <v>1434487</v>
      </c>
      <c r="J715">
        <v>541465</v>
      </c>
      <c r="K715">
        <v>1815</v>
      </c>
      <c r="L715">
        <v>714</v>
      </c>
      <c r="M715">
        <v>713</v>
      </c>
    </row>
    <row r="716" spans="1:13" x14ac:dyDescent="0.3">
      <c r="A716" s="1">
        <v>44229</v>
      </c>
      <c r="B716" s="2" t="s">
        <v>3</v>
      </c>
      <c r="C716">
        <v>100216</v>
      </c>
      <c r="D716">
        <v>935</v>
      </c>
      <c r="E716">
        <v>22440</v>
      </c>
      <c r="F716">
        <v>75947</v>
      </c>
      <c r="G716">
        <v>1125</v>
      </c>
      <c r="H716">
        <v>247</v>
      </c>
      <c r="I716">
        <v>1447952</v>
      </c>
      <c r="J716">
        <v>553466</v>
      </c>
      <c r="K716">
        <v>1843</v>
      </c>
      <c r="L716">
        <v>715</v>
      </c>
      <c r="M716">
        <v>714</v>
      </c>
    </row>
    <row r="717" spans="1:13" x14ac:dyDescent="0.3">
      <c r="A717" s="1">
        <v>44230</v>
      </c>
      <c r="B717" s="2" t="s">
        <v>3</v>
      </c>
      <c r="C717">
        <v>101399</v>
      </c>
      <c r="D717">
        <v>1091</v>
      </c>
      <c r="E717">
        <v>22399</v>
      </c>
      <c r="F717">
        <v>77135</v>
      </c>
      <c r="G717">
        <v>1070</v>
      </c>
      <c r="H717">
        <v>247</v>
      </c>
      <c r="I717">
        <v>1460951</v>
      </c>
      <c r="J717">
        <v>566852</v>
      </c>
      <c r="K717">
        <v>1880</v>
      </c>
      <c r="L717">
        <v>716</v>
      </c>
      <c r="M717">
        <v>715</v>
      </c>
    </row>
    <row r="718" spans="1:13" x14ac:dyDescent="0.3">
      <c r="A718" s="1">
        <v>44231</v>
      </c>
      <c r="B718" s="2" t="s">
        <v>3</v>
      </c>
      <c r="C718">
        <v>102424</v>
      </c>
      <c r="D718">
        <v>874</v>
      </c>
      <c r="E718">
        <v>21686</v>
      </c>
      <c r="F718">
        <v>78843</v>
      </c>
      <c r="G718">
        <v>1038</v>
      </c>
      <c r="H718">
        <v>251</v>
      </c>
      <c r="I718">
        <v>1472623</v>
      </c>
      <c r="J718">
        <v>582118</v>
      </c>
      <c r="K718">
        <v>1910</v>
      </c>
      <c r="L718">
        <v>717</v>
      </c>
      <c r="M718">
        <v>716</v>
      </c>
    </row>
    <row r="719" spans="1:13" x14ac:dyDescent="0.3">
      <c r="A719" s="1">
        <v>44232</v>
      </c>
      <c r="B719" s="2" t="s">
        <v>3</v>
      </c>
      <c r="C719">
        <v>103343</v>
      </c>
      <c r="D719">
        <v>808</v>
      </c>
      <c r="E719">
        <v>20887</v>
      </c>
      <c r="F719">
        <v>80537</v>
      </c>
      <c r="G719">
        <v>1036</v>
      </c>
      <c r="H719">
        <v>247</v>
      </c>
      <c r="I719">
        <v>1485603</v>
      </c>
      <c r="J719">
        <v>596051</v>
      </c>
      <c r="K719">
        <v>1934</v>
      </c>
      <c r="L719">
        <v>718</v>
      </c>
      <c r="M719">
        <v>717</v>
      </c>
    </row>
    <row r="720" spans="1:13" x14ac:dyDescent="0.3">
      <c r="A720" s="1">
        <v>44233</v>
      </c>
      <c r="B720" s="2" t="s">
        <v>3</v>
      </c>
      <c r="C720">
        <v>104176</v>
      </c>
      <c r="D720">
        <v>819</v>
      </c>
      <c r="E720">
        <v>19966</v>
      </c>
      <c r="F720">
        <v>82275</v>
      </c>
      <c r="G720">
        <v>1026</v>
      </c>
      <c r="H720">
        <v>248</v>
      </c>
      <c r="I720">
        <v>1497496</v>
      </c>
      <c r="J720">
        <v>610290</v>
      </c>
      <c r="K720">
        <v>1950</v>
      </c>
      <c r="L720">
        <v>719</v>
      </c>
      <c r="M720">
        <v>718</v>
      </c>
    </row>
    <row r="721" spans="1:13" x14ac:dyDescent="0.3">
      <c r="A721" s="1">
        <v>44234</v>
      </c>
      <c r="B721" s="2" t="s">
        <v>3</v>
      </c>
      <c r="C721">
        <v>104701</v>
      </c>
      <c r="D721">
        <v>490</v>
      </c>
      <c r="E721">
        <v>19246</v>
      </c>
      <c r="F721">
        <v>83504</v>
      </c>
      <c r="G721">
        <v>1063</v>
      </c>
      <c r="H721">
        <v>254</v>
      </c>
      <c r="I721">
        <v>1509268</v>
      </c>
      <c r="J721">
        <v>621309</v>
      </c>
      <c r="K721">
        <v>1967</v>
      </c>
      <c r="L721">
        <v>720</v>
      </c>
      <c r="M721">
        <v>719</v>
      </c>
    </row>
  </sheetData>
  <phoneticPr fontId="3" type="noConversion"/>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2F2C8C-9EA4-452E-81E8-596723715490}">
  <sheetPr codeName="Sheet17"/>
  <dimension ref="A1:B9"/>
  <sheetViews>
    <sheetView showGridLines="0" workbookViewId="0">
      <selection activeCell="E20" sqref="E20"/>
    </sheetView>
  </sheetViews>
  <sheetFormatPr defaultRowHeight="14.4" x14ac:dyDescent="0.3"/>
  <cols>
    <col min="2" max="2" width="31.6640625" bestFit="1" customWidth="1"/>
  </cols>
  <sheetData>
    <row r="1" spans="1:2" x14ac:dyDescent="0.3">
      <c r="A1" t="s">
        <v>10</v>
      </c>
      <c r="B1" t="s">
        <v>11</v>
      </c>
    </row>
    <row r="2" spans="1:2" x14ac:dyDescent="0.3">
      <c r="A2" t="s">
        <v>12</v>
      </c>
      <c r="B2" t="s">
        <v>3</v>
      </c>
    </row>
    <row r="3" spans="1:2" x14ac:dyDescent="0.3">
      <c r="A3" t="s">
        <v>13</v>
      </c>
      <c r="B3" t="s">
        <v>4</v>
      </c>
    </row>
    <row r="4" spans="1:2" x14ac:dyDescent="0.3">
      <c r="A4" t="s">
        <v>14</v>
      </c>
      <c r="B4" t="s">
        <v>5</v>
      </c>
    </row>
    <row r="5" spans="1:2" x14ac:dyDescent="0.3">
      <c r="A5" t="s">
        <v>15</v>
      </c>
      <c r="B5" t="s">
        <v>8</v>
      </c>
    </row>
    <row r="6" spans="1:2" x14ac:dyDescent="0.3">
      <c r="A6" t="s">
        <v>16</v>
      </c>
      <c r="B6" t="s">
        <v>9</v>
      </c>
    </row>
    <row r="7" spans="1:2" x14ac:dyDescent="0.3">
      <c r="A7" t="s">
        <v>17</v>
      </c>
      <c r="B7" t="s">
        <v>6</v>
      </c>
    </row>
    <row r="8" spans="1:2" x14ac:dyDescent="0.3">
      <c r="A8" t="s">
        <v>18</v>
      </c>
      <c r="B8" t="s">
        <v>7</v>
      </c>
    </row>
    <row r="9" spans="1:2" x14ac:dyDescent="0.3">
      <c r="A9" t="s">
        <v>19</v>
      </c>
      <c r="B9" t="s">
        <v>2</v>
      </c>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51F5CC-8B9F-4BC6-A062-4F7FD6509D11}">
  <sheetPr codeName="Sheet18"/>
  <dimension ref="A1:M314"/>
  <sheetViews>
    <sheetView showGridLines="0" workbookViewId="0">
      <selection activeCell="M3" sqref="M3"/>
    </sheetView>
  </sheetViews>
  <sheetFormatPr defaultRowHeight="14.4" x14ac:dyDescent="0.3"/>
  <cols>
    <col min="1" max="1" width="32.33203125" style="9" bestFit="1" customWidth="1" collapsed="1"/>
    <col min="2" max="2" width="11" style="9" bestFit="1" customWidth="1" collapsed="1"/>
    <col min="3" max="3" width="13.77734375" style="10" bestFit="1" customWidth="1" collapsed="1"/>
    <col min="10" max="10" width="15" customWidth="1"/>
    <col min="11" max="11" width="11.44140625" customWidth="1"/>
  </cols>
  <sheetData>
    <row r="1" spans="1:13" ht="28.8" x14ac:dyDescent="0.3">
      <c r="A1" s="3" t="s">
        <v>20</v>
      </c>
      <c r="B1" s="3" t="s">
        <v>21</v>
      </c>
      <c r="C1" s="3" t="s">
        <v>22</v>
      </c>
      <c r="D1" s="4" t="s">
        <v>23</v>
      </c>
      <c r="J1" t="s">
        <v>22</v>
      </c>
      <c r="K1" t="s">
        <v>402</v>
      </c>
    </row>
    <row r="2" spans="1:13" x14ac:dyDescent="0.3">
      <c r="A2" s="5" t="s">
        <v>24</v>
      </c>
      <c r="B2" s="5" t="s">
        <v>25</v>
      </c>
      <c r="C2" s="5" t="s">
        <v>13</v>
      </c>
      <c r="D2" s="6">
        <v>5406</v>
      </c>
      <c r="J2" t="s">
        <v>13</v>
      </c>
      <c r="K2">
        <f>SUMIF(DatosPoblacion[area_sanitaria],Area_Poblacion[[#This Row],[area_sanitaria]],DatosPoblacion[Población])</f>
        <v>553439</v>
      </c>
      <c r="M2">
        <f>(5437/Area_Poblacion[[#This Row],[población]])*100000</f>
        <v>982.40275802753342</v>
      </c>
    </row>
    <row r="3" spans="1:13" x14ac:dyDescent="0.3">
      <c r="A3" s="5" t="s">
        <v>26</v>
      </c>
      <c r="B3" s="5" t="s">
        <v>25</v>
      </c>
      <c r="C3" s="5" t="s">
        <v>13</v>
      </c>
      <c r="D3" s="6">
        <v>1849</v>
      </c>
      <c r="J3" t="s">
        <v>14</v>
      </c>
      <c r="K3">
        <f>SUMIF(DatosPoblacion[area_sanitaria],Area_Poblacion[[#This Row],[area_sanitaria]],DatosPoblacion[Población])</f>
        <v>188832</v>
      </c>
    </row>
    <row r="4" spans="1:13" x14ac:dyDescent="0.3">
      <c r="A4" s="5" t="s">
        <v>27</v>
      </c>
      <c r="B4" s="5" t="s">
        <v>25</v>
      </c>
      <c r="C4" s="5" t="s">
        <v>13</v>
      </c>
      <c r="D4" s="6">
        <v>32262</v>
      </c>
      <c r="J4" t="s">
        <v>15</v>
      </c>
      <c r="K4">
        <f>SUMIF(DatosPoblacion[area_sanitaria],Area_Poblacion[[#This Row],[area_sanitaria]],DatosPoblacion[Población])</f>
        <v>329587</v>
      </c>
    </row>
    <row r="5" spans="1:13" x14ac:dyDescent="0.3">
      <c r="A5" s="7" t="s">
        <v>28</v>
      </c>
      <c r="B5" s="7" t="s">
        <v>25</v>
      </c>
      <c r="C5" s="7" t="s">
        <v>13</v>
      </c>
      <c r="D5" s="8">
        <v>6633</v>
      </c>
      <c r="J5" t="s">
        <v>16</v>
      </c>
      <c r="K5">
        <f>SUMIF(DatosPoblacion[area_sanitaria],Area_Poblacion[[#This Row],[area_sanitaria]],DatosPoblacion[Población])</f>
        <v>307651</v>
      </c>
    </row>
    <row r="6" spans="1:13" x14ac:dyDescent="0.3">
      <c r="A6" s="5" t="s">
        <v>29</v>
      </c>
      <c r="B6" s="5" t="s">
        <v>25</v>
      </c>
      <c r="C6" s="5" t="s">
        <v>13</v>
      </c>
      <c r="D6" s="6">
        <v>12959</v>
      </c>
      <c r="J6" t="s">
        <v>17</v>
      </c>
      <c r="K6">
        <f>SUMIF(DatosPoblacion[area_sanitaria],Area_Poblacion[[#This Row],[area_sanitaria]],DatosPoblacion[Población])</f>
        <v>306687</v>
      </c>
    </row>
    <row r="7" spans="1:13" x14ac:dyDescent="0.3">
      <c r="A7" s="7" t="s">
        <v>30</v>
      </c>
      <c r="B7" s="7" t="s">
        <v>25</v>
      </c>
      <c r="C7" s="7" t="s">
        <v>13</v>
      </c>
      <c r="D7" s="8">
        <v>4248</v>
      </c>
      <c r="J7" t="s">
        <v>18</v>
      </c>
      <c r="K7">
        <f>SUMIF(DatosPoblacion[area_sanitaria],Area_Poblacion[[#This Row],[area_sanitaria]],DatosPoblacion[Población])</f>
        <v>446739</v>
      </c>
    </row>
    <row r="8" spans="1:13" x14ac:dyDescent="0.3">
      <c r="A8" s="7" t="s">
        <v>31</v>
      </c>
      <c r="B8" s="7" t="s">
        <v>25</v>
      </c>
      <c r="C8" s="7" t="s">
        <v>13</v>
      </c>
      <c r="D8" s="8">
        <v>5272</v>
      </c>
      <c r="J8" t="s">
        <v>19</v>
      </c>
      <c r="K8">
        <f>SUMIF(DatosPoblacion[area_sanitaria],Area_Poblacion[[#This Row],[area_sanitaria]],DatosPoblacion[Población])</f>
        <v>566564</v>
      </c>
    </row>
    <row r="9" spans="1:13" x14ac:dyDescent="0.3">
      <c r="A9" s="5" t="s">
        <v>32</v>
      </c>
      <c r="B9" s="5" t="s">
        <v>25</v>
      </c>
      <c r="C9" s="5" t="s">
        <v>13</v>
      </c>
      <c r="D9" s="6">
        <v>24648</v>
      </c>
    </row>
    <row r="10" spans="1:13" x14ac:dyDescent="0.3">
      <c r="A10" s="5" t="s">
        <v>33</v>
      </c>
      <c r="B10" s="5" t="s">
        <v>25</v>
      </c>
      <c r="C10" s="5" t="s">
        <v>13</v>
      </c>
      <c r="D10" s="6">
        <v>31349</v>
      </c>
    </row>
    <row r="11" spans="1:13" x14ac:dyDescent="0.3">
      <c r="A11" s="7" t="s">
        <v>34</v>
      </c>
      <c r="B11" s="7" t="s">
        <v>25</v>
      </c>
      <c r="C11" s="7" t="s">
        <v>13</v>
      </c>
      <c r="D11" s="8">
        <v>6408</v>
      </c>
    </row>
    <row r="12" spans="1:13" x14ac:dyDescent="0.3">
      <c r="A12" s="7" t="s">
        <v>35</v>
      </c>
      <c r="B12" s="7" t="s">
        <v>25</v>
      </c>
      <c r="C12" s="7" t="s">
        <v>13</v>
      </c>
      <c r="D12" s="8">
        <v>7546</v>
      </c>
    </row>
    <row r="13" spans="1:13" x14ac:dyDescent="0.3">
      <c r="A13" s="5" t="s">
        <v>36</v>
      </c>
      <c r="B13" s="5" t="s">
        <v>25</v>
      </c>
      <c r="C13" s="5" t="s">
        <v>13</v>
      </c>
      <c r="D13" s="6">
        <v>5001</v>
      </c>
    </row>
    <row r="14" spans="1:13" x14ac:dyDescent="0.3">
      <c r="A14" s="5" t="s">
        <v>37</v>
      </c>
      <c r="B14" s="5" t="s">
        <v>25</v>
      </c>
      <c r="C14" s="5" t="s">
        <v>13</v>
      </c>
      <c r="D14" s="6">
        <v>1824</v>
      </c>
    </row>
    <row r="15" spans="1:13" x14ac:dyDescent="0.3">
      <c r="A15" s="7" t="s">
        <v>38</v>
      </c>
      <c r="B15" s="7" t="s">
        <v>25</v>
      </c>
      <c r="C15" s="7" t="s">
        <v>13</v>
      </c>
      <c r="D15" s="8">
        <v>1589</v>
      </c>
    </row>
    <row r="16" spans="1:13" x14ac:dyDescent="0.3">
      <c r="A16" s="5" t="s">
        <v>39</v>
      </c>
      <c r="B16" s="5" t="s">
        <v>25</v>
      </c>
      <c r="C16" s="5" t="s">
        <v>13</v>
      </c>
      <c r="D16" s="6">
        <v>6074</v>
      </c>
    </row>
    <row r="17" spans="1:4" x14ac:dyDescent="0.3">
      <c r="A17" s="7" t="s">
        <v>40</v>
      </c>
      <c r="B17" s="7" t="s">
        <v>25</v>
      </c>
      <c r="C17" s="7" t="s">
        <v>13</v>
      </c>
      <c r="D17" s="8">
        <v>245711</v>
      </c>
    </row>
    <row r="18" spans="1:4" x14ac:dyDescent="0.3">
      <c r="A18" s="5" t="s">
        <v>41</v>
      </c>
      <c r="B18" s="5" t="s">
        <v>25</v>
      </c>
      <c r="C18" s="5" t="s">
        <v>13</v>
      </c>
      <c r="D18" s="6">
        <v>30402</v>
      </c>
    </row>
    <row r="19" spans="1:4" x14ac:dyDescent="0.3">
      <c r="A19" s="7" t="s">
        <v>42</v>
      </c>
      <c r="B19" s="7" t="s">
        <v>25</v>
      </c>
      <c r="C19" s="7" t="s">
        <v>13</v>
      </c>
      <c r="D19" s="8">
        <v>3983</v>
      </c>
    </row>
    <row r="20" spans="1:4" x14ac:dyDescent="0.3">
      <c r="A20" s="7" t="s">
        <v>43</v>
      </c>
      <c r="B20" s="7" t="s">
        <v>25</v>
      </c>
      <c r="C20" s="7" t="s">
        <v>13</v>
      </c>
      <c r="D20" s="8">
        <v>2983</v>
      </c>
    </row>
    <row r="21" spans="1:4" x14ac:dyDescent="0.3">
      <c r="A21" s="5" t="s">
        <v>44</v>
      </c>
      <c r="B21" s="5" t="s">
        <v>25</v>
      </c>
      <c r="C21" s="5" t="s">
        <v>13</v>
      </c>
      <c r="D21" s="6">
        <v>4708</v>
      </c>
    </row>
    <row r="22" spans="1:4" x14ac:dyDescent="0.3">
      <c r="A22" s="5" t="s">
        <v>45</v>
      </c>
      <c r="B22" s="5" t="s">
        <v>25</v>
      </c>
      <c r="C22" s="5" t="s">
        <v>13</v>
      </c>
      <c r="D22" s="6">
        <v>1334</v>
      </c>
    </row>
    <row r="23" spans="1:4" x14ac:dyDescent="0.3">
      <c r="A23" s="7" t="s">
        <v>46</v>
      </c>
      <c r="B23" s="7" t="s">
        <v>25</v>
      </c>
      <c r="C23" s="7" t="s">
        <v>13</v>
      </c>
      <c r="D23" s="8">
        <v>11347</v>
      </c>
    </row>
    <row r="24" spans="1:4" x14ac:dyDescent="0.3">
      <c r="A24" s="5" t="s">
        <v>47</v>
      </c>
      <c r="B24" s="5" t="s">
        <v>25</v>
      </c>
      <c r="C24" s="5" t="s">
        <v>13</v>
      </c>
      <c r="D24" s="6">
        <v>3016</v>
      </c>
    </row>
    <row r="25" spans="1:4" x14ac:dyDescent="0.3">
      <c r="A25" s="5" t="s">
        <v>48</v>
      </c>
      <c r="B25" s="5" t="s">
        <v>25</v>
      </c>
      <c r="C25" s="5" t="s">
        <v>13</v>
      </c>
      <c r="D25" s="6">
        <v>5391</v>
      </c>
    </row>
    <row r="26" spans="1:4" x14ac:dyDescent="0.3">
      <c r="A26" s="7" t="s">
        <v>49</v>
      </c>
      <c r="B26" s="7" t="s">
        <v>25</v>
      </c>
      <c r="C26" s="7" t="s">
        <v>13</v>
      </c>
      <c r="D26" s="8">
        <v>6200</v>
      </c>
    </row>
    <row r="27" spans="1:4" x14ac:dyDescent="0.3">
      <c r="A27" s="5" t="s">
        <v>50</v>
      </c>
      <c r="B27" s="5" t="s">
        <v>25</v>
      </c>
      <c r="C27" s="5" t="s">
        <v>13</v>
      </c>
      <c r="D27" s="6">
        <v>4657</v>
      </c>
    </row>
    <row r="28" spans="1:4" x14ac:dyDescent="0.3">
      <c r="A28" s="7" t="s">
        <v>51</v>
      </c>
      <c r="B28" s="7" t="s">
        <v>25</v>
      </c>
      <c r="C28" s="7" t="s">
        <v>13</v>
      </c>
      <c r="D28" s="8">
        <v>36075</v>
      </c>
    </row>
    <row r="29" spans="1:4" x14ac:dyDescent="0.3">
      <c r="A29" s="5" t="s">
        <v>52</v>
      </c>
      <c r="B29" s="5" t="s">
        <v>25</v>
      </c>
      <c r="C29" s="5" t="s">
        <v>13</v>
      </c>
      <c r="D29" s="6">
        <v>5101</v>
      </c>
    </row>
    <row r="30" spans="1:4" x14ac:dyDescent="0.3">
      <c r="A30" s="7" t="s">
        <v>53</v>
      </c>
      <c r="B30" s="7" t="s">
        <v>25</v>
      </c>
      <c r="C30" s="7" t="s">
        <v>13</v>
      </c>
      <c r="D30" s="8">
        <v>2394</v>
      </c>
    </row>
    <row r="31" spans="1:4" x14ac:dyDescent="0.3">
      <c r="A31" s="7" t="s">
        <v>54</v>
      </c>
      <c r="B31" s="7" t="s">
        <v>25</v>
      </c>
      <c r="C31" s="7" t="s">
        <v>13</v>
      </c>
      <c r="D31" s="8">
        <v>5502</v>
      </c>
    </row>
    <row r="32" spans="1:4" x14ac:dyDescent="0.3">
      <c r="A32" s="5" t="s">
        <v>55</v>
      </c>
      <c r="B32" s="5" t="s">
        <v>25</v>
      </c>
      <c r="C32" s="5" t="s">
        <v>13</v>
      </c>
      <c r="D32" s="6">
        <v>15841</v>
      </c>
    </row>
    <row r="33" spans="1:4" x14ac:dyDescent="0.3">
      <c r="A33" s="7" t="s">
        <v>56</v>
      </c>
      <c r="B33" s="7" t="s">
        <v>25</v>
      </c>
      <c r="C33" s="7" t="s">
        <v>13</v>
      </c>
      <c r="D33" s="8">
        <v>1758</v>
      </c>
    </row>
    <row r="34" spans="1:4" x14ac:dyDescent="0.3">
      <c r="A34" s="7" t="s">
        <v>57</v>
      </c>
      <c r="B34" s="7" t="s">
        <v>25</v>
      </c>
      <c r="C34" s="7" t="s">
        <v>13</v>
      </c>
      <c r="D34" s="8">
        <v>1226</v>
      </c>
    </row>
    <row r="35" spans="1:4" x14ac:dyDescent="0.3">
      <c r="A35" s="5" t="s">
        <v>58</v>
      </c>
      <c r="B35" s="5" t="s">
        <v>25</v>
      </c>
      <c r="C35" s="5" t="s">
        <v>13</v>
      </c>
      <c r="D35" s="6">
        <v>1213</v>
      </c>
    </row>
    <row r="36" spans="1:4" x14ac:dyDescent="0.3">
      <c r="A36" s="7" t="s">
        <v>59</v>
      </c>
      <c r="B36" s="7" t="s">
        <v>25</v>
      </c>
      <c r="C36" s="7" t="s">
        <v>13</v>
      </c>
      <c r="D36" s="8">
        <v>7057</v>
      </c>
    </row>
    <row r="37" spans="1:4" x14ac:dyDescent="0.3">
      <c r="A37" s="5" t="s">
        <v>60</v>
      </c>
      <c r="B37" s="5" t="s">
        <v>25</v>
      </c>
      <c r="C37" s="5" t="s">
        <v>13</v>
      </c>
      <c r="D37" s="6">
        <v>4472</v>
      </c>
    </row>
    <row r="38" spans="1:4" x14ac:dyDescent="0.3">
      <c r="A38" s="7" t="s">
        <v>61</v>
      </c>
      <c r="B38" s="7" t="s">
        <v>25</v>
      </c>
      <c r="C38" s="7" t="s">
        <v>14</v>
      </c>
      <c r="D38" s="8">
        <v>5732</v>
      </c>
    </row>
    <row r="39" spans="1:4" x14ac:dyDescent="0.3">
      <c r="A39" s="5" t="s">
        <v>62</v>
      </c>
      <c r="B39" s="5" t="s">
        <v>25</v>
      </c>
      <c r="C39" s="5" t="s">
        <v>14</v>
      </c>
      <c r="D39" s="6">
        <v>3281</v>
      </c>
    </row>
    <row r="40" spans="1:4" x14ac:dyDescent="0.3">
      <c r="A40" s="7" t="s">
        <v>63</v>
      </c>
      <c r="B40" s="7" t="s">
        <v>25</v>
      </c>
      <c r="C40" s="7" t="s">
        <v>14</v>
      </c>
      <c r="D40" s="8">
        <v>1232</v>
      </c>
    </row>
    <row r="41" spans="1:4" x14ac:dyDescent="0.3">
      <c r="A41" s="7" t="s">
        <v>64</v>
      </c>
      <c r="B41" s="7" t="s">
        <v>25</v>
      </c>
      <c r="C41" s="7" t="s">
        <v>14</v>
      </c>
      <c r="D41" s="8">
        <v>3838</v>
      </c>
    </row>
    <row r="42" spans="1:4" x14ac:dyDescent="0.3">
      <c r="A42" s="5" t="s">
        <v>65</v>
      </c>
      <c r="B42" s="5" t="s">
        <v>25</v>
      </c>
      <c r="C42" s="5" t="s">
        <v>14</v>
      </c>
      <c r="D42" s="6">
        <v>6640</v>
      </c>
    </row>
    <row r="43" spans="1:4" x14ac:dyDescent="0.3">
      <c r="A43" s="7" t="s">
        <v>66</v>
      </c>
      <c r="B43" s="7" t="s">
        <v>25</v>
      </c>
      <c r="C43" s="7" t="s">
        <v>14</v>
      </c>
      <c r="D43" s="8">
        <v>1113</v>
      </c>
    </row>
    <row r="44" spans="1:4" x14ac:dyDescent="0.3">
      <c r="A44" s="5" t="s">
        <v>67</v>
      </c>
      <c r="B44" s="5" t="s">
        <v>25</v>
      </c>
      <c r="C44" s="5" t="s">
        <v>14</v>
      </c>
      <c r="D44" s="6">
        <v>12944</v>
      </c>
    </row>
    <row r="45" spans="1:4" x14ac:dyDescent="0.3">
      <c r="A45" s="7" t="s">
        <v>68</v>
      </c>
      <c r="B45" s="7" t="s">
        <v>25</v>
      </c>
      <c r="C45" s="7" t="s">
        <v>14</v>
      </c>
      <c r="D45" s="8">
        <v>66065</v>
      </c>
    </row>
    <row r="46" spans="1:4" x14ac:dyDescent="0.3">
      <c r="A46" s="7" t="s">
        <v>69</v>
      </c>
      <c r="B46" s="7" t="s">
        <v>25</v>
      </c>
      <c r="C46" s="7" t="s">
        <v>14</v>
      </c>
      <c r="D46" s="8">
        <v>1356</v>
      </c>
    </row>
    <row r="47" spans="1:4" x14ac:dyDescent="0.3">
      <c r="A47" s="5" t="s">
        <v>70</v>
      </c>
      <c r="B47" s="5" t="s">
        <v>25</v>
      </c>
      <c r="C47" s="5" t="s">
        <v>14</v>
      </c>
      <c r="D47" s="6">
        <v>1226</v>
      </c>
    </row>
    <row r="48" spans="1:4" x14ac:dyDescent="0.3">
      <c r="A48" s="7" t="s">
        <v>71</v>
      </c>
      <c r="B48" s="7" t="s">
        <v>25</v>
      </c>
      <c r="C48" s="7" t="s">
        <v>14</v>
      </c>
      <c r="D48" s="8">
        <v>1932</v>
      </c>
    </row>
    <row r="49" spans="1:4" x14ac:dyDescent="0.3">
      <c r="A49" s="5" t="s">
        <v>72</v>
      </c>
      <c r="B49" s="5" t="s">
        <v>25</v>
      </c>
      <c r="C49" s="5" t="s">
        <v>14</v>
      </c>
      <c r="D49" s="6">
        <v>5245</v>
      </c>
    </row>
    <row r="50" spans="1:4" x14ac:dyDescent="0.3">
      <c r="A50" s="7" t="s">
        <v>73</v>
      </c>
      <c r="B50" s="7" t="s">
        <v>25</v>
      </c>
      <c r="C50" s="7" t="s">
        <v>14</v>
      </c>
      <c r="D50" s="8">
        <v>39080</v>
      </c>
    </row>
    <row r="51" spans="1:4" x14ac:dyDescent="0.3">
      <c r="A51" s="5" t="s">
        <v>74</v>
      </c>
      <c r="B51" s="5" t="s">
        <v>25</v>
      </c>
      <c r="C51" s="5" t="s">
        <v>14</v>
      </c>
      <c r="D51" s="6">
        <v>5079</v>
      </c>
    </row>
    <row r="52" spans="1:4" x14ac:dyDescent="0.3">
      <c r="A52" s="5" t="s">
        <v>75</v>
      </c>
      <c r="B52" s="5" t="s">
        <v>25</v>
      </c>
      <c r="C52" s="5" t="s">
        <v>14</v>
      </c>
      <c r="D52" s="6">
        <v>5671</v>
      </c>
    </row>
    <row r="53" spans="1:4" x14ac:dyDescent="0.3">
      <c r="A53" s="5" t="s">
        <v>76</v>
      </c>
      <c r="B53" s="5" t="s">
        <v>25</v>
      </c>
      <c r="C53" s="5" t="s">
        <v>14</v>
      </c>
      <c r="D53" s="6">
        <v>7777</v>
      </c>
    </row>
    <row r="54" spans="1:4" x14ac:dyDescent="0.3">
      <c r="A54" s="7" t="s">
        <v>77</v>
      </c>
      <c r="B54" s="7" t="s">
        <v>25</v>
      </c>
      <c r="C54" s="7" t="s">
        <v>14</v>
      </c>
      <c r="D54" s="8">
        <v>10138</v>
      </c>
    </row>
    <row r="55" spans="1:4" x14ac:dyDescent="0.3">
      <c r="A55" s="7" t="s">
        <v>78</v>
      </c>
      <c r="B55" s="7" t="s">
        <v>25</v>
      </c>
      <c r="C55" s="7" t="s">
        <v>14</v>
      </c>
      <c r="D55" s="8">
        <v>2822</v>
      </c>
    </row>
    <row r="56" spans="1:4" x14ac:dyDescent="0.3">
      <c r="A56" s="5" t="s">
        <v>79</v>
      </c>
      <c r="B56" s="5" t="s">
        <v>25</v>
      </c>
      <c r="C56" s="5" t="s">
        <v>14</v>
      </c>
      <c r="D56" s="6">
        <v>1098</v>
      </c>
    </row>
    <row r="57" spans="1:4" x14ac:dyDescent="0.3">
      <c r="A57" s="7" t="s">
        <v>80</v>
      </c>
      <c r="B57" s="7" t="s">
        <v>25</v>
      </c>
      <c r="C57" s="7" t="s">
        <v>14</v>
      </c>
      <c r="D57" s="8">
        <v>6563</v>
      </c>
    </row>
    <row r="58" spans="1:4" x14ac:dyDescent="0.3">
      <c r="A58" s="7" t="s">
        <v>81</v>
      </c>
      <c r="B58" s="7" t="s">
        <v>82</v>
      </c>
      <c r="C58" s="7" t="s">
        <v>15</v>
      </c>
      <c r="D58" s="8">
        <v>2367</v>
      </c>
    </row>
    <row r="59" spans="1:4" x14ac:dyDescent="0.3">
      <c r="A59" s="5" t="s">
        <v>83</v>
      </c>
      <c r="B59" s="5" t="s">
        <v>82</v>
      </c>
      <c r="C59" s="5" t="s">
        <v>15</v>
      </c>
      <c r="D59" s="6">
        <v>1688</v>
      </c>
    </row>
    <row r="60" spans="1:4" x14ac:dyDescent="0.3">
      <c r="A60" s="7" t="s">
        <v>84</v>
      </c>
      <c r="B60" s="7" t="s">
        <v>82</v>
      </c>
      <c r="C60" s="7" t="s">
        <v>15</v>
      </c>
      <c r="D60" s="8">
        <v>1976</v>
      </c>
    </row>
    <row r="61" spans="1:4" x14ac:dyDescent="0.3">
      <c r="A61" s="5" t="s">
        <v>85</v>
      </c>
      <c r="B61" s="5" t="s">
        <v>82</v>
      </c>
      <c r="C61" s="5" t="s">
        <v>15</v>
      </c>
      <c r="D61" s="6">
        <v>1241</v>
      </c>
    </row>
    <row r="62" spans="1:4" x14ac:dyDescent="0.3">
      <c r="A62" s="7" t="s">
        <v>86</v>
      </c>
      <c r="B62" s="7" t="s">
        <v>82</v>
      </c>
      <c r="C62" s="7" t="s">
        <v>15</v>
      </c>
      <c r="D62" s="8">
        <v>2556</v>
      </c>
    </row>
    <row r="63" spans="1:4" x14ac:dyDescent="0.3">
      <c r="A63" s="5" t="s">
        <v>87</v>
      </c>
      <c r="B63" s="5" t="s">
        <v>82</v>
      </c>
      <c r="C63" s="5" t="s">
        <v>15</v>
      </c>
      <c r="D63" s="6">
        <v>2934</v>
      </c>
    </row>
    <row r="64" spans="1:4" x14ac:dyDescent="0.3">
      <c r="A64" s="7" t="s">
        <v>88</v>
      </c>
      <c r="B64" s="7" t="s">
        <v>82</v>
      </c>
      <c r="C64" s="7" t="s">
        <v>15</v>
      </c>
      <c r="D64" s="8">
        <v>2818</v>
      </c>
    </row>
    <row r="65" spans="1:4" x14ac:dyDescent="0.3">
      <c r="A65" s="5" t="s">
        <v>89</v>
      </c>
      <c r="B65" s="5" t="s">
        <v>82</v>
      </c>
      <c r="C65" s="5" t="s">
        <v>15</v>
      </c>
      <c r="D65" s="6">
        <v>3026</v>
      </c>
    </row>
    <row r="66" spans="1:4" x14ac:dyDescent="0.3">
      <c r="A66" s="7" t="s">
        <v>90</v>
      </c>
      <c r="B66" s="7" t="s">
        <v>82</v>
      </c>
      <c r="C66" s="7" t="s">
        <v>15</v>
      </c>
      <c r="D66" s="8">
        <v>1481</v>
      </c>
    </row>
    <row r="67" spans="1:4" x14ac:dyDescent="0.3">
      <c r="A67" s="5" t="s">
        <v>91</v>
      </c>
      <c r="B67" s="5" t="s">
        <v>82</v>
      </c>
      <c r="C67" s="5" t="s">
        <v>15</v>
      </c>
      <c r="D67" s="6">
        <v>9588</v>
      </c>
    </row>
    <row r="68" spans="1:4" x14ac:dyDescent="0.3">
      <c r="A68" s="7" t="s">
        <v>92</v>
      </c>
      <c r="B68" s="7" t="s">
        <v>82</v>
      </c>
      <c r="C68" s="7" t="s">
        <v>15</v>
      </c>
      <c r="D68" s="8">
        <v>2193</v>
      </c>
    </row>
    <row r="69" spans="1:4" x14ac:dyDescent="0.3">
      <c r="A69" s="5" t="s">
        <v>93</v>
      </c>
      <c r="B69" s="5" t="s">
        <v>82</v>
      </c>
      <c r="C69" s="5" t="s">
        <v>15</v>
      </c>
      <c r="D69" s="6">
        <v>5052</v>
      </c>
    </row>
    <row r="70" spans="1:4" x14ac:dyDescent="0.3">
      <c r="A70" s="7" t="s">
        <v>94</v>
      </c>
      <c r="B70" s="7" t="s">
        <v>82</v>
      </c>
      <c r="C70" s="7" t="s">
        <v>15</v>
      </c>
      <c r="D70" s="8">
        <v>2617</v>
      </c>
    </row>
    <row r="71" spans="1:4" x14ac:dyDescent="0.3">
      <c r="A71" s="5" t="s">
        <v>95</v>
      </c>
      <c r="B71" s="5" t="s">
        <v>82</v>
      </c>
      <c r="C71" s="5" t="s">
        <v>15</v>
      </c>
      <c r="D71" s="6">
        <v>1338</v>
      </c>
    </row>
    <row r="72" spans="1:4" x14ac:dyDescent="0.3">
      <c r="A72" s="7" t="s">
        <v>96</v>
      </c>
      <c r="B72" s="7" t="s">
        <v>82</v>
      </c>
      <c r="C72" s="7" t="s">
        <v>15</v>
      </c>
      <c r="D72" s="8">
        <v>4227</v>
      </c>
    </row>
    <row r="73" spans="1:4" x14ac:dyDescent="0.3">
      <c r="A73" s="5" t="s">
        <v>97</v>
      </c>
      <c r="B73" s="5" t="s">
        <v>82</v>
      </c>
      <c r="C73" s="5" t="s">
        <v>15</v>
      </c>
      <c r="D73" s="6">
        <v>8192</v>
      </c>
    </row>
    <row r="74" spans="1:4" x14ac:dyDescent="0.3">
      <c r="A74" s="7" t="s">
        <v>98</v>
      </c>
      <c r="B74" s="7" t="s">
        <v>82</v>
      </c>
      <c r="C74" s="7" t="s">
        <v>15</v>
      </c>
      <c r="D74" s="8">
        <v>3481</v>
      </c>
    </row>
    <row r="75" spans="1:4" x14ac:dyDescent="0.3">
      <c r="A75" s="5" t="s">
        <v>99</v>
      </c>
      <c r="B75" s="5" t="s">
        <v>82</v>
      </c>
      <c r="C75" s="5" t="s">
        <v>15</v>
      </c>
      <c r="D75" s="6">
        <v>4484</v>
      </c>
    </row>
    <row r="76" spans="1:4" x14ac:dyDescent="0.3">
      <c r="A76" s="7" t="s">
        <v>100</v>
      </c>
      <c r="B76" s="7" t="s">
        <v>82</v>
      </c>
      <c r="C76" s="7" t="s">
        <v>15</v>
      </c>
      <c r="D76" s="8">
        <v>1024</v>
      </c>
    </row>
    <row r="77" spans="1:4" x14ac:dyDescent="0.3">
      <c r="A77" s="5" t="s">
        <v>101</v>
      </c>
      <c r="B77" s="5" t="s">
        <v>82</v>
      </c>
      <c r="C77" s="5" t="s">
        <v>15</v>
      </c>
      <c r="D77" s="6">
        <v>3465</v>
      </c>
    </row>
    <row r="78" spans="1:4" x14ac:dyDescent="0.3">
      <c r="A78" s="7" t="s">
        <v>102</v>
      </c>
      <c r="B78" s="7" t="s">
        <v>82</v>
      </c>
      <c r="C78" s="7" t="s">
        <v>15</v>
      </c>
      <c r="D78" s="8">
        <v>9980</v>
      </c>
    </row>
    <row r="79" spans="1:4" x14ac:dyDescent="0.3">
      <c r="A79" s="5" t="s">
        <v>103</v>
      </c>
      <c r="B79" s="5" t="s">
        <v>82</v>
      </c>
      <c r="C79" s="5" t="s">
        <v>15</v>
      </c>
      <c r="D79" s="6">
        <v>3744</v>
      </c>
    </row>
    <row r="80" spans="1:4" x14ac:dyDescent="0.3">
      <c r="A80" s="7" t="s">
        <v>104</v>
      </c>
      <c r="B80" s="7" t="s">
        <v>82</v>
      </c>
      <c r="C80" s="7" t="s">
        <v>15</v>
      </c>
      <c r="D80" s="8">
        <v>5484</v>
      </c>
    </row>
    <row r="81" spans="1:4" x14ac:dyDescent="0.3">
      <c r="A81" s="5" t="s">
        <v>105</v>
      </c>
      <c r="B81" s="5" t="s">
        <v>82</v>
      </c>
      <c r="C81" s="5" t="s">
        <v>15</v>
      </c>
      <c r="D81" s="6">
        <v>2690</v>
      </c>
    </row>
    <row r="82" spans="1:4" x14ac:dyDescent="0.3">
      <c r="A82" s="7" t="s">
        <v>106</v>
      </c>
      <c r="B82" s="7" t="s">
        <v>82</v>
      </c>
      <c r="C82" s="7" t="s">
        <v>15</v>
      </c>
      <c r="D82" s="8">
        <v>1570</v>
      </c>
    </row>
    <row r="83" spans="1:4" x14ac:dyDescent="0.3">
      <c r="A83" s="5" t="s">
        <v>107</v>
      </c>
      <c r="B83" s="5" t="s">
        <v>82</v>
      </c>
      <c r="C83" s="5" t="s">
        <v>15</v>
      </c>
      <c r="D83" s="6">
        <v>2605</v>
      </c>
    </row>
    <row r="84" spans="1:4" x14ac:dyDescent="0.3">
      <c r="A84" s="7" t="s">
        <v>108</v>
      </c>
      <c r="B84" s="7" t="s">
        <v>82</v>
      </c>
      <c r="C84" s="7" t="s">
        <v>15</v>
      </c>
      <c r="D84" s="8">
        <v>2140</v>
      </c>
    </row>
    <row r="85" spans="1:4" x14ac:dyDescent="0.3">
      <c r="A85" s="5" t="s">
        <v>109</v>
      </c>
      <c r="B85" s="5" t="s">
        <v>82</v>
      </c>
      <c r="C85" s="5" t="s">
        <v>15</v>
      </c>
      <c r="D85" s="6">
        <v>98276</v>
      </c>
    </row>
    <row r="86" spans="1:4" x14ac:dyDescent="0.3">
      <c r="A86" s="7" t="s">
        <v>110</v>
      </c>
      <c r="B86" s="7" t="s">
        <v>82</v>
      </c>
      <c r="C86" s="7" t="s">
        <v>15</v>
      </c>
      <c r="D86" s="8">
        <v>1725</v>
      </c>
    </row>
    <row r="87" spans="1:4" x14ac:dyDescent="0.3">
      <c r="A87" s="5" t="s">
        <v>111</v>
      </c>
      <c r="B87" s="5" t="s">
        <v>82</v>
      </c>
      <c r="C87" s="5" t="s">
        <v>15</v>
      </c>
      <c r="D87" s="6">
        <v>3568</v>
      </c>
    </row>
    <row r="88" spans="1:4" x14ac:dyDescent="0.3">
      <c r="A88" s="7" t="s">
        <v>112</v>
      </c>
      <c r="B88" s="7" t="s">
        <v>82</v>
      </c>
      <c r="C88" s="7" t="s">
        <v>15</v>
      </c>
      <c r="D88" s="8">
        <v>18433</v>
      </c>
    </row>
    <row r="89" spans="1:4" x14ac:dyDescent="0.3">
      <c r="A89" s="5" t="s">
        <v>113</v>
      </c>
      <c r="B89" s="5" t="s">
        <v>82</v>
      </c>
      <c r="C89" s="5" t="s">
        <v>15</v>
      </c>
      <c r="D89" s="6">
        <v>3616</v>
      </c>
    </row>
    <row r="90" spans="1:4" x14ac:dyDescent="0.3">
      <c r="A90" s="7" t="s">
        <v>114</v>
      </c>
      <c r="B90" s="7" t="s">
        <v>82</v>
      </c>
      <c r="C90" s="7" t="s">
        <v>15</v>
      </c>
      <c r="D90" s="8">
        <v>642</v>
      </c>
    </row>
    <row r="91" spans="1:4" x14ac:dyDescent="0.3">
      <c r="A91" s="5" t="s">
        <v>115</v>
      </c>
      <c r="B91" s="5" t="s">
        <v>82</v>
      </c>
      <c r="C91" s="5" t="s">
        <v>15</v>
      </c>
      <c r="D91" s="6">
        <v>1081</v>
      </c>
    </row>
    <row r="92" spans="1:4" x14ac:dyDescent="0.3">
      <c r="A92" s="7" t="s">
        <v>116</v>
      </c>
      <c r="B92" s="7" t="s">
        <v>82</v>
      </c>
      <c r="C92" s="7" t="s">
        <v>15</v>
      </c>
      <c r="D92" s="8">
        <v>215</v>
      </c>
    </row>
    <row r="93" spans="1:4" x14ac:dyDescent="0.3">
      <c r="A93" s="5" t="s">
        <v>117</v>
      </c>
      <c r="B93" s="5" t="s">
        <v>82</v>
      </c>
      <c r="C93" s="5" t="s">
        <v>15</v>
      </c>
      <c r="D93" s="6">
        <v>1079</v>
      </c>
    </row>
    <row r="94" spans="1:4" x14ac:dyDescent="0.3">
      <c r="A94" s="7" t="s">
        <v>118</v>
      </c>
      <c r="B94" s="7" t="s">
        <v>82</v>
      </c>
      <c r="C94" s="7" t="s">
        <v>15</v>
      </c>
      <c r="D94" s="8">
        <v>1018</v>
      </c>
    </row>
    <row r="95" spans="1:4" x14ac:dyDescent="0.3">
      <c r="A95" s="5" t="s">
        <v>119</v>
      </c>
      <c r="B95" s="5" t="s">
        <v>82</v>
      </c>
      <c r="C95" s="5" t="s">
        <v>15</v>
      </c>
      <c r="D95" s="6">
        <v>5151</v>
      </c>
    </row>
    <row r="96" spans="1:4" x14ac:dyDescent="0.3">
      <c r="A96" s="7" t="s">
        <v>120</v>
      </c>
      <c r="B96" s="7" t="s">
        <v>82</v>
      </c>
      <c r="C96" s="7" t="s">
        <v>15</v>
      </c>
      <c r="D96" s="8">
        <v>3388</v>
      </c>
    </row>
    <row r="97" spans="1:4" x14ac:dyDescent="0.3">
      <c r="A97" s="5" t="s">
        <v>121</v>
      </c>
      <c r="B97" s="5" t="s">
        <v>82</v>
      </c>
      <c r="C97" s="5" t="s">
        <v>15</v>
      </c>
      <c r="D97" s="6">
        <v>2542</v>
      </c>
    </row>
    <row r="98" spans="1:4" x14ac:dyDescent="0.3">
      <c r="A98" s="7" t="s">
        <v>122</v>
      </c>
      <c r="B98" s="7" t="s">
        <v>82</v>
      </c>
      <c r="C98" s="7" t="s">
        <v>15</v>
      </c>
      <c r="D98" s="8">
        <v>1779</v>
      </c>
    </row>
    <row r="99" spans="1:4" x14ac:dyDescent="0.3">
      <c r="A99" s="5" t="s">
        <v>123</v>
      </c>
      <c r="B99" s="5" t="s">
        <v>82</v>
      </c>
      <c r="C99" s="5" t="s">
        <v>15</v>
      </c>
      <c r="D99" s="6">
        <v>1366</v>
      </c>
    </row>
    <row r="100" spans="1:4" x14ac:dyDescent="0.3">
      <c r="A100" s="7" t="s">
        <v>124</v>
      </c>
      <c r="B100" s="7" t="s">
        <v>82</v>
      </c>
      <c r="C100" s="7" t="s">
        <v>15</v>
      </c>
      <c r="D100" s="8">
        <v>3002</v>
      </c>
    </row>
    <row r="101" spans="1:4" x14ac:dyDescent="0.3">
      <c r="A101" s="5" t="s">
        <v>125</v>
      </c>
      <c r="B101" s="5" t="s">
        <v>82</v>
      </c>
      <c r="C101" s="5" t="s">
        <v>15</v>
      </c>
      <c r="D101" s="6">
        <v>1001</v>
      </c>
    </row>
    <row r="102" spans="1:4" x14ac:dyDescent="0.3">
      <c r="A102" s="7" t="s">
        <v>126</v>
      </c>
      <c r="B102" s="7" t="s">
        <v>82</v>
      </c>
      <c r="C102" s="7" t="s">
        <v>15</v>
      </c>
      <c r="D102" s="8">
        <v>1648</v>
      </c>
    </row>
    <row r="103" spans="1:4" x14ac:dyDescent="0.3">
      <c r="A103" s="5" t="s">
        <v>127</v>
      </c>
      <c r="B103" s="5" t="s">
        <v>82</v>
      </c>
      <c r="C103" s="5" t="s">
        <v>15</v>
      </c>
      <c r="D103" s="6">
        <v>1609</v>
      </c>
    </row>
    <row r="104" spans="1:4" x14ac:dyDescent="0.3">
      <c r="A104" s="7" t="s">
        <v>128</v>
      </c>
      <c r="B104" s="7" t="s">
        <v>82</v>
      </c>
      <c r="C104" s="7" t="s">
        <v>15</v>
      </c>
      <c r="D104" s="8">
        <v>2264</v>
      </c>
    </row>
    <row r="105" spans="1:4" x14ac:dyDescent="0.3">
      <c r="A105" s="5" t="s">
        <v>129</v>
      </c>
      <c r="B105" s="5" t="s">
        <v>82</v>
      </c>
      <c r="C105" s="5" t="s">
        <v>15</v>
      </c>
      <c r="D105" s="6">
        <v>1471</v>
      </c>
    </row>
    <row r="106" spans="1:4" x14ac:dyDescent="0.3">
      <c r="A106" s="7" t="s">
        <v>130</v>
      </c>
      <c r="B106" s="7" t="s">
        <v>82</v>
      </c>
      <c r="C106" s="7" t="s">
        <v>15</v>
      </c>
      <c r="D106" s="8">
        <v>3207</v>
      </c>
    </row>
    <row r="107" spans="1:4" x14ac:dyDescent="0.3">
      <c r="A107" s="5" t="s">
        <v>131</v>
      </c>
      <c r="B107" s="5" t="s">
        <v>82</v>
      </c>
      <c r="C107" s="5" t="s">
        <v>15</v>
      </c>
      <c r="D107" s="6">
        <v>1501</v>
      </c>
    </row>
    <row r="108" spans="1:4" x14ac:dyDescent="0.3">
      <c r="A108" s="7" t="s">
        <v>132</v>
      </c>
      <c r="B108" s="7" t="s">
        <v>82</v>
      </c>
      <c r="C108" s="7" t="s">
        <v>15</v>
      </c>
      <c r="D108" s="8">
        <v>9854</v>
      </c>
    </row>
    <row r="109" spans="1:4" x14ac:dyDescent="0.3">
      <c r="A109" s="5" t="s">
        <v>133</v>
      </c>
      <c r="B109" s="5" t="s">
        <v>82</v>
      </c>
      <c r="C109" s="5" t="s">
        <v>15</v>
      </c>
      <c r="D109" s="6">
        <v>947</v>
      </c>
    </row>
    <row r="110" spans="1:4" x14ac:dyDescent="0.3">
      <c r="A110" s="7" t="s">
        <v>134</v>
      </c>
      <c r="B110" s="7" t="s">
        <v>82</v>
      </c>
      <c r="C110" s="7" t="s">
        <v>15</v>
      </c>
      <c r="D110" s="8">
        <v>528</v>
      </c>
    </row>
    <row r="111" spans="1:4" x14ac:dyDescent="0.3">
      <c r="A111" s="5" t="s">
        <v>135</v>
      </c>
      <c r="B111" s="5" t="s">
        <v>82</v>
      </c>
      <c r="C111" s="5" t="s">
        <v>15</v>
      </c>
      <c r="D111" s="6">
        <v>1262</v>
      </c>
    </row>
    <row r="112" spans="1:4" x14ac:dyDescent="0.3">
      <c r="A112" s="7" t="s">
        <v>136</v>
      </c>
      <c r="B112" s="7" t="s">
        <v>82</v>
      </c>
      <c r="C112" s="7" t="s">
        <v>15</v>
      </c>
      <c r="D112" s="8">
        <v>1278</v>
      </c>
    </row>
    <row r="113" spans="1:4" x14ac:dyDescent="0.3">
      <c r="A113" s="5" t="s">
        <v>137</v>
      </c>
      <c r="B113" s="5" t="s">
        <v>82</v>
      </c>
      <c r="C113" s="5" t="s">
        <v>15</v>
      </c>
      <c r="D113" s="6">
        <v>13330</v>
      </c>
    </row>
    <row r="114" spans="1:4" x14ac:dyDescent="0.3">
      <c r="A114" s="7" t="s">
        <v>138</v>
      </c>
      <c r="B114" s="7" t="s">
        <v>82</v>
      </c>
      <c r="C114" s="7" t="s">
        <v>15</v>
      </c>
      <c r="D114" s="8">
        <v>3735</v>
      </c>
    </row>
    <row r="115" spans="1:4" x14ac:dyDescent="0.3">
      <c r="A115" s="5" t="s">
        <v>139</v>
      </c>
      <c r="B115" s="5" t="s">
        <v>82</v>
      </c>
      <c r="C115" s="5" t="s">
        <v>15</v>
      </c>
      <c r="D115" s="6">
        <v>2312</v>
      </c>
    </row>
    <row r="116" spans="1:4" x14ac:dyDescent="0.3">
      <c r="A116" s="7" t="s">
        <v>140</v>
      </c>
      <c r="B116" s="7" t="s">
        <v>82</v>
      </c>
      <c r="C116" s="7" t="s">
        <v>15</v>
      </c>
      <c r="D116" s="8">
        <v>2756</v>
      </c>
    </row>
    <row r="117" spans="1:4" x14ac:dyDescent="0.3">
      <c r="A117" s="5" t="s">
        <v>141</v>
      </c>
      <c r="B117" s="5" t="s">
        <v>82</v>
      </c>
      <c r="C117" s="5" t="s">
        <v>15</v>
      </c>
      <c r="D117" s="6">
        <v>1118</v>
      </c>
    </row>
    <row r="118" spans="1:4" x14ac:dyDescent="0.3">
      <c r="A118" s="7" t="s">
        <v>142</v>
      </c>
      <c r="B118" s="7" t="s">
        <v>82</v>
      </c>
      <c r="C118" s="7" t="s">
        <v>15</v>
      </c>
      <c r="D118" s="8">
        <v>641</v>
      </c>
    </row>
    <row r="119" spans="1:4" x14ac:dyDescent="0.3">
      <c r="A119" s="5" t="s">
        <v>143</v>
      </c>
      <c r="B119" s="5" t="s">
        <v>82</v>
      </c>
      <c r="C119" s="5" t="s">
        <v>15</v>
      </c>
      <c r="D119" s="6">
        <v>1991</v>
      </c>
    </row>
    <row r="120" spans="1:4" x14ac:dyDescent="0.3">
      <c r="A120" s="7" t="s">
        <v>144</v>
      </c>
      <c r="B120" s="7" t="s">
        <v>82</v>
      </c>
      <c r="C120" s="7" t="s">
        <v>15</v>
      </c>
      <c r="D120" s="8">
        <v>1675</v>
      </c>
    </row>
    <row r="121" spans="1:4" x14ac:dyDescent="0.3">
      <c r="A121" s="5" t="s">
        <v>145</v>
      </c>
      <c r="B121" s="5" t="s">
        <v>82</v>
      </c>
      <c r="C121" s="5" t="s">
        <v>15</v>
      </c>
      <c r="D121" s="6">
        <v>14072</v>
      </c>
    </row>
    <row r="122" spans="1:4" x14ac:dyDescent="0.3">
      <c r="A122" s="7" t="s">
        <v>146</v>
      </c>
      <c r="B122" s="7" t="s">
        <v>82</v>
      </c>
      <c r="C122" s="7" t="s">
        <v>15</v>
      </c>
      <c r="D122" s="8">
        <v>15466</v>
      </c>
    </row>
    <row r="123" spans="1:4" x14ac:dyDescent="0.3">
      <c r="A123" s="5" t="s">
        <v>147</v>
      </c>
      <c r="B123" s="5" t="s">
        <v>82</v>
      </c>
      <c r="C123" s="5" t="s">
        <v>15</v>
      </c>
      <c r="D123" s="6">
        <v>1806</v>
      </c>
    </row>
    <row r="124" spans="1:4" x14ac:dyDescent="0.3">
      <c r="A124" s="7" t="s">
        <v>148</v>
      </c>
      <c r="B124" s="7" t="s">
        <v>82</v>
      </c>
      <c r="C124" s="7" t="s">
        <v>15</v>
      </c>
      <c r="D124" s="8">
        <v>3273</v>
      </c>
    </row>
    <row r="125" spans="1:4" x14ac:dyDescent="0.3">
      <c r="A125" s="5" t="s">
        <v>149</v>
      </c>
      <c r="B125" s="5" t="s">
        <v>150</v>
      </c>
      <c r="C125" s="5" t="s">
        <v>16</v>
      </c>
      <c r="D125" s="6">
        <v>6188</v>
      </c>
    </row>
    <row r="126" spans="1:4" x14ac:dyDescent="0.3">
      <c r="A126" s="7" t="s">
        <v>151</v>
      </c>
      <c r="B126" s="7" t="s">
        <v>150</v>
      </c>
      <c r="C126" s="7" t="s">
        <v>16</v>
      </c>
      <c r="D126" s="8">
        <v>2280</v>
      </c>
    </row>
    <row r="127" spans="1:4" x14ac:dyDescent="0.3">
      <c r="A127" s="5" t="s">
        <v>152</v>
      </c>
      <c r="B127" s="5" t="s">
        <v>150</v>
      </c>
      <c r="C127" s="5" t="s">
        <v>16</v>
      </c>
      <c r="D127" s="6">
        <v>1000</v>
      </c>
    </row>
    <row r="128" spans="1:4" x14ac:dyDescent="0.3">
      <c r="A128" s="7" t="s">
        <v>153</v>
      </c>
      <c r="B128" s="7" t="s">
        <v>150</v>
      </c>
      <c r="C128" s="7" t="s">
        <v>16</v>
      </c>
      <c r="D128" s="8">
        <v>1795</v>
      </c>
    </row>
    <row r="129" spans="1:4" x14ac:dyDescent="0.3">
      <c r="A129" s="5" t="s">
        <v>154</v>
      </c>
      <c r="B129" s="5" t="s">
        <v>150</v>
      </c>
      <c r="C129" s="5" t="s">
        <v>16</v>
      </c>
      <c r="D129" s="6">
        <v>962</v>
      </c>
    </row>
    <row r="130" spans="1:4" x14ac:dyDescent="0.3">
      <c r="A130" s="7" t="s">
        <v>155</v>
      </c>
      <c r="B130" s="7" t="s">
        <v>150</v>
      </c>
      <c r="C130" s="7" t="s">
        <v>16</v>
      </c>
      <c r="D130" s="8">
        <v>1528</v>
      </c>
    </row>
    <row r="131" spans="1:4" x14ac:dyDescent="0.3">
      <c r="A131" s="5" t="s">
        <v>156</v>
      </c>
      <c r="B131" s="5" t="s">
        <v>150</v>
      </c>
      <c r="C131" s="5" t="s">
        <v>16</v>
      </c>
      <c r="D131" s="6">
        <v>1519</v>
      </c>
    </row>
    <row r="132" spans="1:4" x14ac:dyDescent="0.3">
      <c r="A132" s="7" t="s">
        <v>157</v>
      </c>
      <c r="B132" s="7" t="s">
        <v>150</v>
      </c>
      <c r="C132" s="7" t="s">
        <v>16</v>
      </c>
      <c r="D132" s="8">
        <v>11037</v>
      </c>
    </row>
    <row r="133" spans="1:4" x14ac:dyDescent="0.3">
      <c r="A133" s="5" t="s">
        <v>158</v>
      </c>
      <c r="B133" s="5" t="s">
        <v>150</v>
      </c>
      <c r="C133" s="5" t="s">
        <v>16</v>
      </c>
      <c r="D133" s="6">
        <v>13395</v>
      </c>
    </row>
    <row r="134" spans="1:4" x14ac:dyDescent="0.3">
      <c r="A134" s="7" t="s">
        <v>159</v>
      </c>
      <c r="B134" s="7" t="s">
        <v>150</v>
      </c>
      <c r="C134" s="7" t="s">
        <v>16</v>
      </c>
      <c r="D134" s="8">
        <v>397</v>
      </c>
    </row>
    <row r="135" spans="1:4" x14ac:dyDescent="0.3">
      <c r="A135" s="5" t="s">
        <v>160</v>
      </c>
      <c r="B135" s="5" t="s">
        <v>150</v>
      </c>
      <c r="C135" s="5" t="s">
        <v>16</v>
      </c>
      <c r="D135" s="6">
        <v>971</v>
      </c>
    </row>
    <row r="136" spans="1:4" x14ac:dyDescent="0.3">
      <c r="A136" s="7" t="s">
        <v>161</v>
      </c>
      <c r="B136" s="7" t="s">
        <v>150</v>
      </c>
      <c r="C136" s="7" t="s">
        <v>16</v>
      </c>
      <c r="D136" s="8">
        <v>766</v>
      </c>
    </row>
    <row r="137" spans="1:4" x14ac:dyDescent="0.3">
      <c r="A137" s="5" t="s">
        <v>162</v>
      </c>
      <c r="B137" s="5" t="s">
        <v>150</v>
      </c>
      <c r="C137" s="5" t="s">
        <v>16</v>
      </c>
      <c r="D137" s="6">
        <v>2285</v>
      </c>
    </row>
    <row r="138" spans="1:4" x14ac:dyDescent="0.3">
      <c r="A138" s="7" t="s">
        <v>163</v>
      </c>
      <c r="B138" s="7" t="s">
        <v>150</v>
      </c>
      <c r="C138" s="7" t="s">
        <v>16</v>
      </c>
      <c r="D138" s="8">
        <v>1156</v>
      </c>
    </row>
    <row r="139" spans="1:4" x14ac:dyDescent="0.3">
      <c r="A139" s="5" t="s">
        <v>164</v>
      </c>
      <c r="B139" s="5" t="s">
        <v>150</v>
      </c>
      <c r="C139" s="5" t="s">
        <v>16</v>
      </c>
      <c r="D139" s="6">
        <v>884</v>
      </c>
    </row>
    <row r="140" spans="1:4" x14ac:dyDescent="0.3">
      <c r="A140" s="7" t="s">
        <v>165</v>
      </c>
      <c r="B140" s="7" t="s">
        <v>150</v>
      </c>
      <c r="C140" s="7" t="s">
        <v>16</v>
      </c>
      <c r="D140" s="8">
        <v>770</v>
      </c>
    </row>
    <row r="141" spans="1:4" x14ac:dyDescent="0.3">
      <c r="A141" s="5" t="s">
        <v>166</v>
      </c>
      <c r="B141" s="5" t="s">
        <v>150</v>
      </c>
      <c r="C141" s="5" t="s">
        <v>16</v>
      </c>
      <c r="D141" s="6">
        <v>1286</v>
      </c>
    </row>
    <row r="142" spans="1:4" x14ac:dyDescent="0.3">
      <c r="A142" s="7" t="s">
        <v>167</v>
      </c>
      <c r="B142" s="7" t="s">
        <v>150</v>
      </c>
      <c r="C142" s="7" t="s">
        <v>16</v>
      </c>
      <c r="D142" s="8">
        <v>1545</v>
      </c>
    </row>
    <row r="143" spans="1:4" x14ac:dyDescent="0.3">
      <c r="A143" s="5" t="s">
        <v>168</v>
      </c>
      <c r="B143" s="5" t="s">
        <v>150</v>
      </c>
      <c r="C143" s="5" t="s">
        <v>16</v>
      </c>
      <c r="D143" s="6">
        <v>14027</v>
      </c>
    </row>
    <row r="144" spans="1:4" x14ac:dyDescent="0.3">
      <c r="A144" s="7" t="s">
        <v>169</v>
      </c>
      <c r="B144" s="7" t="s">
        <v>150</v>
      </c>
      <c r="C144" s="7" t="s">
        <v>16</v>
      </c>
      <c r="D144" s="8">
        <v>2642</v>
      </c>
    </row>
    <row r="145" spans="1:4" x14ac:dyDescent="0.3">
      <c r="A145" s="5" t="s">
        <v>170</v>
      </c>
      <c r="B145" s="5" t="s">
        <v>150</v>
      </c>
      <c r="C145" s="5" t="s">
        <v>16</v>
      </c>
      <c r="D145" s="6">
        <v>1349</v>
      </c>
    </row>
    <row r="146" spans="1:4" x14ac:dyDescent="0.3">
      <c r="A146" s="7" t="s">
        <v>171</v>
      </c>
      <c r="B146" s="7" t="s">
        <v>150</v>
      </c>
      <c r="C146" s="7" t="s">
        <v>16</v>
      </c>
      <c r="D146" s="8">
        <v>984</v>
      </c>
    </row>
    <row r="147" spans="1:4" x14ac:dyDescent="0.3">
      <c r="A147" s="5" t="s">
        <v>172</v>
      </c>
      <c r="B147" s="5" t="s">
        <v>150</v>
      </c>
      <c r="C147" s="5" t="s">
        <v>16</v>
      </c>
      <c r="D147" s="6">
        <v>1224</v>
      </c>
    </row>
    <row r="148" spans="1:4" x14ac:dyDescent="0.3">
      <c r="A148" s="7" t="s">
        <v>173</v>
      </c>
      <c r="B148" s="7" t="s">
        <v>150</v>
      </c>
      <c r="C148" s="7" t="s">
        <v>16</v>
      </c>
      <c r="D148" s="8">
        <v>5649</v>
      </c>
    </row>
    <row r="149" spans="1:4" x14ac:dyDescent="0.3">
      <c r="A149" s="5" t="s">
        <v>174</v>
      </c>
      <c r="B149" s="5" t="s">
        <v>150</v>
      </c>
      <c r="C149" s="5" t="s">
        <v>16</v>
      </c>
      <c r="D149" s="6">
        <v>1120</v>
      </c>
    </row>
    <row r="150" spans="1:4" x14ac:dyDescent="0.3">
      <c r="A150" s="7" t="s">
        <v>175</v>
      </c>
      <c r="B150" s="7" t="s">
        <v>150</v>
      </c>
      <c r="C150" s="7" t="s">
        <v>16</v>
      </c>
      <c r="D150" s="8">
        <v>456</v>
      </c>
    </row>
    <row r="151" spans="1:4" x14ac:dyDescent="0.3">
      <c r="A151" s="5" t="s">
        <v>176</v>
      </c>
      <c r="B151" s="5" t="s">
        <v>150</v>
      </c>
      <c r="C151" s="5" t="s">
        <v>16</v>
      </c>
      <c r="D151" s="6">
        <v>3050</v>
      </c>
    </row>
    <row r="152" spans="1:4" x14ac:dyDescent="0.3">
      <c r="A152" s="7" t="s">
        <v>177</v>
      </c>
      <c r="B152" s="7" t="s">
        <v>150</v>
      </c>
      <c r="C152" s="7" t="s">
        <v>16</v>
      </c>
      <c r="D152" s="8">
        <v>1085</v>
      </c>
    </row>
    <row r="153" spans="1:4" x14ac:dyDescent="0.3">
      <c r="A153" s="5" t="s">
        <v>178</v>
      </c>
      <c r="B153" s="5" t="s">
        <v>150</v>
      </c>
      <c r="C153" s="5" t="s">
        <v>16</v>
      </c>
      <c r="D153" s="6">
        <v>1679</v>
      </c>
    </row>
    <row r="154" spans="1:4" x14ac:dyDescent="0.3">
      <c r="A154" s="7" t="s">
        <v>179</v>
      </c>
      <c r="B154" s="7" t="s">
        <v>150</v>
      </c>
      <c r="C154" s="7" t="s">
        <v>16</v>
      </c>
      <c r="D154" s="8">
        <v>1140</v>
      </c>
    </row>
    <row r="155" spans="1:4" x14ac:dyDescent="0.3">
      <c r="A155" s="5" t="s">
        <v>180</v>
      </c>
      <c r="B155" s="5" t="s">
        <v>150</v>
      </c>
      <c r="C155" s="5" t="s">
        <v>16</v>
      </c>
      <c r="D155" s="6">
        <v>1116</v>
      </c>
    </row>
    <row r="156" spans="1:4" x14ac:dyDescent="0.3">
      <c r="A156" s="7" t="s">
        <v>181</v>
      </c>
      <c r="B156" s="7" t="s">
        <v>150</v>
      </c>
      <c r="C156" s="7" t="s">
        <v>16</v>
      </c>
      <c r="D156" s="8">
        <v>732</v>
      </c>
    </row>
    <row r="157" spans="1:4" x14ac:dyDescent="0.3">
      <c r="A157" s="5" t="s">
        <v>182</v>
      </c>
      <c r="B157" s="5" t="s">
        <v>150</v>
      </c>
      <c r="C157" s="5" t="s">
        <v>16</v>
      </c>
      <c r="D157" s="6">
        <v>1254</v>
      </c>
    </row>
    <row r="158" spans="1:4" x14ac:dyDescent="0.3">
      <c r="A158" s="7" t="s">
        <v>183</v>
      </c>
      <c r="B158" s="7" t="s">
        <v>150</v>
      </c>
      <c r="C158" s="7" t="s">
        <v>16</v>
      </c>
      <c r="D158" s="8">
        <v>1466</v>
      </c>
    </row>
    <row r="159" spans="1:4" x14ac:dyDescent="0.3">
      <c r="A159" s="5" t="s">
        <v>184</v>
      </c>
      <c r="B159" s="5" t="s">
        <v>150</v>
      </c>
      <c r="C159" s="5" t="s">
        <v>16</v>
      </c>
      <c r="D159" s="6">
        <v>429</v>
      </c>
    </row>
    <row r="160" spans="1:4" x14ac:dyDescent="0.3">
      <c r="A160" s="7" t="s">
        <v>185</v>
      </c>
      <c r="B160" s="7" t="s">
        <v>150</v>
      </c>
      <c r="C160" s="7" t="s">
        <v>16</v>
      </c>
      <c r="D160" s="8">
        <v>1228</v>
      </c>
    </row>
    <row r="161" spans="1:4" x14ac:dyDescent="0.3">
      <c r="A161" s="5" t="s">
        <v>186</v>
      </c>
      <c r="B161" s="5" t="s">
        <v>150</v>
      </c>
      <c r="C161" s="5" t="s">
        <v>16</v>
      </c>
      <c r="D161" s="6">
        <v>1568</v>
      </c>
    </row>
    <row r="162" spans="1:4" x14ac:dyDescent="0.3">
      <c r="A162" s="7" t="s">
        <v>187</v>
      </c>
      <c r="B162" s="7" t="s">
        <v>150</v>
      </c>
      <c r="C162" s="7" t="s">
        <v>16</v>
      </c>
      <c r="D162" s="8">
        <v>798</v>
      </c>
    </row>
    <row r="163" spans="1:4" x14ac:dyDescent="0.3">
      <c r="A163" s="5" t="s">
        <v>188</v>
      </c>
      <c r="B163" s="5" t="s">
        <v>150</v>
      </c>
      <c r="C163" s="5" t="s">
        <v>16</v>
      </c>
      <c r="D163" s="6">
        <v>1708</v>
      </c>
    </row>
    <row r="164" spans="1:4" x14ac:dyDescent="0.3">
      <c r="A164" s="7" t="s">
        <v>189</v>
      </c>
      <c r="B164" s="7" t="s">
        <v>150</v>
      </c>
      <c r="C164" s="7" t="s">
        <v>16</v>
      </c>
      <c r="D164" s="8">
        <v>2872</v>
      </c>
    </row>
    <row r="165" spans="1:4" x14ac:dyDescent="0.3">
      <c r="A165" s="5" t="s">
        <v>190</v>
      </c>
      <c r="B165" s="5" t="s">
        <v>150</v>
      </c>
      <c r="C165" s="5" t="s">
        <v>16</v>
      </c>
      <c r="D165" s="6">
        <v>870</v>
      </c>
    </row>
    <row r="166" spans="1:4" x14ac:dyDescent="0.3">
      <c r="A166" s="7" t="s">
        <v>191</v>
      </c>
      <c r="B166" s="7" t="s">
        <v>150</v>
      </c>
      <c r="C166" s="7" t="s">
        <v>16</v>
      </c>
      <c r="D166" s="8">
        <v>2705</v>
      </c>
    </row>
    <row r="167" spans="1:4" x14ac:dyDescent="0.3">
      <c r="A167" s="5" t="s">
        <v>192</v>
      </c>
      <c r="B167" s="5" t="s">
        <v>150</v>
      </c>
      <c r="C167" s="5" t="s">
        <v>16</v>
      </c>
      <c r="D167" s="6">
        <v>1184</v>
      </c>
    </row>
    <row r="168" spans="1:4" x14ac:dyDescent="0.3">
      <c r="A168" s="7" t="s">
        <v>193</v>
      </c>
      <c r="B168" s="7" t="s">
        <v>150</v>
      </c>
      <c r="C168" s="7" t="s">
        <v>16</v>
      </c>
      <c r="D168" s="8">
        <v>1913</v>
      </c>
    </row>
    <row r="169" spans="1:4" x14ac:dyDescent="0.3">
      <c r="A169" s="5" t="s">
        <v>194</v>
      </c>
      <c r="B169" s="5" t="s">
        <v>150</v>
      </c>
      <c r="C169" s="5" t="s">
        <v>16</v>
      </c>
      <c r="D169" s="6">
        <v>1023</v>
      </c>
    </row>
    <row r="170" spans="1:4" x14ac:dyDescent="0.3">
      <c r="A170" s="7" t="s">
        <v>195</v>
      </c>
      <c r="B170" s="7" t="s">
        <v>150</v>
      </c>
      <c r="C170" s="7" t="s">
        <v>16</v>
      </c>
      <c r="D170" s="8">
        <v>711</v>
      </c>
    </row>
    <row r="171" spans="1:4" x14ac:dyDescent="0.3">
      <c r="A171" s="5" t="s">
        <v>196</v>
      </c>
      <c r="B171" s="5" t="s">
        <v>150</v>
      </c>
      <c r="C171" s="5" t="s">
        <v>16</v>
      </c>
      <c r="D171" s="6">
        <v>2529</v>
      </c>
    </row>
    <row r="172" spans="1:4" x14ac:dyDescent="0.3">
      <c r="A172" s="7" t="s">
        <v>197</v>
      </c>
      <c r="B172" s="7" t="s">
        <v>150</v>
      </c>
      <c r="C172" s="7" t="s">
        <v>16</v>
      </c>
      <c r="D172" s="8">
        <v>1502</v>
      </c>
    </row>
    <row r="173" spans="1:4" x14ac:dyDescent="0.3">
      <c r="A173" s="5" t="s">
        <v>198</v>
      </c>
      <c r="B173" s="5" t="s">
        <v>150</v>
      </c>
      <c r="C173" s="5" t="s">
        <v>16</v>
      </c>
      <c r="D173" s="6">
        <v>1998</v>
      </c>
    </row>
    <row r="174" spans="1:4" x14ac:dyDescent="0.3">
      <c r="A174" s="7" t="s">
        <v>199</v>
      </c>
      <c r="B174" s="7" t="s">
        <v>150</v>
      </c>
      <c r="C174" s="7" t="s">
        <v>16</v>
      </c>
      <c r="D174" s="8">
        <v>1712</v>
      </c>
    </row>
    <row r="175" spans="1:4" x14ac:dyDescent="0.3">
      <c r="A175" s="5" t="s">
        <v>200</v>
      </c>
      <c r="B175" s="5" t="s">
        <v>150</v>
      </c>
      <c r="C175" s="5" t="s">
        <v>16</v>
      </c>
      <c r="D175" s="6">
        <v>105233</v>
      </c>
    </row>
    <row r="176" spans="1:4" x14ac:dyDescent="0.3">
      <c r="A176" s="7" t="s">
        <v>201</v>
      </c>
      <c r="B176" s="7" t="s">
        <v>150</v>
      </c>
      <c r="C176" s="7" t="s">
        <v>16</v>
      </c>
      <c r="D176" s="8">
        <v>1384</v>
      </c>
    </row>
    <row r="177" spans="1:4" x14ac:dyDescent="0.3">
      <c r="A177" s="5" t="s">
        <v>202</v>
      </c>
      <c r="B177" s="5" t="s">
        <v>150</v>
      </c>
      <c r="C177" s="5" t="s">
        <v>16</v>
      </c>
      <c r="D177" s="6">
        <v>1748</v>
      </c>
    </row>
    <row r="178" spans="1:4" x14ac:dyDescent="0.3">
      <c r="A178" s="7" t="s">
        <v>203</v>
      </c>
      <c r="B178" s="7" t="s">
        <v>150</v>
      </c>
      <c r="C178" s="7" t="s">
        <v>16</v>
      </c>
      <c r="D178" s="8">
        <v>538</v>
      </c>
    </row>
    <row r="179" spans="1:4" x14ac:dyDescent="0.3">
      <c r="A179" s="5" t="s">
        <v>204</v>
      </c>
      <c r="B179" s="5" t="s">
        <v>150</v>
      </c>
      <c r="C179" s="5" t="s">
        <v>16</v>
      </c>
      <c r="D179" s="6">
        <v>6275</v>
      </c>
    </row>
    <row r="180" spans="1:4" x14ac:dyDescent="0.3">
      <c r="A180" s="7" t="s">
        <v>205</v>
      </c>
      <c r="B180" s="7" t="s">
        <v>150</v>
      </c>
      <c r="C180" s="7" t="s">
        <v>16</v>
      </c>
      <c r="D180" s="8">
        <v>1819</v>
      </c>
    </row>
    <row r="181" spans="1:4" x14ac:dyDescent="0.3">
      <c r="A181" s="5" t="s">
        <v>206</v>
      </c>
      <c r="B181" s="5" t="s">
        <v>150</v>
      </c>
      <c r="C181" s="5" t="s">
        <v>16</v>
      </c>
      <c r="D181" s="6">
        <v>861</v>
      </c>
    </row>
    <row r="182" spans="1:4" x14ac:dyDescent="0.3">
      <c r="A182" s="7" t="s">
        <v>207</v>
      </c>
      <c r="B182" s="7" t="s">
        <v>150</v>
      </c>
      <c r="C182" s="7" t="s">
        <v>16</v>
      </c>
      <c r="D182" s="8">
        <v>1176</v>
      </c>
    </row>
    <row r="183" spans="1:4" x14ac:dyDescent="0.3">
      <c r="A183" s="5" t="s">
        <v>208</v>
      </c>
      <c r="B183" s="5" t="s">
        <v>150</v>
      </c>
      <c r="C183" s="5" t="s">
        <v>16</v>
      </c>
      <c r="D183" s="6">
        <v>2067</v>
      </c>
    </row>
    <row r="184" spans="1:4" x14ac:dyDescent="0.3">
      <c r="A184" s="7" t="s">
        <v>209</v>
      </c>
      <c r="B184" s="7" t="s">
        <v>150</v>
      </c>
      <c r="C184" s="7" t="s">
        <v>16</v>
      </c>
      <c r="D184" s="8">
        <v>511</v>
      </c>
    </row>
    <row r="185" spans="1:4" x14ac:dyDescent="0.3">
      <c r="A185" s="5" t="s">
        <v>210</v>
      </c>
      <c r="B185" s="5" t="s">
        <v>150</v>
      </c>
      <c r="C185" s="5" t="s">
        <v>16</v>
      </c>
      <c r="D185" s="6">
        <v>815</v>
      </c>
    </row>
    <row r="186" spans="1:4" x14ac:dyDescent="0.3">
      <c r="A186" s="7" t="s">
        <v>211</v>
      </c>
      <c r="B186" s="7" t="s">
        <v>150</v>
      </c>
      <c r="C186" s="7" t="s">
        <v>16</v>
      </c>
      <c r="D186" s="8">
        <v>693</v>
      </c>
    </row>
    <row r="187" spans="1:4" x14ac:dyDescent="0.3">
      <c r="A187" s="5" t="s">
        <v>212</v>
      </c>
      <c r="B187" s="5" t="s">
        <v>150</v>
      </c>
      <c r="C187" s="5" t="s">
        <v>16</v>
      </c>
      <c r="D187" s="6">
        <v>619</v>
      </c>
    </row>
    <row r="188" spans="1:4" x14ac:dyDescent="0.3">
      <c r="A188" s="7" t="s">
        <v>213</v>
      </c>
      <c r="B188" s="7" t="s">
        <v>150</v>
      </c>
      <c r="C188" s="7" t="s">
        <v>16</v>
      </c>
      <c r="D188" s="8">
        <v>1266</v>
      </c>
    </row>
    <row r="189" spans="1:4" x14ac:dyDescent="0.3">
      <c r="A189" s="5" t="s">
        <v>214</v>
      </c>
      <c r="B189" s="5" t="s">
        <v>150</v>
      </c>
      <c r="C189" s="5" t="s">
        <v>16</v>
      </c>
      <c r="D189" s="6">
        <v>1584</v>
      </c>
    </row>
    <row r="190" spans="1:4" x14ac:dyDescent="0.3">
      <c r="A190" s="7" t="s">
        <v>215</v>
      </c>
      <c r="B190" s="7" t="s">
        <v>150</v>
      </c>
      <c r="C190" s="7" t="s">
        <v>16</v>
      </c>
      <c r="D190" s="8">
        <v>5024</v>
      </c>
    </row>
    <row r="191" spans="1:4" x14ac:dyDescent="0.3">
      <c r="A191" s="5" t="s">
        <v>216</v>
      </c>
      <c r="B191" s="5" t="s">
        <v>150</v>
      </c>
      <c r="C191" s="5" t="s">
        <v>16</v>
      </c>
      <c r="D191" s="6">
        <v>1516</v>
      </c>
    </row>
    <row r="192" spans="1:4" x14ac:dyDescent="0.3">
      <c r="A192" s="7" t="s">
        <v>217</v>
      </c>
      <c r="B192" s="7" t="s">
        <v>150</v>
      </c>
      <c r="C192" s="7" t="s">
        <v>16</v>
      </c>
      <c r="D192" s="8">
        <v>4314</v>
      </c>
    </row>
    <row r="193" spans="1:4" x14ac:dyDescent="0.3">
      <c r="A193" s="5" t="s">
        <v>218</v>
      </c>
      <c r="B193" s="5" t="s">
        <v>150</v>
      </c>
      <c r="C193" s="5" t="s">
        <v>16</v>
      </c>
      <c r="D193" s="6">
        <v>1393</v>
      </c>
    </row>
    <row r="194" spans="1:4" x14ac:dyDescent="0.3">
      <c r="A194" s="7" t="s">
        <v>219</v>
      </c>
      <c r="B194" s="7" t="s">
        <v>150</v>
      </c>
      <c r="C194" s="7" t="s">
        <v>16</v>
      </c>
      <c r="D194" s="8">
        <v>1089</v>
      </c>
    </row>
    <row r="195" spans="1:4" x14ac:dyDescent="0.3">
      <c r="A195" s="5" t="s">
        <v>220</v>
      </c>
      <c r="B195" s="5" t="s">
        <v>150</v>
      </c>
      <c r="C195" s="5" t="s">
        <v>16</v>
      </c>
      <c r="D195" s="6">
        <v>5405</v>
      </c>
    </row>
    <row r="196" spans="1:4" x14ac:dyDescent="0.3">
      <c r="A196" s="7" t="s">
        <v>221</v>
      </c>
      <c r="B196" s="7" t="s">
        <v>150</v>
      </c>
      <c r="C196" s="7" t="s">
        <v>16</v>
      </c>
      <c r="D196" s="8">
        <v>2137</v>
      </c>
    </row>
    <row r="197" spans="1:4" x14ac:dyDescent="0.3">
      <c r="A197" s="5" t="s">
        <v>222</v>
      </c>
      <c r="B197" s="5" t="s">
        <v>150</v>
      </c>
      <c r="C197" s="5" t="s">
        <v>16</v>
      </c>
      <c r="D197" s="6">
        <v>531</v>
      </c>
    </row>
    <row r="198" spans="1:4" x14ac:dyDescent="0.3">
      <c r="A198" s="7" t="s">
        <v>223</v>
      </c>
      <c r="B198" s="7" t="s">
        <v>150</v>
      </c>
      <c r="C198" s="7" t="s">
        <v>16</v>
      </c>
      <c r="D198" s="8">
        <v>1206</v>
      </c>
    </row>
    <row r="199" spans="1:4" x14ac:dyDescent="0.3">
      <c r="A199" s="5" t="s">
        <v>224</v>
      </c>
      <c r="B199" s="5" t="s">
        <v>150</v>
      </c>
      <c r="C199" s="5" t="s">
        <v>16</v>
      </c>
      <c r="D199" s="6">
        <v>1162</v>
      </c>
    </row>
    <row r="200" spans="1:4" x14ac:dyDescent="0.3">
      <c r="A200" s="7" t="s">
        <v>225</v>
      </c>
      <c r="B200" s="7" t="s">
        <v>150</v>
      </c>
      <c r="C200" s="7" t="s">
        <v>16</v>
      </c>
      <c r="D200" s="8">
        <v>1429</v>
      </c>
    </row>
    <row r="201" spans="1:4" x14ac:dyDescent="0.3">
      <c r="A201" s="5" t="s">
        <v>226</v>
      </c>
      <c r="B201" s="5" t="s">
        <v>150</v>
      </c>
      <c r="C201" s="5" t="s">
        <v>16</v>
      </c>
      <c r="D201" s="6">
        <v>316</v>
      </c>
    </row>
    <row r="202" spans="1:4" x14ac:dyDescent="0.3">
      <c r="A202" s="7" t="s">
        <v>227</v>
      </c>
      <c r="B202" s="7" t="s">
        <v>150</v>
      </c>
      <c r="C202" s="7" t="s">
        <v>16</v>
      </c>
      <c r="D202" s="8">
        <v>2355</v>
      </c>
    </row>
    <row r="203" spans="1:4" x14ac:dyDescent="0.3">
      <c r="A203" s="5" t="s">
        <v>228</v>
      </c>
      <c r="B203" s="5" t="s">
        <v>150</v>
      </c>
      <c r="C203" s="5" t="s">
        <v>16</v>
      </c>
      <c r="D203" s="6">
        <v>1286</v>
      </c>
    </row>
    <row r="204" spans="1:4" x14ac:dyDescent="0.3">
      <c r="A204" s="7" t="s">
        <v>229</v>
      </c>
      <c r="B204" s="7" t="s">
        <v>150</v>
      </c>
      <c r="C204" s="7" t="s">
        <v>16</v>
      </c>
      <c r="D204" s="8">
        <v>889</v>
      </c>
    </row>
    <row r="205" spans="1:4" x14ac:dyDescent="0.3">
      <c r="A205" s="5" t="s">
        <v>230</v>
      </c>
      <c r="B205" s="5" t="s">
        <v>150</v>
      </c>
      <c r="C205" s="5" t="s">
        <v>16</v>
      </c>
      <c r="D205" s="6">
        <v>943</v>
      </c>
    </row>
    <row r="206" spans="1:4" x14ac:dyDescent="0.3">
      <c r="A206" s="7" t="s">
        <v>231</v>
      </c>
      <c r="B206" s="7" t="s">
        <v>150</v>
      </c>
      <c r="C206" s="7" t="s">
        <v>16</v>
      </c>
      <c r="D206" s="8">
        <v>13723</v>
      </c>
    </row>
    <row r="207" spans="1:4" x14ac:dyDescent="0.3">
      <c r="A207" s="5" t="s">
        <v>232</v>
      </c>
      <c r="B207" s="5" t="s">
        <v>150</v>
      </c>
      <c r="C207" s="5" t="s">
        <v>16</v>
      </c>
      <c r="D207" s="6">
        <v>2886</v>
      </c>
    </row>
    <row r="208" spans="1:4" x14ac:dyDescent="0.3">
      <c r="A208" s="7" t="s">
        <v>233</v>
      </c>
      <c r="B208" s="7" t="s">
        <v>150</v>
      </c>
      <c r="C208" s="7" t="s">
        <v>16</v>
      </c>
      <c r="D208" s="8">
        <v>1854</v>
      </c>
    </row>
    <row r="209" spans="1:4" x14ac:dyDescent="0.3">
      <c r="A209" s="5" t="s">
        <v>234</v>
      </c>
      <c r="B209" s="5" t="s">
        <v>150</v>
      </c>
      <c r="C209" s="5" t="s">
        <v>16</v>
      </c>
      <c r="D209" s="6">
        <v>1790</v>
      </c>
    </row>
    <row r="210" spans="1:4" x14ac:dyDescent="0.3">
      <c r="A210" s="7" t="s">
        <v>235</v>
      </c>
      <c r="B210" s="7" t="s">
        <v>150</v>
      </c>
      <c r="C210" s="7" t="s">
        <v>16</v>
      </c>
      <c r="D210" s="8">
        <v>1307</v>
      </c>
    </row>
    <row r="211" spans="1:4" x14ac:dyDescent="0.3">
      <c r="A211" s="5" t="s">
        <v>236</v>
      </c>
      <c r="B211" s="5" t="s">
        <v>150</v>
      </c>
      <c r="C211" s="5" t="s">
        <v>16</v>
      </c>
      <c r="D211" s="6">
        <v>820</v>
      </c>
    </row>
    <row r="212" spans="1:4" x14ac:dyDescent="0.3">
      <c r="A212" s="7" t="s">
        <v>237</v>
      </c>
      <c r="B212" s="7" t="s">
        <v>150</v>
      </c>
      <c r="C212" s="7" t="s">
        <v>16</v>
      </c>
      <c r="D212" s="8">
        <v>1846</v>
      </c>
    </row>
    <row r="213" spans="1:4" x14ac:dyDescent="0.3">
      <c r="A213" s="5" t="s">
        <v>238</v>
      </c>
      <c r="B213" s="5" t="s">
        <v>150</v>
      </c>
      <c r="C213" s="5" t="s">
        <v>16</v>
      </c>
      <c r="D213" s="6">
        <v>519</v>
      </c>
    </row>
    <row r="214" spans="1:4" x14ac:dyDescent="0.3">
      <c r="A214" s="7" t="s">
        <v>239</v>
      </c>
      <c r="B214" s="7" t="s">
        <v>150</v>
      </c>
      <c r="C214" s="7" t="s">
        <v>16</v>
      </c>
      <c r="D214" s="8">
        <v>9715</v>
      </c>
    </row>
    <row r="215" spans="1:4" x14ac:dyDescent="0.3">
      <c r="A215" s="5" t="s">
        <v>240</v>
      </c>
      <c r="B215" s="5" t="s">
        <v>150</v>
      </c>
      <c r="C215" s="5" t="s">
        <v>16</v>
      </c>
      <c r="D215" s="6">
        <v>1375</v>
      </c>
    </row>
    <row r="216" spans="1:4" x14ac:dyDescent="0.3">
      <c r="A216" s="7" t="s">
        <v>241</v>
      </c>
      <c r="B216" s="7" t="s">
        <v>150</v>
      </c>
      <c r="C216" s="7" t="s">
        <v>16</v>
      </c>
      <c r="D216" s="8">
        <v>745</v>
      </c>
    </row>
    <row r="217" spans="1:4" x14ac:dyDescent="0.3">
      <c r="A217" s="7" t="s">
        <v>242</v>
      </c>
      <c r="B217" s="7" t="s">
        <v>243</v>
      </c>
      <c r="C217" s="7" t="s">
        <v>17</v>
      </c>
      <c r="D217" s="8">
        <v>3680</v>
      </c>
    </row>
    <row r="218" spans="1:4" x14ac:dyDescent="0.3">
      <c r="A218" s="5" t="s">
        <v>244</v>
      </c>
      <c r="B218" s="5" t="s">
        <v>243</v>
      </c>
      <c r="C218" s="5" t="s">
        <v>17</v>
      </c>
      <c r="D218" s="6">
        <v>12009</v>
      </c>
    </row>
    <row r="219" spans="1:4" x14ac:dyDescent="0.3">
      <c r="A219" s="7" t="s">
        <v>245</v>
      </c>
      <c r="B219" s="7" t="s">
        <v>243</v>
      </c>
      <c r="C219" s="7" t="s">
        <v>17</v>
      </c>
      <c r="D219" s="8">
        <v>9785</v>
      </c>
    </row>
    <row r="220" spans="1:4" x14ac:dyDescent="0.3">
      <c r="A220" s="5" t="s">
        <v>246</v>
      </c>
      <c r="B220" s="5" t="s">
        <v>243</v>
      </c>
      <c r="C220" s="5" t="s">
        <v>17</v>
      </c>
      <c r="D220" s="6">
        <v>13744</v>
      </c>
    </row>
    <row r="221" spans="1:4" x14ac:dyDescent="0.3">
      <c r="A221" s="7" t="s">
        <v>247</v>
      </c>
      <c r="B221" s="7" t="s">
        <v>243</v>
      </c>
      <c r="C221" s="7" t="s">
        <v>17</v>
      </c>
      <c r="D221" s="8">
        <v>1817</v>
      </c>
    </row>
    <row r="222" spans="1:4" x14ac:dyDescent="0.3">
      <c r="A222" s="5" t="s">
        <v>248</v>
      </c>
      <c r="B222" s="5" t="s">
        <v>243</v>
      </c>
      <c r="C222" s="5" t="s">
        <v>17</v>
      </c>
      <c r="D222" s="6">
        <v>3335</v>
      </c>
    </row>
    <row r="223" spans="1:4" x14ac:dyDescent="0.3">
      <c r="A223" s="7" t="s">
        <v>249</v>
      </c>
      <c r="B223" s="7" t="s">
        <v>243</v>
      </c>
      <c r="C223" s="7" t="s">
        <v>17</v>
      </c>
      <c r="D223" s="8">
        <v>5699</v>
      </c>
    </row>
    <row r="224" spans="1:4" x14ac:dyDescent="0.3">
      <c r="A224" s="5" t="s">
        <v>250</v>
      </c>
      <c r="B224" s="5" t="s">
        <v>243</v>
      </c>
      <c r="C224" s="5" t="s">
        <v>17</v>
      </c>
      <c r="D224" s="6">
        <v>4677</v>
      </c>
    </row>
    <row r="225" spans="1:4" x14ac:dyDescent="0.3">
      <c r="A225" s="7" t="s">
        <v>251</v>
      </c>
      <c r="B225" s="7" t="s">
        <v>243</v>
      </c>
      <c r="C225" s="7" t="s">
        <v>17</v>
      </c>
      <c r="D225" s="8">
        <v>3388</v>
      </c>
    </row>
    <row r="226" spans="1:4" x14ac:dyDescent="0.3">
      <c r="A226" s="5" t="s">
        <v>252</v>
      </c>
      <c r="B226" s="5" t="s">
        <v>243</v>
      </c>
      <c r="C226" s="5" t="s">
        <v>17</v>
      </c>
      <c r="D226" s="6">
        <v>10650</v>
      </c>
    </row>
    <row r="227" spans="1:4" x14ac:dyDescent="0.3">
      <c r="A227" s="5" t="s">
        <v>253</v>
      </c>
      <c r="B227" s="5" t="s">
        <v>243</v>
      </c>
      <c r="C227" s="5" t="s">
        <v>17</v>
      </c>
      <c r="D227" s="6">
        <v>4926</v>
      </c>
    </row>
    <row r="228" spans="1:4" x14ac:dyDescent="0.3">
      <c r="A228" s="5" t="s">
        <v>254</v>
      </c>
      <c r="B228" s="5" t="s">
        <v>243</v>
      </c>
      <c r="C228" s="5" t="s">
        <v>17</v>
      </c>
      <c r="D228" s="6">
        <v>2445</v>
      </c>
    </row>
    <row r="229" spans="1:4" x14ac:dyDescent="0.3">
      <c r="A229" s="7" t="s">
        <v>255</v>
      </c>
      <c r="B229" s="7" t="s">
        <v>243</v>
      </c>
      <c r="C229" s="7" t="s">
        <v>17</v>
      </c>
      <c r="D229" s="8">
        <v>24319</v>
      </c>
    </row>
    <row r="230" spans="1:4" x14ac:dyDescent="0.3">
      <c r="A230" s="5" t="s">
        <v>256</v>
      </c>
      <c r="B230" s="5" t="s">
        <v>243</v>
      </c>
      <c r="C230" s="5" t="s">
        <v>17</v>
      </c>
      <c r="D230" s="6">
        <v>5272</v>
      </c>
    </row>
    <row r="231" spans="1:4" x14ac:dyDescent="0.3">
      <c r="A231" s="7" t="s">
        <v>257</v>
      </c>
      <c r="B231" s="7" t="s">
        <v>243</v>
      </c>
      <c r="C231" s="7" t="s">
        <v>17</v>
      </c>
      <c r="D231" s="8">
        <v>4791</v>
      </c>
    </row>
    <row r="232" spans="1:4" x14ac:dyDescent="0.3">
      <c r="A232" s="7" t="s">
        <v>258</v>
      </c>
      <c r="B232" s="7" t="s">
        <v>243</v>
      </c>
      <c r="C232" s="7" t="s">
        <v>17</v>
      </c>
      <c r="D232" s="8">
        <v>4179</v>
      </c>
    </row>
    <row r="233" spans="1:4" x14ac:dyDescent="0.3">
      <c r="A233" s="7" t="s">
        <v>259</v>
      </c>
      <c r="B233" s="7" t="s">
        <v>243</v>
      </c>
      <c r="C233" s="7" t="s">
        <v>17</v>
      </c>
      <c r="D233" s="8">
        <v>17082</v>
      </c>
    </row>
    <row r="234" spans="1:4" x14ac:dyDescent="0.3">
      <c r="A234" s="5" t="s">
        <v>260</v>
      </c>
      <c r="B234" s="5" t="s">
        <v>243</v>
      </c>
      <c r="C234" s="5" t="s">
        <v>17</v>
      </c>
      <c r="D234" s="6">
        <v>5494</v>
      </c>
    </row>
    <row r="235" spans="1:4" x14ac:dyDescent="0.3">
      <c r="A235" s="7" t="s">
        <v>261</v>
      </c>
      <c r="B235" s="7" t="s">
        <v>243</v>
      </c>
      <c r="C235" s="7" t="s">
        <v>17</v>
      </c>
      <c r="D235" s="8">
        <v>83029</v>
      </c>
    </row>
    <row r="236" spans="1:4" x14ac:dyDescent="0.3">
      <c r="A236" s="7" t="s">
        <v>262</v>
      </c>
      <c r="B236" s="7" t="s">
        <v>243</v>
      </c>
      <c r="C236" s="7" t="s">
        <v>17</v>
      </c>
      <c r="D236" s="8">
        <v>2940</v>
      </c>
    </row>
    <row r="237" spans="1:4" x14ac:dyDescent="0.3">
      <c r="A237" s="7" t="s">
        <v>263</v>
      </c>
      <c r="B237" s="7" t="s">
        <v>243</v>
      </c>
      <c r="C237" s="7" t="s">
        <v>17</v>
      </c>
      <c r="D237" s="8">
        <v>5052</v>
      </c>
    </row>
    <row r="238" spans="1:4" x14ac:dyDescent="0.3">
      <c r="A238" s="5" t="s">
        <v>264</v>
      </c>
      <c r="B238" s="5" t="s">
        <v>243</v>
      </c>
      <c r="C238" s="5" t="s">
        <v>17</v>
      </c>
      <c r="D238" s="6">
        <v>17347</v>
      </c>
    </row>
    <row r="239" spans="1:4" x14ac:dyDescent="0.3">
      <c r="A239" s="5" t="s">
        <v>265</v>
      </c>
      <c r="B239" s="5" t="s">
        <v>243</v>
      </c>
      <c r="C239" s="5" t="s">
        <v>17</v>
      </c>
      <c r="D239" s="6">
        <v>7395</v>
      </c>
    </row>
    <row r="240" spans="1:4" x14ac:dyDescent="0.3">
      <c r="A240" s="5" t="s">
        <v>266</v>
      </c>
      <c r="B240" s="5" t="s">
        <v>243</v>
      </c>
      <c r="C240" s="5" t="s">
        <v>17</v>
      </c>
      <c r="D240" s="6">
        <v>5874</v>
      </c>
    </row>
    <row r="241" spans="1:4" x14ac:dyDescent="0.3">
      <c r="A241" s="7" t="s">
        <v>267</v>
      </c>
      <c r="B241" s="7" t="s">
        <v>243</v>
      </c>
      <c r="C241" s="7" t="s">
        <v>17</v>
      </c>
      <c r="D241" s="8">
        <v>37456</v>
      </c>
    </row>
    <row r="242" spans="1:4" x14ac:dyDescent="0.3">
      <c r="A242" s="5" t="s">
        <v>268</v>
      </c>
      <c r="B242" s="5" t="s">
        <v>243</v>
      </c>
      <c r="C242" s="5" t="s">
        <v>17</v>
      </c>
      <c r="D242" s="6">
        <v>10302</v>
      </c>
    </row>
    <row r="243" spans="1:4" x14ac:dyDescent="0.3">
      <c r="A243" s="7" t="s">
        <v>269</v>
      </c>
      <c r="B243" s="7" t="s">
        <v>25</v>
      </c>
      <c r="C243" s="7" t="s">
        <v>18</v>
      </c>
      <c r="D243" s="8">
        <v>31793</v>
      </c>
    </row>
    <row r="244" spans="1:4" x14ac:dyDescent="0.3">
      <c r="A244" s="7" t="s">
        <v>270</v>
      </c>
      <c r="B244" s="7" t="s">
        <v>25</v>
      </c>
      <c r="C244" s="7" t="s">
        <v>18</v>
      </c>
      <c r="D244" s="8">
        <v>6041</v>
      </c>
    </row>
    <row r="245" spans="1:4" x14ac:dyDescent="0.3">
      <c r="A245" s="5" t="s">
        <v>271</v>
      </c>
      <c r="B245" s="5" t="s">
        <v>25</v>
      </c>
      <c r="C245" s="5" t="s">
        <v>18</v>
      </c>
      <c r="D245" s="6">
        <v>3450</v>
      </c>
    </row>
    <row r="246" spans="1:4" x14ac:dyDescent="0.3">
      <c r="A246" s="7" t="s">
        <v>272</v>
      </c>
      <c r="B246" s="7" t="s">
        <v>25</v>
      </c>
      <c r="C246" s="7" t="s">
        <v>18</v>
      </c>
      <c r="D246" s="8">
        <v>1985</v>
      </c>
    </row>
    <row r="247" spans="1:4" x14ac:dyDescent="0.3">
      <c r="A247" s="5" t="s">
        <v>273</v>
      </c>
      <c r="B247" s="5" t="s">
        <v>25</v>
      </c>
      <c r="C247" s="5" t="s">
        <v>18</v>
      </c>
      <c r="D247" s="6">
        <v>18838</v>
      </c>
    </row>
    <row r="248" spans="1:4" x14ac:dyDescent="0.3">
      <c r="A248" s="7" t="s">
        <v>274</v>
      </c>
      <c r="B248" s="7" t="s">
        <v>25</v>
      </c>
      <c r="C248" s="7" t="s">
        <v>18</v>
      </c>
      <c r="D248" s="8">
        <v>4220</v>
      </c>
    </row>
    <row r="249" spans="1:4" x14ac:dyDescent="0.3">
      <c r="A249" s="5" t="s">
        <v>275</v>
      </c>
      <c r="B249" s="5" t="s">
        <v>25</v>
      </c>
      <c r="C249" s="5" t="s">
        <v>18</v>
      </c>
      <c r="D249" s="6">
        <v>7837</v>
      </c>
    </row>
    <row r="250" spans="1:4" x14ac:dyDescent="0.3">
      <c r="A250" s="5" t="s">
        <v>276</v>
      </c>
      <c r="B250" s="5" t="s">
        <v>25</v>
      </c>
      <c r="C250" s="5" t="s">
        <v>18</v>
      </c>
      <c r="D250" s="6">
        <v>3957</v>
      </c>
    </row>
    <row r="251" spans="1:4" x14ac:dyDescent="0.3">
      <c r="A251" s="5" t="s">
        <v>277</v>
      </c>
      <c r="B251" s="5" t="s">
        <v>25</v>
      </c>
      <c r="C251" s="5" t="s">
        <v>18</v>
      </c>
      <c r="D251" s="6">
        <v>2768</v>
      </c>
    </row>
    <row r="252" spans="1:4" x14ac:dyDescent="0.3">
      <c r="A252" s="7" t="s">
        <v>278</v>
      </c>
      <c r="B252" s="7" t="s">
        <v>25</v>
      </c>
      <c r="C252" s="7" t="s">
        <v>18</v>
      </c>
      <c r="D252" s="8">
        <v>2339</v>
      </c>
    </row>
    <row r="253" spans="1:4" x14ac:dyDescent="0.3">
      <c r="A253" s="7" t="s">
        <v>279</v>
      </c>
      <c r="B253" s="7" t="s">
        <v>25</v>
      </c>
      <c r="C253" s="7" t="s">
        <v>18</v>
      </c>
      <c r="D253" s="8">
        <v>3338</v>
      </c>
    </row>
    <row r="254" spans="1:4" x14ac:dyDescent="0.3">
      <c r="A254" s="5" t="s">
        <v>280</v>
      </c>
      <c r="B254" s="5" t="s">
        <v>25</v>
      </c>
      <c r="C254" s="5" t="s">
        <v>18</v>
      </c>
      <c r="D254" s="6">
        <v>3885</v>
      </c>
    </row>
    <row r="255" spans="1:4" x14ac:dyDescent="0.3">
      <c r="A255" s="7" t="s">
        <v>281</v>
      </c>
      <c r="B255" s="7" t="s">
        <v>25</v>
      </c>
      <c r="C255" s="7" t="s">
        <v>18</v>
      </c>
      <c r="D255" s="8">
        <v>7406</v>
      </c>
    </row>
    <row r="256" spans="1:4" x14ac:dyDescent="0.3">
      <c r="A256" s="5" t="s">
        <v>282</v>
      </c>
      <c r="B256" s="5" t="s">
        <v>25</v>
      </c>
      <c r="C256" s="5" t="s">
        <v>18</v>
      </c>
      <c r="D256" s="6">
        <v>2530</v>
      </c>
    </row>
    <row r="257" spans="1:4" x14ac:dyDescent="0.3">
      <c r="A257" s="7" t="s">
        <v>283</v>
      </c>
      <c r="B257" s="7" t="s">
        <v>25</v>
      </c>
      <c r="C257" s="7" t="s">
        <v>18</v>
      </c>
      <c r="D257" s="8">
        <v>8556</v>
      </c>
    </row>
    <row r="258" spans="1:4" x14ac:dyDescent="0.3">
      <c r="A258" s="7" t="s">
        <v>284</v>
      </c>
      <c r="B258" s="7" t="s">
        <v>25</v>
      </c>
      <c r="C258" s="7" t="s">
        <v>18</v>
      </c>
      <c r="D258" s="8">
        <v>6827</v>
      </c>
    </row>
    <row r="259" spans="1:4" x14ac:dyDescent="0.3">
      <c r="A259" s="5" t="s">
        <v>285</v>
      </c>
      <c r="B259" s="5" t="s">
        <v>25</v>
      </c>
      <c r="C259" s="5" t="s">
        <v>18</v>
      </c>
      <c r="D259" s="6">
        <v>14263</v>
      </c>
    </row>
    <row r="260" spans="1:4" x14ac:dyDescent="0.3">
      <c r="A260" s="5" t="s">
        <v>286</v>
      </c>
      <c r="B260" s="5" t="s">
        <v>25</v>
      </c>
      <c r="C260" s="5" t="s">
        <v>18</v>
      </c>
      <c r="D260" s="6">
        <v>12674</v>
      </c>
    </row>
    <row r="261" spans="1:4" x14ac:dyDescent="0.3">
      <c r="A261" s="7" t="s">
        <v>287</v>
      </c>
      <c r="B261" s="7" t="s">
        <v>25</v>
      </c>
      <c r="C261" s="7" t="s">
        <v>18</v>
      </c>
      <c r="D261" s="8">
        <v>7500</v>
      </c>
    </row>
    <row r="262" spans="1:4" x14ac:dyDescent="0.3">
      <c r="A262" s="7" t="s">
        <v>288</v>
      </c>
      <c r="B262" s="7" t="s">
        <v>25</v>
      </c>
      <c r="C262" s="7" t="s">
        <v>18</v>
      </c>
      <c r="D262" s="8">
        <v>6282</v>
      </c>
    </row>
    <row r="263" spans="1:4" x14ac:dyDescent="0.3">
      <c r="A263" s="5" t="s">
        <v>289</v>
      </c>
      <c r="B263" s="5" t="s">
        <v>25</v>
      </c>
      <c r="C263" s="5" t="s">
        <v>18</v>
      </c>
      <c r="D263" s="6">
        <v>8384</v>
      </c>
    </row>
    <row r="264" spans="1:4" x14ac:dyDescent="0.3">
      <c r="A264" s="7" t="s">
        <v>290</v>
      </c>
      <c r="B264" s="7" t="s">
        <v>25</v>
      </c>
      <c r="C264" s="7" t="s">
        <v>18</v>
      </c>
      <c r="D264" s="8">
        <v>4641</v>
      </c>
    </row>
    <row r="265" spans="1:4" x14ac:dyDescent="0.3">
      <c r="A265" s="5" t="s">
        <v>291</v>
      </c>
      <c r="B265" s="5" t="s">
        <v>25</v>
      </c>
      <c r="C265" s="5" t="s">
        <v>18</v>
      </c>
      <c r="D265" s="6">
        <v>9338</v>
      </c>
    </row>
    <row r="266" spans="1:4" x14ac:dyDescent="0.3">
      <c r="A266" s="5" t="s">
        <v>292</v>
      </c>
      <c r="B266" s="5" t="s">
        <v>25</v>
      </c>
      <c r="C266" s="5" t="s">
        <v>18</v>
      </c>
      <c r="D266" s="6">
        <v>9171</v>
      </c>
    </row>
    <row r="267" spans="1:4" x14ac:dyDescent="0.3">
      <c r="A267" s="7" t="s">
        <v>293</v>
      </c>
      <c r="B267" s="7" t="s">
        <v>25</v>
      </c>
      <c r="C267" s="7" t="s">
        <v>18</v>
      </c>
      <c r="D267" s="8">
        <v>11033</v>
      </c>
    </row>
    <row r="268" spans="1:4" x14ac:dyDescent="0.3">
      <c r="A268" s="5" t="s">
        <v>294</v>
      </c>
      <c r="B268" s="5" t="s">
        <v>25</v>
      </c>
      <c r="C268" s="5" t="s">
        <v>18</v>
      </c>
      <c r="D268" s="6">
        <v>26886</v>
      </c>
    </row>
    <row r="269" spans="1:4" x14ac:dyDescent="0.3">
      <c r="A269" s="7" t="s">
        <v>295</v>
      </c>
      <c r="B269" s="7" t="s">
        <v>25</v>
      </c>
      <c r="C269" s="7" t="s">
        <v>18</v>
      </c>
      <c r="D269" s="8">
        <v>4512</v>
      </c>
    </row>
    <row r="270" spans="1:4" x14ac:dyDescent="0.3">
      <c r="A270" s="5" t="s">
        <v>296</v>
      </c>
      <c r="B270" s="5" t="s">
        <v>25</v>
      </c>
      <c r="C270" s="5" t="s">
        <v>18</v>
      </c>
      <c r="D270" s="6">
        <v>9426</v>
      </c>
    </row>
    <row r="271" spans="1:4" x14ac:dyDescent="0.3">
      <c r="A271" s="7" t="s">
        <v>297</v>
      </c>
      <c r="B271" s="7" t="s">
        <v>25</v>
      </c>
      <c r="C271" s="7" t="s">
        <v>18</v>
      </c>
      <c r="D271" s="8">
        <v>97260</v>
      </c>
    </row>
    <row r="272" spans="1:4" x14ac:dyDescent="0.3">
      <c r="A272" s="5" t="s">
        <v>298</v>
      </c>
      <c r="B272" s="5" t="s">
        <v>25</v>
      </c>
      <c r="C272" s="5" t="s">
        <v>18</v>
      </c>
      <c r="D272" s="6">
        <v>1584</v>
      </c>
    </row>
    <row r="273" spans="1:4" x14ac:dyDescent="0.3">
      <c r="A273" s="7" t="s">
        <v>299</v>
      </c>
      <c r="B273" s="7" t="s">
        <v>25</v>
      </c>
      <c r="C273" s="7" t="s">
        <v>18</v>
      </c>
      <c r="D273" s="8">
        <v>18579</v>
      </c>
    </row>
    <row r="274" spans="1:4" x14ac:dyDescent="0.3">
      <c r="A274" s="5" t="s">
        <v>300</v>
      </c>
      <c r="B274" s="5" t="s">
        <v>25</v>
      </c>
      <c r="C274" s="5" t="s">
        <v>18</v>
      </c>
      <c r="D274" s="6">
        <v>1124</v>
      </c>
    </row>
    <row r="275" spans="1:4" x14ac:dyDescent="0.3">
      <c r="A275" s="7" t="s">
        <v>301</v>
      </c>
      <c r="B275" s="7" t="s">
        <v>25</v>
      </c>
      <c r="C275" s="7" t="s">
        <v>18</v>
      </c>
      <c r="D275" s="8">
        <v>3299</v>
      </c>
    </row>
    <row r="276" spans="1:4" x14ac:dyDescent="0.3">
      <c r="A276" s="5" t="s">
        <v>302</v>
      </c>
      <c r="B276" s="5" t="s">
        <v>25</v>
      </c>
      <c r="C276" s="5" t="s">
        <v>18</v>
      </c>
      <c r="D276" s="6">
        <v>3574</v>
      </c>
    </row>
    <row r="277" spans="1:4" x14ac:dyDescent="0.3">
      <c r="A277" s="7" t="s">
        <v>303</v>
      </c>
      <c r="B277" s="7" t="s">
        <v>25</v>
      </c>
      <c r="C277" s="7" t="s">
        <v>18</v>
      </c>
      <c r="D277" s="8">
        <v>3113</v>
      </c>
    </row>
    <row r="278" spans="1:4" x14ac:dyDescent="0.3">
      <c r="A278" s="5" t="s">
        <v>304</v>
      </c>
      <c r="B278" s="5" t="s">
        <v>25</v>
      </c>
      <c r="C278" s="5" t="s">
        <v>18</v>
      </c>
      <c r="D278" s="6">
        <v>3876</v>
      </c>
    </row>
    <row r="279" spans="1:4" x14ac:dyDescent="0.3">
      <c r="A279" s="5" t="s">
        <v>305</v>
      </c>
      <c r="B279" s="5" t="s">
        <v>25</v>
      </c>
      <c r="C279" s="5" t="s">
        <v>18</v>
      </c>
      <c r="D279" s="6">
        <v>5036</v>
      </c>
    </row>
    <row r="280" spans="1:4" x14ac:dyDescent="0.3">
      <c r="A280" s="5" t="s">
        <v>306</v>
      </c>
      <c r="B280" s="5" t="s">
        <v>243</v>
      </c>
      <c r="C280" s="5" t="s">
        <v>18</v>
      </c>
      <c r="D280" s="6">
        <v>2344</v>
      </c>
    </row>
    <row r="281" spans="1:4" x14ac:dyDescent="0.3">
      <c r="A281" s="7" t="s">
        <v>307</v>
      </c>
      <c r="B281" s="7" t="s">
        <v>243</v>
      </c>
      <c r="C281" s="7" t="s">
        <v>18</v>
      </c>
      <c r="D281" s="8">
        <v>1082</v>
      </c>
    </row>
    <row r="282" spans="1:4" x14ac:dyDescent="0.3">
      <c r="A282" s="5" t="s">
        <v>308</v>
      </c>
      <c r="B282" s="5" t="s">
        <v>243</v>
      </c>
      <c r="C282" s="5" t="s">
        <v>18</v>
      </c>
      <c r="D282" s="6">
        <v>20479</v>
      </c>
    </row>
    <row r="283" spans="1:4" x14ac:dyDescent="0.3">
      <c r="A283" s="7" t="s">
        <v>309</v>
      </c>
      <c r="B283" s="7" t="s">
        <v>243</v>
      </c>
      <c r="C283" s="7" t="s">
        <v>18</v>
      </c>
      <c r="D283" s="8">
        <v>20218</v>
      </c>
    </row>
    <row r="284" spans="1:4" x14ac:dyDescent="0.3">
      <c r="A284" s="5" t="s">
        <v>310</v>
      </c>
      <c r="B284" s="5" t="s">
        <v>243</v>
      </c>
      <c r="C284" s="5" t="s">
        <v>18</v>
      </c>
      <c r="D284" s="6">
        <v>3052</v>
      </c>
    </row>
    <row r="285" spans="1:4" x14ac:dyDescent="0.3">
      <c r="A285" s="5" t="s">
        <v>311</v>
      </c>
      <c r="B285" s="5" t="s">
        <v>243</v>
      </c>
      <c r="C285" s="5" t="s">
        <v>18</v>
      </c>
      <c r="D285" s="6">
        <v>2437</v>
      </c>
    </row>
    <row r="286" spans="1:4" x14ac:dyDescent="0.3">
      <c r="A286" s="7" t="s">
        <v>312</v>
      </c>
      <c r="B286" s="7" t="s">
        <v>243</v>
      </c>
      <c r="C286" s="7" t="s">
        <v>18</v>
      </c>
      <c r="D286" s="8">
        <v>8687</v>
      </c>
    </row>
    <row r="287" spans="1:4" x14ac:dyDescent="0.3">
      <c r="A287" s="7" t="s">
        <v>313</v>
      </c>
      <c r="B287" s="7" t="s">
        <v>243</v>
      </c>
      <c r="C287" s="7" t="s">
        <v>18</v>
      </c>
      <c r="D287" s="8">
        <v>5869</v>
      </c>
    </row>
    <row r="288" spans="1:4" x14ac:dyDescent="0.3">
      <c r="A288" s="7" t="s">
        <v>314</v>
      </c>
      <c r="B288" s="7" t="s">
        <v>243</v>
      </c>
      <c r="C288" s="7" t="s">
        <v>18</v>
      </c>
      <c r="D288" s="8">
        <v>5246</v>
      </c>
    </row>
    <row r="289" spans="1:4" x14ac:dyDescent="0.3">
      <c r="A289" s="7" t="s">
        <v>315</v>
      </c>
      <c r="B289" s="7" t="s">
        <v>243</v>
      </c>
      <c r="C289" s="7" t="s">
        <v>19</v>
      </c>
      <c r="D289" s="8">
        <v>2580</v>
      </c>
    </row>
    <row r="290" spans="1:4" x14ac:dyDescent="0.3">
      <c r="A290" s="5" t="s">
        <v>316</v>
      </c>
      <c r="B290" s="5" t="s">
        <v>243</v>
      </c>
      <c r="C290" s="5" t="s">
        <v>19</v>
      </c>
      <c r="D290" s="6">
        <v>12122</v>
      </c>
    </row>
    <row r="291" spans="1:4" x14ac:dyDescent="0.3">
      <c r="A291" s="5" t="s">
        <v>317</v>
      </c>
      <c r="B291" s="5" t="s">
        <v>243</v>
      </c>
      <c r="C291" s="5" t="s">
        <v>19</v>
      </c>
      <c r="D291" s="6">
        <v>26542</v>
      </c>
    </row>
    <row r="292" spans="1:4" x14ac:dyDescent="0.3">
      <c r="A292" s="7" t="s">
        <v>318</v>
      </c>
      <c r="B292" s="7" t="s">
        <v>243</v>
      </c>
      <c r="C292" s="7" t="s">
        <v>19</v>
      </c>
      <c r="D292" s="8">
        <v>5180</v>
      </c>
    </row>
    <row r="293" spans="1:4" x14ac:dyDescent="0.3">
      <c r="A293" s="5" t="s">
        <v>319</v>
      </c>
      <c r="B293" s="5" t="s">
        <v>243</v>
      </c>
      <c r="C293" s="5" t="s">
        <v>19</v>
      </c>
      <c r="D293" s="6">
        <v>2396</v>
      </c>
    </row>
    <row r="294" spans="1:4" x14ac:dyDescent="0.3">
      <c r="A294" s="7" t="s">
        <v>320</v>
      </c>
      <c r="B294" s="7" t="s">
        <v>243</v>
      </c>
      <c r="C294" s="7" t="s">
        <v>19</v>
      </c>
      <c r="D294" s="8">
        <v>2012</v>
      </c>
    </row>
    <row r="295" spans="1:4" x14ac:dyDescent="0.3">
      <c r="A295" s="5" t="s">
        <v>321</v>
      </c>
      <c r="B295" s="5" t="s">
        <v>243</v>
      </c>
      <c r="C295" s="5" t="s">
        <v>19</v>
      </c>
      <c r="D295" s="6">
        <v>1616</v>
      </c>
    </row>
    <row r="296" spans="1:4" x14ac:dyDescent="0.3">
      <c r="A296" s="7" t="s">
        <v>322</v>
      </c>
      <c r="B296" s="7" t="s">
        <v>243</v>
      </c>
      <c r="C296" s="7" t="s">
        <v>19</v>
      </c>
      <c r="D296" s="8">
        <v>14286</v>
      </c>
    </row>
    <row r="297" spans="1:4" x14ac:dyDescent="0.3">
      <c r="A297" s="7" t="s">
        <v>323</v>
      </c>
      <c r="B297" s="7" t="s">
        <v>243</v>
      </c>
      <c r="C297" s="7" t="s">
        <v>19</v>
      </c>
      <c r="D297" s="8">
        <v>9977</v>
      </c>
    </row>
    <row r="298" spans="1:4" x14ac:dyDescent="0.3">
      <c r="A298" s="5" t="s">
        <v>324</v>
      </c>
      <c r="B298" s="5" t="s">
        <v>243</v>
      </c>
      <c r="C298" s="5" t="s">
        <v>19</v>
      </c>
      <c r="D298" s="6">
        <v>19399</v>
      </c>
    </row>
    <row r="299" spans="1:4" x14ac:dyDescent="0.3">
      <c r="A299" s="7" t="s">
        <v>325</v>
      </c>
      <c r="B299" s="7" t="s">
        <v>243</v>
      </c>
      <c r="C299" s="7" t="s">
        <v>19</v>
      </c>
      <c r="D299" s="8">
        <v>4440</v>
      </c>
    </row>
    <row r="300" spans="1:4" x14ac:dyDescent="0.3">
      <c r="A300" s="5" t="s">
        <v>326</v>
      </c>
      <c r="B300" s="5" t="s">
        <v>243</v>
      </c>
      <c r="C300" s="5" t="s">
        <v>19</v>
      </c>
      <c r="D300" s="6">
        <v>644</v>
      </c>
    </row>
    <row r="301" spans="1:4" x14ac:dyDescent="0.3">
      <c r="A301" s="5" t="s">
        <v>327</v>
      </c>
      <c r="B301" s="5" t="s">
        <v>243</v>
      </c>
      <c r="C301" s="5" t="s">
        <v>19</v>
      </c>
      <c r="D301" s="6">
        <v>15078</v>
      </c>
    </row>
    <row r="302" spans="1:4" x14ac:dyDescent="0.3">
      <c r="A302" s="7" t="s">
        <v>328</v>
      </c>
      <c r="B302" s="7" t="s">
        <v>243</v>
      </c>
      <c r="C302" s="7" t="s">
        <v>19</v>
      </c>
      <c r="D302" s="8">
        <v>3841</v>
      </c>
    </row>
    <row r="303" spans="1:4" x14ac:dyDescent="0.3">
      <c r="A303" s="5" t="s">
        <v>329</v>
      </c>
      <c r="B303" s="5" t="s">
        <v>243</v>
      </c>
      <c r="C303" s="5" t="s">
        <v>19</v>
      </c>
      <c r="D303" s="6">
        <v>17675</v>
      </c>
    </row>
    <row r="304" spans="1:4" x14ac:dyDescent="0.3">
      <c r="A304" s="7" t="s">
        <v>330</v>
      </c>
      <c r="B304" s="7" t="s">
        <v>243</v>
      </c>
      <c r="C304" s="7" t="s">
        <v>19</v>
      </c>
      <c r="D304" s="8">
        <v>3053</v>
      </c>
    </row>
    <row r="305" spans="1:4" x14ac:dyDescent="0.3">
      <c r="A305" s="5" t="s">
        <v>331</v>
      </c>
      <c r="B305" s="5" t="s">
        <v>243</v>
      </c>
      <c r="C305" s="5" t="s">
        <v>19</v>
      </c>
      <c r="D305" s="6">
        <v>2999</v>
      </c>
    </row>
    <row r="306" spans="1:4" x14ac:dyDescent="0.3">
      <c r="A306" s="7" t="s">
        <v>332</v>
      </c>
      <c r="B306" s="7" t="s">
        <v>243</v>
      </c>
      <c r="C306" s="7" t="s">
        <v>19</v>
      </c>
      <c r="D306" s="8">
        <v>22877</v>
      </c>
    </row>
    <row r="307" spans="1:4" x14ac:dyDescent="0.3">
      <c r="A307" s="5" t="s">
        <v>333</v>
      </c>
      <c r="B307" s="5" t="s">
        <v>243</v>
      </c>
      <c r="C307" s="5" t="s">
        <v>19</v>
      </c>
      <c r="D307" s="6">
        <v>19848</v>
      </c>
    </row>
    <row r="308" spans="1:4" x14ac:dyDescent="0.3">
      <c r="A308" s="5" t="s">
        <v>334</v>
      </c>
      <c r="B308" s="5" t="s">
        <v>243</v>
      </c>
      <c r="C308" s="5" t="s">
        <v>19</v>
      </c>
      <c r="D308" s="6">
        <v>29218</v>
      </c>
    </row>
    <row r="309" spans="1:4" x14ac:dyDescent="0.3">
      <c r="A309" s="7" t="s">
        <v>335</v>
      </c>
      <c r="B309" s="7" t="s">
        <v>243</v>
      </c>
      <c r="C309" s="7" t="s">
        <v>19</v>
      </c>
      <c r="D309" s="8">
        <v>6234</v>
      </c>
    </row>
    <row r="310" spans="1:4" x14ac:dyDescent="0.3">
      <c r="A310" s="5" t="s">
        <v>336</v>
      </c>
      <c r="B310" s="5" t="s">
        <v>243</v>
      </c>
      <c r="C310" s="5" t="s">
        <v>19</v>
      </c>
      <c r="D310" s="6">
        <v>9164</v>
      </c>
    </row>
    <row r="311" spans="1:4" x14ac:dyDescent="0.3">
      <c r="A311" s="7" t="s">
        <v>337</v>
      </c>
      <c r="B311" s="7" t="s">
        <v>243</v>
      </c>
      <c r="C311" s="7" t="s">
        <v>19</v>
      </c>
      <c r="D311" s="8">
        <v>9819</v>
      </c>
    </row>
    <row r="312" spans="1:4" x14ac:dyDescent="0.3">
      <c r="A312" s="7" t="s">
        <v>338</v>
      </c>
      <c r="B312" s="7" t="s">
        <v>243</v>
      </c>
      <c r="C312" s="7" t="s">
        <v>19</v>
      </c>
      <c r="D312" s="8">
        <v>13499</v>
      </c>
    </row>
    <row r="313" spans="1:4" x14ac:dyDescent="0.3">
      <c r="A313" s="5" t="s">
        <v>339</v>
      </c>
      <c r="B313" s="5" t="s">
        <v>243</v>
      </c>
      <c r="C313" s="5" t="s">
        <v>19</v>
      </c>
      <c r="D313" s="6">
        <v>16701</v>
      </c>
    </row>
    <row r="314" spans="1:4" x14ac:dyDescent="0.3">
      <c r="A314" s="5" t="s">
        <v>340</v>
      </c>
      <c r="B314" s="5" t="s">
        <v>243</v>
      </c>
      <c r="C314" s="5" t="s">
        <v>19</v>
      </c>
      <c r="D314" s="6">
        <v>295364</v>
      </c>
    </row>
  </sheetData>
  <conditionalFormatting sqref="A2:D314">
    <cfRule type="expression" dxfId="44" priority="1">
      <formula>MOD(ROW($A2),2)=0</formula>
    </cfRule>
  </conditionalFormatting>
  <pageMargins left="0.7" right="0.7" top="0.75" bottom="0.75" header="0.3" footer="0.3"/>
  <tableParts count="2">
    <tablePart r:id="rId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item1.xml>�� 
</file>

<file path=customXml/item2.xml>�� 
</file>

<file path=customXml/item3.xml>�� 
</file>

<file path=customXml/item4.xml>�� 
</file>

<file path=customXml/item5.xml>�� 
</file>

<file path=customXml/item6.xml>�� 
</file>

<file path=customXml/itemProps1.xml><?xml version="1.0" encoding="utf-8"?>
<ds:datastoreItem xmlns:ds="http://schemas.openxmlformats.org/officeDocument/2006/customXml" ds:itemID="{39E1447B-8D87-4B83-B135-8D7DA9A4DBE1}">
  <ds:schemaRefs/>
</ds:datastoreItem>
</file>

<file path=customXml/itemProps2.xml><?xml version="1.0" encoding="utf-8"?>
<ds:datastoreItem xmlns:ds="http://schemas.openxmlformats.org/officeDocument/2006/customXml" ds:itemID="{EFDE96FC-9864-4916-B01B-7560C5F50646}">
  <ds:schemaRefs/>
</ds:datastoreItem>
</file>

<file path=customXml/itemProps3.xml><?xml version="1.0" encoding="utf-8"?>
<ds:datastoreItem xmlns:ds="http://schemas.openxmlformats.org/officeDocument/2006/customXml" ds:itemID="{1ACEB7A9-C229-4BD4-9744-94694D1D4E10}">
  <ds:schemaRefs/>
</ds:datastoreItem>
</file>

<file path=customXml/itemProps4.xml><?xml version="1.0" encoding="utf-8"?>
<ds:datastoreItem xmlns:ds="http://schemas.openxmlformats.org/officeDocument/2006/customXml" ds:itemID="{749B3805-70BB-4EDA-A36A-B180CB495581}">
  <ds:schemaRefs/>
</ds:datastoreItem>
</file>

<file path=customXml/itemProps5.xml><?xml version="1.0" encoding="utf-8"?>
<ds:datastoreItem xmlns:ds="http://schemas.openxmlformats.org/officeDocument/2006/customXml" ds:itemID="{CD17F781-29C0-4925-A4FD-3C46D21448DD}">
  <ds:schemaRefs/>
</ds:datastoreItem>
</file>

<file path=customXml/itemProps6.xml><?xml version="1.0" encoding="utf-8"?>
<ds:datastoreItem xmlns:ds="http://schemas.openxmlformats.org/officeDocument/2006/customXml" ds:itemID="{C9D3ECB8-695C-4CFF-8320-95B5F5E73CF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25</vt:i4>
      </vt:variant>
    </vt:vector>
  </HeadingPairs>
  <TitlesOfParts>
    <vt:vector size="25" baseType="lpstr">
      <vt:lpstr>GrafTotales</vt:lpstr>
      <vt:lpstr>Promedios</vt:lpstr>
      <vt:lpstr>IA</vt:lpstr>
      <vt:lpstr>EvolucionIncidencia</vt:lpstr>
      <vt:lpstr>TotalesIncDiario</vt:lpstr>
      <vt:lpstr>Camas_Hospital</vt:lpstr>
      <vt:lpstr>Ratios</vt:lpstr>
      <vt:lpstr>Fallecidos_Hospital</vt:lpstr>
      <vt:lpstr>GrafCoruna</vt:lpstr>
      <vt:lpstr>GrafFerrol</vt:lpstr>
      <vt:lpstr>GrafLugo</vt:lpstr>
      <vt:lpstr>GrafOurense</vt:lpstr>
      <vt:lpstr>GrafPontevedra</vt:lpstr>
      <vt:lpstr>GrafSantiago</vt:lpstr>
      <vt:lpstr>GrafVigo</vt:lpstr>
      <vt:lpstr>SeguimientoCoruna</vt:lpstr>
      <vt:lpstr>SeguimientoFerrol</vt:lpstr>
      <vt:lpstr>SeguimientoLugo</vt:lpstr>
      <vt:lpstr>SeguimientoOurense</vt:lpstr>
      <vt:lpstr>SeguimientoPontevedra</vt:lpstr>
      <vt:lpstr>SeguimientoSantiago</vt:lpstr>
      <vt:lpstr>SeguimientoVigo</vt:lpstr>
      <vt:lpstr>HistoricoCifrasTotales</vt:lpstr>
      <vt:lpstr>AreasSanitarias</vt:lpstr>
      <vt:lpstr>Poblacion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Nicolas Sanchez Roel</dc:creator>
  <cp:lastModifiedBy>Nicolas Sanchez Roel</cp:lastModifiedBy>
  <dcterms:created xsi:type="dcterms:W3CDTF">2021-01-07T17:11:19Z</dcterms:created>
  <dcterms:modified xsi:type="dcterms:W3CDTF">2021-02-08T10:33:31Z</dcterms:modified>
</cp:coreProperties>
</file>